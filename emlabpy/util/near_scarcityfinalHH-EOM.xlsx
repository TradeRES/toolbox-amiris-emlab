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toolbox-amiris-emlab\emlabpy\util\"/>
    </mc:Choice>
  </mc:AlternateContent>
  <xr:revisionPtr revIDLastSave="0" documentId="13_ncr:1_{4B3DA869-64DA-48A6-9AFA-E0418A49E968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derating_factors" sheetId="1" r:id="rId1"/>
    <sheet name="demand_at_scarcity" sheetId="2" r:id="rId2"/>
    <sheet name="demand_near_scarc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H4" i="3"/>
  <c r="I4" i="3"/>
  <c r="J4" i="3"/>
  <c r="K4" i="3"/>
  <c r="G6" i="3" s="1"/>
  <c r="G4" i="3"/>
  <c r="B9" i="1"/>
  <c r="B10" i="1"/>
  <c r="B11" i="1"/>
  <c r="B8" i="1"/>
</calcChain>
</file>

<file path=xl/sharedStrings.xml><?xml version="1.0" encoding="utf-8"?>
<sst xmlns="http://schemas.openxmlformats.org/spreadsheetml/2006/main" count="23" uniqueCount="10">
  <si>
    <t>Lithium ion battery</t>
  </si>
  <si>
    <t>Wind Offshore</t>
  </si>
  <si>
    <t>Solar PV large</t>
  </si>
  <si>
    <t>Wind Onshore</t>
  </si>
  <si>
    <t>prices</t>
  </si>
  <si>
    <t>awarded_power</t>
  </si>
  <si>
    <t>ALL</t>
  </si>
  <si>
    <t>Lithium ion battery 4</t>
  </si>
  <si>
    <t>Nuclear</t>
  </si>
  <si>
    <t>sum contribution VRES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</si>
</sst>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164" fontId="0" fillId="0" borderId="1" xfId="1" applyNumberFormat="1" applyFont="1" applyBorder="1"/>
    <xf numFmtId="9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workbookViewId="0">
      <selection activeCell="B11" sqref="A8:B11"/>
    </sheetView>
  </sheetViews>
  <sheetFormatPr defaultRowHeight="15" x14ac:dyDescent="0.25"/>
  <cols>
    <col min="1" max="1" width="17.85546875" customWidth="1"/>
  </cols>
  <sheetData>
    <row r="1" spans="1:41" x14ac:dyDescent="0.25">
      <c r="B1" s="1">
        <v>2050</v>
      </c>
      <c r="C1" s="1">
        <v>2051</v>
      </c>
      <c r="D1" s="1">
        <v>2052</v>
      </c>
      <c r="E1" s="1">
        <v>2053</v>
      </c>
      <c r="F1" s="1">
        <v>2054</v>
      </c>
      <c r="G1" s="1">
        <v>2055</v>
      </c>
      <c r="H1" s="1">
        <v>2056</v>
      </c>
      <c r="I1" s="1">
        <v>2057</v>
      </c>
      <c r="J1" s="1">
        <v>2058</v>
      </c>
      <c r="K1" s="1">
        <v>2059</v>
      </c>
      <c r="L1" s="1">
        <v>2060</v>
      </c>
      <c r="M1" s="1">
        <v>2061</v>
      </c>
      <c r="N1" s="1">
        <v>2062</v>
      </c>
      <c r="O1" s="1">
        <v>2063</v>
      </c>
      <c r="P1" s="1">
        <v>2064</v>
      </c>
      <c r="Q1" s="1">
        <v>2065</v>
      </c>
      <c r="R1" s="1">
        <v>2066</v>
      </c>
      <c r="S1" s="1">
        <v>2067</v>
      </c>
      <c r="T1" s="1">
        <v>2068</v>
      </c>
      <c r="U1" s="1">
        <v>2069</v>
      </c>
      <c r="V1" s="1">
        <v>2070</v>
      </c>
      <c r="W1" s="1">
        <v>2071</v>
      </c>
      <c r="X1" s="1">
        <v>2072</v>
      </c>
      <c r="Y1" s="1">
        <v>2073</v>
      </c>
      <c r="Z1" s="1">
        <v>2074</v>
      </c>
      <c r="AA1" s="1">
        <v>2075</v>
      </c>
      <c r="AB1" s="1">
        <v>2076</v>
      </c>
      <c r="AC1" s="1">
        <v>2077</v>
      </c>
      <c r="AD1" s="1">
        <v>2078</v>
      </c>
      <c r="AE1" s="1">
        <v>2079</v>
      </c>
      <c r="AF1" s="1">
        <v>2080</v>
      </c>
      <c r="AG1" s="1">
        <v>2081</v>
      </c>
      <c r="AH1" s="1">
        <v>2082</v>
      </c>
      <c r="AI1" s="1">
        <v>2083</v>
      </c>
      <c r="AJ1" s="1">
        <v>2084</v>
      </c>
      <c r="AK1" s="1">
        <v>2085</v>
      </c>
      <c r="AL1" s="1">
        <v>2086</v>
      </c>
      <c r="AM1" s="1">
        <v>2087</v>
      </c>
      <c r="AN1" s="1">
        <v>2088</v>
      </c>
      <c r="AO1" s="1">
        <v>2089</v>
      </c>
    </row>
    <row r="2" spans="1:41" x14ac:dyDescent="0.25">
      <c r="A2" s="1" t="s">
        <v>0</v>
      </c>
      <c r="B2">
        <v>5.8968499052638578E-3</v>
      </c>
      <c r="D2">
        <v>5.11622121354093E-2</v>
      </c>
      <c r="G2">
        <v>6.9287946563445571E-2</v>
      </c>
      <c r="H2">
        <v>7.4305803499628972E-3</v>
      </c>
      <c r="I2">
        <v>6.1909007832179633E-2</v>
      </c>
      <c r="J2">
        <v>1.8849290618405719E-5</v>
      </c>
      <c r="K2">
        <v>9.2999275330851311E-3</v>
      </c>
      <c r="L2">
        <v>4.0918054475797418E-2</v>
      </c>
      <c r="M2">
        <v>0.14257398413049929</v>
      </c>
      <c r="N2">
        <v>4.890763571641412E-2</v>
      </c>
      <c r="O2">
        <v>6.611659186612575E-3</v>
      </c>
      <c r="P2">
        <v>8.446239970238402E-2</v>
      </c>
      <c r="Q2">
        <v>7.4934579003350918E-2</v>
      </c>
      <c r="R2">
        <v>4.1867017204969152E-2</v>
      </c>
      <c r="S2">
        <v>2.115155324562586E-2</v>
      </c>
      <c r="T2">
        <v>0</v>
      </c>
      <c r="U2">
        <v>7.6860359466853059E-2</v>
      </c>
      <c r="V2">
        <v>8.732216408809064E-2</v>
      </c>
      <c r="W2">
        <v>3.929781256724544E-2</v>
      </c>
      <c r="X2">
        <v>0.1076992102571029</v>
      </c>
      <c r="Y2">
        <v>8.7938695476759785E-3</v>
      </c>
      <c r="Z2">
        <v>2.641222409202449E-2</v>
      </c>
      <c r="AA2">
        <v>2.7331049571854771E-2</v>
      </c>
      <c r="AB2">
        <v>7.0764695605574579E-2</v>
      </c>
      <c r="AC2">
        <v>6.635069159286351E-3</v>
      </c>
      <c r="AD2">
        <v>4.8710140959775808E-3</v>
      </c>
      <c r="AE2">
        <v>1.25794804809942E-2</v>
      </c>
      <c r="AF2">
        <v>8.9984649927336263E-2</v>
      </c>
      <c r="AG2">
        <v>4.999998013424517E-2</v>
      </c>
      <c r="AH2">
        <v>2.189916096273873E-2</v>
      </c>
      <c r="AI2">
        <v>0.13104315999296981</v>
      </c>
      <c r="AJ2">
        <v>8.9708554556007236E-2</v>
      </c>
      <c r="AK2">
        <v>2.350103844159725E-2</v>
      </c>
      <c r="AL2">
        <v>3.63626733680519E-2</v>
      </c>
      <c r="AM2">
        <v>0.16081539454772231</v>
      </c>
      <c r="AN2">
        <v>3.9420648650046991E-2</v>
      </c>
      <c r="AO2">
        <v>8.0774422657373335E-2</v>
      </c>
    </row>
    <row r="3" spans="1:41" x14ac:dyDescent="0.25">
      <c r="A3" s="1" t="s">
        <v>1</v>
      </c>
      <c r="B3">
        <v>4.3660447864965292E-2</v>
      </c>
      <c r="D3">
        <v>3.0623229147720931E-2</v>
      </c>
      <c r="G3">
        <v>6.0390249469740011E-2</v>
      </c>
      <c r="H3">
        <v>5.6364308121908797E-2</v>
      </c>
      <c r="I3">
        <v>5.3529128592527501E-2</v>
      </c>
      <c r="J3">
        <v>0.145510748041739</v>
      </c>
      <c r="K3">
        <v>5.1514378152544518E-2</v>
      </c>
      <c r="L3">
        <v>2.3566548788136629E-2</v>
      </c>
      <c r="M3">
        <v>3.808746664024136E-2</v>
      </c>
      <c r="N3">
        <v>3.4125523106842102E-2</v>
      </c>
      <c r="O3">
        <v>4.3016747954617802E-2</v>
      </c>
      <c r="P3">
        <v>3.7177346696438483E-2</v>
      </c>
      <c r="Q3">
        <v>6.1550973615522142E-2</v>
      </c>
      <c r="R3">
        <v>5.0098975133272258E-2</v>
      </c>
      <c r="S3">
        <v>6.3650665314714541E-2</v>
      </c>
      <c r="T3">
        <v>1.3478049727504E-2</v>
      </c>
      <c r="U3">
        <v>3.5156936258865859E-2</v>
      </c>
      <c r="V3">
        <v>7.0032971584227624E-2</v>
      </c>
      <c r="W3">
        <v>6.8929813356854525E-2</v>
      </c>
      <c r="X3">
        <v>3.9186589660264927E-2</v>
      </c>
      <c r="Y3">
        <v>6.0742801009023142E-2</v>
      </c>
      <c r="Z3">
        <v>7.677375698055984E-2</v>
      </c>
      <c r="AA3">
        <v>3.6073642195911963E-2</v>
      </c>
      <c r="AB3">
        <v>6.4818814794268584E-2</v>
      </c>
      <c r="AC3">
        <v>4.3109088545594712E-2</v>
      </c>
      <c r="AD3">
        <v>6.7829531460215531E-2</v>
      </c>
      <c r="AE3">
        <v>4.7743070543483569E-2</v>
      </c>
      <c r="AF3">
        <v>5.1474044450437163E-2</v>
      </c>
      <c r="AG3">
        <v>6.5843835261065076E-2</v>
      </c>
      <c r="AH3">
        <v>6.4576229866693535E-2</v>
      </c>
      <c r="AI3">
        <v>2.7435220052000862E-2</v>
      </c>
      <c r="AJ3">
        <v>4.51098791165334E-2</v>
      </c>
      <c r="AK3">
        <v>6.7244553967826984E-2</v>
      </c>
      <c r="AL3">
        <v>6.6720100720007988E-2</v>
      </c>
      <c r="AM3">
        <v>7.1982127632047227E-2</v>
      </c>
      <c r="AN3">
        <v>5.9170643741509668E-2</v>
      </c>
      <c r="AO3">
        <v>6.360107049161931E-2</v>
      </c>
    </row>
    <row r="4" spans="1:41" x14ac:dyDescent="0.25">
      <c r="A4" s="1" t="s">
        <v>2</v>
      </c>
      <c r="B4">
        <v>0</v>
      </c>
      <c r="D4">
        <v>5.7751982757305483E-3</v>
      </c>
      <c r="G4">
        <v>3.7232232041812703E-2</v>
      </c>
      <c r="H4">
        <v>8.7678051871458709E-4</v>
      </c>
      <c r="I4">
        <v>2.8480196591059818E-3</v>
      </c>
      <c r="J4">
        <v>0</v>
      </c>
      <c r="K4">
        <v>0</v>
      </c>
      <c r="L4">
        <v>0</v>
      </c>
      <c r="M4">
        <v>1.2166395370150331E-2</v>
      </c>
      <c r="N4">
        <v>2.2834108902328458E-3</v>
      </c>
      <c r="O4">
        <v>1.444833091525131E-3</v>
      </c>
      <c r="P4">
        <v>0</v>
      </c>
      <c r="Q4">
        <v>2.2823326133064488E-3</v>
      </c>
      <c r="R4">
        <v>7.4495095554312344E-4</v>
      </c>
      <c r="S4">
        <v>6.3390045166080581E-3</v>
      </c>
      <c r="T4">
        <v>0</v>
      </c>
      <c r="U4">
        <v>1.179365843022484E-3</v>
      </c>
      <c r="V4">
        <v>1.6768935798674629E-3</v>
      </c>
      <c r="W4">
        <v>4.5910270586023306E-3</v>
      </c>
      <c r="X4">
        <v>2.3604008683797651E-3</v>
      </c>
      <c r="Y4">
        <v>3.9704415874105654E-3</v>
      </c>
      <c r="Z4">
        <v>3.452759695752248E-3</v>
      </c>
      <c r="AA4">
        <v>1.6631709445620931E-2</v>
      </c>
      <c r="AB4">
        <v>6.7646124900788644E-3</v>
      </c>
      <c r="AC4">
        <v>2.7606305731565882E-3</v>
      </c>
      <c r="AD4">
        <v>5.5478559634236516E-3</v>
      </c>
      <c r="AE4">
        <v>5.794658643987453E-3</v>
      </c>
      <c r="AF4">
        <v>0</v>
      </c>
      <c r="AG4">
        <v>6.2394515690475697E-4</v>
      </c>
      <c r="AH4">
        <v>4.1726548170678661E-3</v>
      </c>
      <c r="AI4">
        <v>8.1896541365647762E-3</v>
      </c>
      <c r="AJ4">
        <v>4.7410922796601133E-3</v>
      </c>
      <c r="AK4">
        <v>0</v>
      </c>
      <c r="AL4">
        <v>1.5698399932041519E-2</v>
      </c>
      <c r="AM4">
        <v>6.7968938669058009E-4</v>
      </c>
      <c r="AN4">
        <v>2.076108618117196E-3</v>
      </c>
      <c r="AO4">
        <v>1.3619320358784E-2</v>
      </c>
    </row>
    <row r="5" spans="1:41" x14ac:dyDescent="0.25">
      <c r="A5" s="1" t="s">
        <v>3</v>
      </c>
      <c r="B5">
        <v>0.14698855625254051</v>
      </c>
      <c r="D5">
        <v>0.1200381597217411</v>
      </c>
      <c r="G5">
        <v>8.3442167258748728E-2</v>
      </c>
      <c r="H5">
        <v>0.15854793013003579</v>
      </c>
      <c r="I5">
        <v>6.1357545018027253E-2</v>
      </c>
      <c r="J5">
        <v>0.195008344802168</v>
      </c>
      <c r="K5">
        <v>9.1353453928121539E-2</v>
      </c>
      <c r="L5">
        <v>0.1887212288162467</v>
      </c>
      <c r="M5">
        <v>9.760715855364889E-2</v>
      </c>
      <c r="N5">
        <v>9.9334891051549135E-2</v>
      </c>
      <c r="O5">
        <v>9.87384790150478E-2</v>
      </c>
      <c r="P5">
        <v>0.1584495203641105</v>
      </c>
      <c r="Q5">
        <v>0.16130774891048419</v>
      </c>
      <c r="R5">
        <v>0.1112238075789618</v>
      </c>
      <c r="S5">
        <v>0.12465759760507671</v>
      </c>
      <c r="T5">
        <v>0.12791540543108451</v>
      </c>
      <c r="U5">
        <v>0.18667796870610209</v>
      </c>
      <c r="V5">
        <v>0.111527212872559</v>
      </c>
      <c r="W5">
        <v>7.29087339061157E-2</v>
      </c>
      <c r="X5">
        <v>0.1109220957673293</v>
      </c>
      <c r="Y5">
        <v>0.1048542105427354</v>
      </c>
      <c r="Z5">
        <v>0.1301865872020031</v>
      </c>
      <c r="AA5">
        <v>7.1614704122618111E-2</v>
      </c>
      <c r="AB5">
        <v>0.1308902590883014</v>
      </c>
      <c r="AC5">
        <v>0.12056759475871021</v>
      </c>
      <c r="AD5">
        <v>0.17390865896009469</v>
      </c>
      <c r="AE5">
        <v>9.2092621239179939E-2</v>
      </c>
      <c r="AF5">
        <v>7.1400968455607547E-2</v>
      </c>
      <c r="AG5">
        <v>0.1191699529577474</v>
      </c>
      <c r="AH5">
        <v>0.1039891628541572</v>
      </c>
      <c r="AI5">
        <v>6.8375733829152935E-2</v>
      </c>
      <c r="AJ5">
        <v>9.6049719074220774E-2</v>
      </c>
      <c r="AK5">
        <v>0.20329265936160201</v>
      </c>
      <c r="AL5">
        <v>8.5071962268798221E-2</v>
      </c>
      <c r="AM5">
        <v>9.1693084883029671E-2</v>
      </c>
      <c r="AN5">
        <v>0.1077191603051465</v>
      </c>
      <c r="AO5">
        <v>0.13945941019167321</v>
      </c>
    </row>
    <row r="8" spans="1:41" x14ac:dyDescent="0.25">
      <c r="A8" s="1" t="s">
        <v>0</v>
      </c>
      <c r="B8">
        <f>AVERAGE(2:2)</f>
        <v>5.0229969958010462E-2</v>
      </c>
    </row>
    <row r="9" spans="1:41" x14ac:dyDescent="0.25">
      <c r="A9" s="1" t="s">
        <v>1</v>
      </c>
      <c r="B9">
        <f t="shared" ref="B9:B11" si="0">AVERAGE(3:3)</f>
        <v>5.4051338055606669E-2</v>
      </c>
    </row>
    <row r="10" spans="1:41" x14ac:dyDescent="0.25">
      <c r="A10" s="1" t="s">
        <v>2</v>
      </c>
      <c r="B10">
        <f t="shared" si="0"/>
        <v>4.7709291450773756E-3</v>
      </c>
    </row>
    <row r="11" spans="1:41" x14ac:dyDescent="0.25">
      <c r="A11" s="1" t="s">
        <v>3</v>
      </c>
      <c r="B11">
        <f t="shared" si="0"/>
        <v>0.11938012042660751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"/>
  <sheetViews>
    <sheetView workbookViewId="0"/>
  </sheetViews>
  <sheetFormatPr defaultRowHeight="15" x14ac:dyDescent="0.25"/>
  <sheetData>
    <row r="1" spans="1:41" x14ac:dyDescent="0.25">
      <c r="B1" s="1">
        <v>2050</v>
      </c>
      <c r="C1" s="1">
        <v>2051</v>
      </c>
      <c r="D1" s="1">
        <v>2052</v>
      </c>
      <c r="E1" s="1">
        <v>2053</v>
      </c>
      <c r="F1" s="1">
        <v>2054</v>
      </c>
      <c r="G1" s="1">
        <v>2055</v>
      </c>
      <c r="H1" s="1">
        <v>2056</v>
      </c>
      <c r="I1" s="1">
        <v>2057</v>
      </c>
      <c r="J1" s="1">
        <v>2058</v>
      </c>
      <c r="K1" s="1">
        <v>2059</v>
      </c>
      <c r="L1" s="1">
        <v>2060</v>
      </c>
      <c r="M1" s="1">
        <v>2061</v>
      </c>
      <c r="N1" s="1">
        <v>2062</v>
      </c>
      <c r="O1" s="1">
        <v>2063</v>
      </c>
      <c r="P1" s="1">
        <v>2064</v>
      </c>
      <c r="Q1" s="1">
        <v>2065</v>
      </c>
      <c r="R1" s="1">
        <v>2066</v>
      </c>
      <c r="S1" s="1">
        <v>2067</v>
      </c>
      <c r="T1" s="1">
        <v>2068</v>
      </c>
      <c r="U1" s="1">
        <v>2069</v>
      </c>
      <c r="V1" s="1">
        <v>2070</v>
      </c>
      <c r="W1" s="1">
        <v>2071</v>
      </c>
      <c r="X1" s="1">
        <v>2072</v>
      </c>
      <c r="Y1" s="1">
        <v>2073</v>
      </c>
      <c r="Z1" s="1">
        <v>2074</v>
      </c>
      <c r="AA1" s="1">
        <v>2075</v>
      </c>
      <c r="AB1" s="1">
        <v>2076</v>
      </c>
      <c r="AC1" s="1">
        <v>2077</v>
      </c>
      <c r="AD1" s="1">
        <v>2078</v>
      </c>
      <c r="AE1" s="1">
        <v>2079</v>
      </c>
      <c r="AF1" s="1">
        <v>2080</v>
      </c>
      <c r="AG1" s="1">
        <v>2081</v>
      </c>
      <c r="AH1" s="1">
        <v>2082</v>
      </c>
      <c r="AI1" s="1">
        <v>2083</v>
      </c>
      <c r="AJ1" s="1">
        <v>2084</v>
      </c>
      <c r="AK1" s="1">
        <v>2085</v>
      </c>
      <c r="AL1" s="1">
        <v>2086</v>
      </c>
      <c r="AM1" s="1">
        <v>2087</v>
      </c>
      <c r="AN1" s="1">
        <v>2088</v>
      </c>
      <c r="AO1" s="1">
        <v>2089</v>
      </c>
    </row>
    <row r="2" spans="1:41" x14ac:dyDescent="0.25">
      <c r="A2" s="1" t="s">
        <v>4</v>
      </c>
      <c r="B2">
        <v>2500.4</v>
      </c>
      <c r="D2">
        <v>1500</v>
      </c>
      <c r="G2">
        <v>1500</v>
      </c>
      <c r="H2">
        <v>2437.875</v>
      </c>
      <c r="I2">
        <v>1500</v>
      </c>
      <c r="J2">
        <v>1500</v>
      </c>
      <c r="K2">
        <v>2977.863636363636</v>
      </c>
      <c r="L2">
        <v>3286.428571428572</v>
      </c>
      <c r="M2">
        <v>1826.217391304348</v>
      </c>
      <c r="N2">
        <v>2182.090909090909</v>
      </c>
      <c r="O2">
        <v>2269.538461538461</v>
      </c>
      <c r="P2">
        <v>2333.666666666667</v>
      </c>
      <c r="Q2">
        <v>2790.83870967742</v>
      </c>
      <c r="R2">
        <v>2452.761904761905</v>
      </c>
      <c r="S2">
        <v>2571.8571428571431</v>
      </c>
      <c r="T2">
        <v>2750.5</v>
      </c>
      <c r="U2">
        <v>3167.333333333333</v>
      </c>
      <c r="V2">
        <v>2182.090909090909</v>
      </c>
      <c r="W2">
        <v>1968.9375</v>
      </c>
      <c r="X2">
        <v>2393.2142857142858</v>
      </c>
      <c r="Y2">
        <v>2906.8125</v>
      </c>
      <c r="Z2">
        <v>2173.3461538461538</v>
      </c>
      <c r="AA2">
        <v>1941.35294117647</v>
      </c>
      <c r="AB2">
        <v>2831.177419354839</v>
      </c>
      <c r="AC2">
        <v>2750.5</v>
      </c>
      <c r="AD2">
        <v>2035.9285714285711</v>
      </c>
      <c r="AE2">
        <v>2125.25</v>
      </c>
      <c r="AF2">
        <v>1875.15</v>
      </c>
      <c r="AG2">
        <v>2043.695652173913</v>
      </c>
      <c r="AH2">
        <v>2810.0476190476188</v>
      </c>
      <c r="AI2">
        <v>2500.4</v>
      </c>
      <c r="AJ2">
        <v>2257.878787878788</v>
      </c>
      <c r="AK2">
        <v>1500</v>
      </c>
      <c r="AL2">
        <v>2000.2</v>
      </c>
      <c r="AM2">
        <v>2500.4</v>
      </c>
      <c r="AN2">
        <v>2900.56</v>
      </c>
      <c r="AO2">
        <v>1954.727272727273</v>
      </c>
    </row>
    <row r="3" spans="1:41" x14ac:dyDescent="0.25">
      <c r="A3" s="1" t="s">
        <v>5</v>
      </c>
      <c r="B3">
        <v>22171.465452109791</v>
      </c>
      <c r="D3">
        <v>22278.05776887725</v>
      </c>
      <c r="G3">
        <v>26328.136724056279</v>
      </c>
      <c r="H3">
        <v>21984.098583198629</v>
      </c>
      <c r="I3">
        <v>22481.2640726483</v>
      </c>
      <c r="J3">
        <v>28349.424065990741</v>
      </c>
      <c r="K3">
        <v>19841.05439847034</v>
      </c>
      <c r="L3">
        <v>19446.907276474049</v>
      </c>
      <c r="M3">
        <v>23402.942656241288</v>
      </c>
      <c r="N3">
        <v>18522.721982415769</v>
      </c>
      <c r="O3">
        <v>17874.17667831367</v>
      </c>
      <c r="P3">
        <v>20264.452048528739</v>
      </c>
      <c r="Q3">
        <v>20769.329966696481</v>
      </c>
      <c r="R3">
        <v>18379.734247193581</v>
      </c>
      <c r="S3">
        <v>19395.354995380359</v>
      </c>
      <c r="T3">
        <v>14841.07372446897</v>
      </c>
      <c r="U3">
        <v>19044.454438334051</v>
      </c>
      <c r="V3">
        <v>20896.227416499489</v>
      </c>
      <c r="W3">
        <v>19385.454603795919</v>
      </c>
      <c r="X3">
        <v>19569.491068178151</v>
      </c>
      <c r="Y3">
        <v>18913.71403002628</v>
      </c>
      <c r="Z3">
        <v>20787.4419543556</v>
      </c>
      <c r="AA3">
        <v>18323.821020125011</v>
      </c>
      <c r="AB3">
        <v>20756.102420242689</v>
      </c>
      <c r="AC3">
        <v>17735.347660790419</v>
      </c>
      <c r="AD3">
        <v>20297.621810920831</v>
      </c>
      <c r="AE3">
        <v>18137.05027014231</v>
      </c>
      <c r="AF3">
        <v>19674.45860427761</v>
      </c>
      <c r="AG3">
        <v>20268.291504285771</v>
      </c>
      <c r="AH3">
        <v>19564.545910989531</v>
      </c>
      <c r="AI3">
        <v>19692.620411193169</v>
      </c>
      <c r="AJ3">
        <v>19913.06433229713</v>
      </c>
      <c r="AK3">
        <v>20652.957481880319</v>
      </c>
      <c r="AL3">
        <v>20915.126524956071</v>
      </c>
      <c r="AM3">
        <v>23343.769692940848</v>
      </c>
      <c r="AN3">
        <v>19621.661016562441</v>
      </c>
      <c r="AO3">
        <v>22324.990298658071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abSelected="1" workbookViewId="0">
      <selection activeCell="M28" sqref="M27:M28"/>
    </sheetView>
  </sheetViews>
  <sheetFormatPr defaultRowHeight="15" x14ac:dyDescent="0.25"/>
  <cols>
    <col min="7" max="7" width="19.7109375" customWidth="1"/>
  </cols>
  <sheetData>
    <row r="1" spans="1:11" x14ac:dyDescent="0.25">
      <c r="B1" s="1">
        <v>4</v>
      </c>
      <c r="C1" s="1">
        <v>6</v>
      </c>
      <c r="D1" s="1" t="s">
        <v>6</v>
      </c>
      <c r="F1" t="s">
        <v>0</v>
      </c>
      <c r="G1" t="s">
        <v>7</v>
      </c>
      <c r="H1" t="s">
        <v>8</v>
      </c>
      <c r="I1" t="s">
        <v>2</v>
      </c>
      <c r="J1" t="s">
        <v>1</v>
      </c>
      <c r="K1" t="s">
        <v>3</v>
      </c>
    </row>
    <row r="2" spans="1:11" x14ac:dyDescent="0.25">
      <c r="A2" s="1">
        <v>0</v>
      </c>
      <c r="B2">
        <v>25668.876582104709</v>
      </c>
      <c r="C2">
        <v>25399.226575812001</v>
      </c>
      <c r="D2">
        <v>22915.022583150821</v>
      </c>
      <c r="G2">
        <v>25.8</v>
      </c>
      <c r="H2">
        <v>13</v>
      </c>
      <c r="I2">
        <v>81.900000000000006</v>
      </c>
      <c r="J2">
        <v>70</v>
      </c>
      <c r="K2">
        <v>12</v>
      </c>
    </row>
    <row r="3" spans="1:11" x14ac:dyDescent="0.25">
      <c r="G3" s="2">
        <v>0.05</v>
      </c>
      <c r="H3" s="2"/>
      <c r="I3" s="2">
        <v>0</v>
      </c>
      <c r="J3" s="2">
        <v>5.3999999999999999E-2</v>
      </c>
      <c r="K3" s="2">
        <v>0.11899999999999999</v>
      </c>
    </row>
    <row r="4" spans="1:11" x14ac:dyDescent="0.25">
      <c r="B4">
        <f>B2-G6</f>
        <v>19170.876582104709</v>
      </c>
      <c r="G4">
        <f>G2*G3</f>
        <v>1.29</v>
      </c>
      <c r="H4">
        <f t="shared" ref="H4:K4" si="0">H2*H3</f>
        <v>0</v>
      </c>
      <c r="I4">
        <f t="shared" si="0"/>
        <v>0</v>
      </c>
      <c r="J4">
        <f t="shared" si="0"/>
        <v>3.78</v>
      </c>
      <c r="K4">
        <f t="shared" si="0"/>
        <v>1.4279999999999999</v>
      </c>
    </row>
    <row r="6" spans="1:11" x14ac:dyDescent="0.25">
      <c r="F6" t="s">
        <v>9</v>
      </c>
      <c r="G6">
        <f>SUM(G4:L4)*1000</f>
        <v>6498</v>
      </c>
    </row>
    <row r="8" spans="1:11" x14ac:dyDescent="0.25">
      <c r="B8" s="2">
        <v>19200</v>
      </c>
    </row>
    <row r="9" spans="1:11" x14ac:dyDescent="0.25">
      <c r="G9" s="1" t="s">
        <v>0</v>
      </c>
      <c r="H9" s="4">
        <v>4</v>
      </c>
      <c r="I9" s="5">
        <v>0.16</v>
      </c>
    </row>
    <row r="10" spans="1:11" x14ac:dyDescent="0.25">
      <c r="G10" s="1" t="s">
        <v>0</v>
      </c>
      <c r="H10" s="6">
        <v>5.0229969958010462E-2</v>
      </c>
      <c r="I10" s="5">
        <v>0.25</v>
      </c>
    </row>
    <row r="11" spans="1:11" x14ac:dyDescent="0.25">
      <c r="G11" s="1" t="s">
        <v>1</v>
      </c>
      <c r="H11" s="6">
        <v>5.4051338055606669E-2</v>
      </c>
      <c r="I11" s="7">
        <v>0.06</v>
      </c>
    </row>
    <row r="12" spans="1:11" x14ac:dyDescent="0.25">
      <c r="G12" s="1" t="s">
        <v>2</v>
      </c>
      <c r="H12" s="6">
        <v>4.7709291450773756E-3</v>
      </c>
      <c r="I12" s="7">
        <v>0</v>
      </c>
    </row>
    <row r="13" spans="1:11" x14ac:dyDescent="0.25">
      <c r="G13" s="1" t="s">
        <v>3</v>
      </c>
      <c r="H13" s="6">
        <v>0.11938012042660751</v>
      </c>
      <c r="I13" s="7">
        <v>0.12</v>
      </c>
    </row>
    <row r="14" spans="1:11" x14ac:dyDescent="0.25">
      <c r="H14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derating_factors</vt:lpstr>
      <vt:lpstr>demand_at_scarcity</vt:lpstr>
      <vt:lpstr>demand_near_scarcity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Ingrid Sanchez Jimenez</cp:lastModifiedBy>
  <dcterms:created xsi:type="dcterms:W3CDTF">2024-08-25T12:17:11Z</dcterms:created>
  <dcterms:modified xsi:type="dcterms:W3CDTF">2024-08-28T17:16:20Z</dcterms:modified>
</cp:coreProperties>
</file>