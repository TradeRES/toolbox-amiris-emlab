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codeName="DieseArbeitsmappe"/>
  <mc:AlternateContent xmlns:mc="http://schemas.openxmlformats.org/markup-compatibility/2006">
    <mc:Choice Requires="x15">
      <x15ac:absPath xmlns:x15ac="http://schemas.microsoft.com/office/spreadsheetml/2010/11/ac" url="C:\Users\isanchezjimene\Documents\ModellingAssignementSEN1522\Ewi\"/>
    </mc:Choice>
  </mc:AlternateContent>
  <xr:revisionPtr revIDLastSave="0" documentId="8_{8680AA41-A114-4C03-A47F-48C34405EB86}" xr6:coauthVersionLast="47" xr6:coauthVersionMax="47" xr10:uidLastSave="{00000000-0000-0000-0000-000000000000}"/>
  <bookViews>
    <workbookView xWindow="-110" yWindow="-110" windowWidth="19420" windowHeight="10420" activeTab="1" xr2:uid="{00000000-000D-0000-FFFF-FFFF00000000}"/>
  </bookViews>
  <sheets>
    <sheet name="Anleitung" sheetId="11" r:id="rId1"/>
    <sheet name="Start" sheetId="12" r:id="rId2"/>
    <sheet name="Sheet1" sheetId="26" r:id="rId3"/>
    <sheet name="Merit-Order" sheetId="19" r:id="rId4"/>
    <sheet name="Kraftwerksliste" sheetId="21" r:id="rId5"/>
    <sheet name="Quellen" sheetId="20" r:id="rId6"/>
    <sheet name="Impressum" sheetId="18" r:id="rId7"/>
    <sheet name="Start Reset" sheetId="24" state="veryHidden" r:id="rId8"/>
    <sheet name="Backend I" sheetId="8" state="veryHidden" r:id="rId9"/>
    <sheet name="Backend II" sheetId="9" state="veryHidden" r:id="rId10"/>
    <sheet name="Kraftwerksliste Backend" sheetId="25" state="veryHidden" r:id="rId11"/>
    <sheet name="Hilfssheet Abbildung" sheetId="17" state="veryHidden" r:id="rId12"/>
  </sheets>
  <definedNames>
    <definedName name="_xlnm._FilterDatabase" localSheetId="4" hidden="1">Kraftwerksliste!$C$10:$Z$559</definedName>
    <definedName name="_xlnm._FilterDatabase" localSheetId="10" hidden="1">'Kraftwerksliste Backend'!$C$10:$L$10</definedName>
    <definedName name="_xlnm._FilterDatabase" localSheetId="5" hidden="1">Quellen!$C$7:$D$7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6" i="21" l="1"/>
  <c r="F5" i="18" l="1"/>
  <c r="X20" i="21" l="1"/>
  <c r="X19" i="21"/>
  <c r="X18" i="21"/>
  <c r="X17" i="21"/>
  <c r="X16" i="21"/>
  <c r="X15" i="21"/>
  <c r="X14" i="21"/>
  <c r="X13" i="21"/>
  <c r="X12" i="21"/>
  <c r="X11" i="21"/>
  <c r="L5" i="25"/>
  <c r="Y19" i="21" l="1"/>
  <c r="Z19" i="21" s="1"/>
  <c r="Y18" i="21"/>
  <c r="Z18" i="21" s="1"/>
  <c r="Y17" i="21"/>
  <c r="Z17" i="21" s="1"/>
  <c r="Y16" i="21"/>
  <c r="Z16" i="21" s="1"/>
  <c r="Y15" i="21"/>
  <c r="Z15" i="21" s="1"/>
  <c r="Y14" i="21"/>
  <c r="Z14" i="21" s="1"/>
  <c r="Y13" i="21"/>
  <c r="Z13" i="21" s="1"/>
  <c r="Y12" i="21"/>
  <c r="Z12" i="21" s="1"/>
  <c r="Y11" i="21"/>
  <c r="Z11" i="21" s="1"/>
  <c r="Y20" i="21"/>
  <c r="Z20" i="21" s="1"/>
  <c r="X265" i="21" l="1"/>
  <c r="Y265" i="21"/>
  <c r="Z265" i="21" s="1"/>
  <c r="Y398" i="21"/>
  <c r="Y400" i="21"/>
  <c r="Y413" i="21"/>
  <c r="Y399" i="21"/>
  <c r="Y225" i="21"/>
  <c r="Y481" i="21"/>
  <c r="Y224" i="21"/>
  <c r="Y222" i="21"/>
  <c r="Y483" i="21"/>
  <c r="Y288" i="21"/>
  <c r="Y369" i="21"/>
  <c r="Y539" i="21"/>
  <c r="Y540" i="21"/>
  <c r="Y368" i="21"/>
  <c r="Y439" i="21"/>
  <c r="Y509" i="21"/>
  <c r="Y382" i="21"/>
  <c r="Y206" i="21"/>
  <c r="Y482" i="21"/>
  <c r="Y480" i="21"/>
  <c r="Y51" i="21"/>
  <c r="Y484" i="21"/>
  <c r="Y431" i="21"/>
  <c r="Y374" i="21"/>
  <c r="Y433" i="21"/>
  <c r="Y432" i="21"/>
  <c r="Y145" i="21"/>
  <c r="Y380" i="21"/>
  <c r="Y397" i="21"/>
  <c r="Y372" i="21"/>
  <c r="Y410" i="21"/>
  <c r="Y414" i="21"/>
  <c r="Y383" i="21"/>
  <c r="Y392" i="21"/>
  <c r="Y412" i="21"/>
  <c r="Y385" i="21"/>
  <c r="Y408" i="21"/>
  <c r="Y402" i="21"/>
  <c r="Y391" i="21"/>
  <c r="Y417" i="21"/>
  <c r="Y196" i="21"/>
  <c r="Y197" i="21"/>
  <c r="Y423" i="21"/>
  <c r="Y416" i="21"/>
  <c r="Y445" i="21"/>
  <c r="Y260" i="21"/>
  <c r="Y323" i="21"/>
  <c r="Y506" i="21"/>
  <c r="Y320" i="21"/>
  <c r="Y386" i="21"/>
  <c r="Y262" i="21"/>
  <c r="Y325" i="21"/>
  <c r="Y223" i="21"/>
  <c r="Y149" i="21"/>
  <c r="Y131" i="21"/>
  <c r="Y95" i="21"/>
  <c r="Y139" i="21"/>
  <c r="Y424" i="21"/>
  <c r="Y307" i="21"/>
  <c r="Y407" i="21"/>
  <c r="Y387" i="21"/>
  <c r="Y115" i="21"/>
  <c r="Y334" i="21"/>
  <c r="Y406" i="21"/>
  <c r="Y491" i="21"/>
  <c r="Y421" i="21"/>
  <c r="Y219" i="21"/>
  <c r="Y220" i="21"/>
  <c r="Y291" i="21"/>
  <c r="Y441" i="21"/>
  <c r="Y62" i="21"/>
  <c r="Y496" i="21"/>
  <c r="Y45" i="21"/>
  <c r="Y44" i="21"/>
  <c r="Y38" i="21"/>
  <c r="Y158" i="21"/>
  <c r="Y178" i="21"/>
  <c r="Y261" i="21"/>
  <c r="Y370" i="21"/>
  <c r="Y395" i="21"/>
  <c r="Y116" i="21"/>
  <c r="Y244" i="21"/>
  <c r="Y92" i="21"/>
  <c r="Y420" i="21"/>
  <c r="Y554" i="21"/>
  <c r="Y132" i="21"/>
  <c r="Y242" i="21"/>
  <c r="Y214" i="21"/>
  <c r="Y101" i="21"/>
  <c r="Y278" i="21"/>
  <c r="Y69" i="21"/>
  <c r="Y108" i="21"/>
  <c r="Y396" i="21"/>
  <c r="Y388" i="21"/>
  <c r="Y470" i="21"/>
  <c r="Y466" i="21"/>
  <c r="Y467" i="21"/>
  <c r="Y184" i="21"/>
  <c r="Y74" i="21"/>
  <c r="Y251" i="21"/>
  <c r="Y252" i="21"/>
  <c r="Y253" i="21"/>
  <c r="Y488" i="21"/>
  <c r="Y55" i="21"/>
  <c r="Y49" i="21"/>
  <c r="Y75" i="21"/>
  <c r="Y50" i="21"/>
  <c r="Y311" i="21"/>
  <c r="Y112" i="21"/>
  <c r="Y310" i="21"/>
  <c r="Y76" i="21"/>
  <c r="Y299" i="21"/>
  <c r="Y300" i="21"/>
  <c r="Y270" i="21"/>
  <c r="Y271" i="21"/>
  <c r="Y272" i="21"/>
  <c r="Y273" i="21"/>
  <c r="Y274" i="21"/>
  <c r="Y435" i="21"/>
  <c r="Y436" i="21"/>
  <c r="Y328" i="21"/>
  <c r="Y54" i="21"/>
  <c r="Y464" i="21"/>
  <c r="Y53" i="21"/>
  <c r="Y381" i="21"/>
  <c r="Y555" i="21"/>
  <c r="Y180" i="21"/>
  <c r="Y73" i="21"/>
  <c r="Y119" i="21"/>
  <c r="Y507" i="21"/>
  <c r="Y493" i="21"/>
  <c r="Y249" i="21"/>
  <c r="Y248" i="21"/>
  <c r="Y340" i="21"/>
  <c r="Y339" i="21"/>
  <c r="Y247" i="21"/>
  <c r="Y245" i="21"/>
  <c r="Y246" i="21"/>
  <c r="Y250" i="21"/>
  <c r="Y338" i="21"/>
  <c r="Y254" i="21"/>
  <c r="Y337" i="21"/>
  <c r="Y365" i="21"/>
  <c r="Y486" i="21"/>
  <c r="Y109" i="21"/>
  <c r="Y110" i="21"/>
  <c r="Y168" i="21"/>
  <c r="Y255" i="21"/>
  <c r="Y77" i="21"/>
  <c r="Y111" i="21"/>
  <c r="Y61" i="21"/>
  <c r="Y233" i="21"/>
  <c r="Y525" i="21"/>
  <c r="Y521" i="21"/>
  <c r="Y524" i="21"/>
  <c r="Y229" i="21"/>
  <c r="Y65" i="21"/>
  <c r="Y148" i="21"/>
  <c r="Y177" i="21"/>
  <c r="Y161" i="21"/>
  <c r="Y84" i="21"/>
  <c r="Y504" i="21"/>
  <c r="Y363" i="21"/>
  <c r="Y315" i="21"/>
  <c r="Y157" i="21"/>
  <c r="Y166" i="21"/>
  <c r="Y67" i="21"/>
  <c r="Y26" i="21"/>
  <c r="Y295" i="21"/>
  <c r="Y226" i="21"/>
  <c r="Y176" i="21"/>
  <c r="Y162" i="21"/>
  <c r="Y351" i="21"/>
  <c r="Y352" i="21"/>
  <c r="Y172" i="21"/>
  <c r="Y290" i="21"/>
  <c r="Y232" i="21"/>
  <c r="Y143" i="21"/>
  <c r="Y144" i="21"/>
  <c r="Y142" i="21"/>
  <c r="Y228" i="21"/>
  <c r="Y471" i="21"/>
  <c r="Y181" i="21"/>
  <c r="Y130" i="21"/>
  <c r="Y324" i="21"/>
  <c r="Y277" i="21"/>
  <c r="Y267" i="21"/>
  <c r="Y39" i="21"/>
  <c r="Y118" i="21"/>
  <c r="Y151" i="21"/>
  <c r="Y152" i="21"/>
  <c r="Y327" i="21"/>
  <c r="Y117" i="21"/>
  <c r="Y42" i="21"/>
  <c r="Y83" i="21"/>
  <c r="Y41" i="21"/>
  <c r="Y275" i="21"/>
  <c r="Y165" i="21"/>
  <c r="Y124" i="21"/>
  <c r="Y353" i="21"/>
  <c r="Y354" i="21"/>
  <c r="Y317" i="21"/>
  <c r="Y345" i="21"/>
  <c r="Y106" i="21"/>
  <c r="Y316" i="21"/>
  <c r="Y326" i="21"/>
  <c r="Y227" i="21"/>
  <c r="Y31" i="21"/>
  <c r="Y556" i="21"/>
  <c r="Y492" i="21"/>
  <c r="Y66" i="21"/>
  <c r="Y349" i="21"/>
  <c r="Y284" i="21"/>
  <c r="Y193" i="21"/>
  <c r="Y314" i="21"/>
  <c r="Y36" i="21"/>
  <c r="Y122" i="21"/>
  <c r="Y123" i="21"/>
  <c r="Y208" i="21"/>
  <c r="Y192" i="21"/>
  <c r="Y446" i="21"/>
  <c r="Y121" i="21"/>
  <c r="Y306" i="21"/>
  <c r="Y304" i="21"/>
  <c r="Y305" i="21"/>
  <c r="Y390" i="21"/>
  <c r="Y356" i="21"/>
  <c r="Y428" i="21"/>
  <c r="Y202" i="21"/>
  <c r="Y187" i="21"/>
  <c r="Y438" i="21"/>
  <c r="Y128" i="21"/>
  <c r="Y175" i="21"/>
  <c r="Y174" i="21"/>
  <c r="Y303" i="21"/>
  <c r="Y455" i="21"/>
  <c r="Y558" i="21"/>
  <c r="Y409" i="21"/>
  <c r="Y129" i="21"/>
  <c r="Y331" i="21"/>
  <c r="Y411" i="21"/>
  <c r="Y37" i="21"/>
  <c r="Y269" i="21"/>
  <c r="Y302" i="21"/>
  <c r="Y268" i="21"/>
  <c r="Y330" i="21"/>
  <c r="Y514" i="21"/>
  <c r="Y546" i="21"/>
  <c r="Y559" i="21"/>
  <c r="Y153" i="21"/>
  <c r="Y154" i="21"/>
  <c r="Y155" i="21"/>
  <c r="Y156" i="21"/>
  <c r="Y329" i="21"/>
  <c r="Y362" i="21"/>
  <c r="Y63" i="21"/>
  <c r="Y318" i="21"/>
  <c r="Y319" i="21"/>
  <c r="Y321" i="21"/>
  <c r="Y348" i="21"/>
  <c r="Y332" i="21"/>
  <c r="Y333" i="21"/>
  <c r="Y91" i="21"/>
  <c r="Y40" i="21"/>
  <c r="Y234" i="21"/>
  <c r="Y532" i="21"/>
  <c r="Y533" i="21"/>
  <c r="Y530" i="21"/>
  <c r="Y313" i="21"/>
  <c r="Y312" i="21"/>
  <c r="Y107" i="21"/>
  <c r="Y104" i="21"/>
  <c r="Y511" i="21"/>
  <c r="Y456" i="21"/>
  <c r="Y135" i="21"/>
  <c r="Y150" i="21"/>
  <c r="Y189" i="21"/>
  <c r="Y30" i="21"/>
  <c r="Y205" i="21"/>
  <c r="Y59" i="21"/>
  <c r="Y281" i="21"/>
  <c r="Y195" i="21"/>
  <c r="Y213" i="21"/>
  <c r="Y359" i="21"/>
  <c r="Y160" i="21"/>
  <c r="Y140" i="21"/>
  <c r="Y185" i="21"/>
  <c r="Y146" i="21"/>
  <c r="Y147" i="21"/>
  <c r="Y159" i="21"/>
  <c r="Y188" i="21"/>
  <c r="Y105" i="21"/>
  <c r="Y46" i="21"/>
  <c r="Y360" i="21"/>
  <c r="Y256" i="21"/>
  <c r="Y257" i="21"/>
  <c r="Y294" i="21"/>
  <c r="Y241" i="21"/>
  <c r="Y82" i="21"/>
  <c r="Y216" i="21"/>
  <c r="Y186" i="21"/>
  <c r="Y239" i="21"/>
  <c r="Y238" i="21"/>
  <c r="Y240" i="21"/>
  <c r="Y405" i="21"/>
  <c r="Y230" i="21"/>
  <c r="Y231" i="21"/>
  <c r="Y169" i="21"/>
  <c r="Y451" i="21"/>
  <c r="Y394" i="21"/>
  <c r="Y70" i="21"/>
  <c r="Y485" i="21"/>
  <c r="Y88" i="21"/>
  <c r="Y47" i="21"/>
  <c r="Y138" i="21"/>
  <c r="Y221" i="21"/>
  <c r="Y78" i="21"/>
  <c r="Y103" i="21"/>
  <c r="Y293" i="21"/>
  <c r="Y198" i="21"/>
  <c r="Y120" i="21"/>
  <c r="Y243" i="21"/>
  <c r="Y217" i="21"/>
  <c r="Y427" i="21"/>
  <c r="Y289" i="21"/>
  <c r="Y170" i="21"/>
  <c r="Y32" i="21"/>
  <c r="Y266" i="21"/>
  <c r="Y80" i="21"/>
  <c r="Y199" i="21"/>
  <c r="Y200" i="21"/>
  <c r="Y201" i="21"/>
  <c r="Y301" i="21"/>
  <c r="Y43" i="21"/>
  <c r="Y57" i="21"/>
  <c r="Y444" i="21"/>
  <c r="Y358" i="21"/>
  <c r="Y510" i="21"/>
  <c r="Y203" i="21"/>
  <c r="Y286" i="21"/>
  <c r="Y287" i="21"/>
  <c r="Y285" i="21"/>
  <c r="Y283" i="21"/>
  <c r="Y552" i="21"/>
  <c r="Y549" i="21"/>
  <c r="Y551" i="21"/>
  <c r="Y520" i="21"/>
  <c r="Y523" i="21"/>
  <c r="Y550" i="21"/>
  <c r="Y553" i="21"/>
  <c r="Y518" i="21"/>
  <c r="Y529" i="21"/>
  <c r="Y519" i="21"/>
  <c r="Y183" i="21"/>
  <c r="Y276" i="21"/>
  <c r="Y235" i="21"/>
  <c r="Y218" i="21"/>
  <c r="Y236" i="21"/>
  <c r="Y237" i="21"/>
  <c r="Y163" i="21"/>
  <c r="Y164" i="21"/>
  <c r="Y503" i="21"/>
  <c r="Y541" i="21"/>
  <c r="Y191" i="21"/>
  <c r="Y259" i="21"/>
  <c r="Y515" i="21"/>
  <c r="Y209" i="21"/>
  <c r="Y212" i="21"/>
  <c r="Y538" i="21"/>
  <c r="Y341" i="21"/>
  <c r="Y342" i="21"/>
  <c r="Y210" i="21"/>
  <c r="Y344" i="21"/>
  <c r="Y211" i="21"/>
  <c r="Y258" i="21"/>
  <c r="Y475" i="21"/>
  <c r="Y167" i="21"/>
  <c r="Y494" i="21"/>
  <c r="Y58" i="21"/>
  <c r="Y357" i="21"/>
  <c r="Y548" i="21"/>
  <c r="Y543" i="21"/>
  <c r="Y401" i="21"/>
  <c r="Y545" i="21"/>
  <c r="Y127" i="21"/>
  <c r="Y35" i="21"/>
  <c r="Y537" i="21"/>
  <c r="Y535" i="21"/>
  <c r="Y547" i="21"/>
  <c r="Y526" i="21"/>
  <c r="Y531" i="21"/>
  <c r="Y527" i="21"/>
  <c r="Y528" i="21"/>
  <c r="Y434" i="21"/>
  <c r="Y418" i="21"/>
  <c r="Y489" i="21"/>
  <c r="Y487" i="21"/>
  <c r="Y296" i="21"/>
  <c r="Y501" i="21"/>
  <c r="Y517" i="21"/>
  <c r="Y280" i="21"/>
  <c r="Y279" i="21"/>
  <c r="Y516" i="21"/>
  <c r="Y48" i="21"/>
  <c r="Y52" i="21"/>
  <c r="Y422" i="21"/>
  <c r="Y335" i="21"/>
  <c r="Y336" i="21"/>
  <c r="Y98" i="21"/>
  <c r="Y536" i="21"/>
  <c r="Y500" i="21"/>
  <c r="Y497" i="21"/>
  <c r="Y490" i="21"/>
  <c r="Y499" i="21"/>
  <c r="Y393" i="21"/>
  <c r="Y97" i="21"/>
  <c r="Y371" i="21"/>
  <c r="Y297" i="21"/>
  <c r="Y298" i="21"/>
  <c r="Y404" i="21"/>
  <c r="Y28" i="21"/>
  <c r="Y99" i="21"/>
  <c r="Y355" i="21"/>
  <c r="Y347" i="21"/>
  <c r="Y376" i="21"/>
  <c r="Y182" i="21"/>
  <c r="Y134" i="21"/>
  <c r="Y79" i="21"/>
  <c r="Y113" i="21"/>
  <c r="Y442" i="21"/>
  <c r="Y389" i="21"/>
  <c r="Y81" i="21"/>
  <c r="Y72" i="21"/>
  <c r="Y403" i="21"/>
  <c r="Y384" i="21"/>
  <c r="Y443" i="21"/>
  <c r="Y440" i="21"/>
  <c r="Y379" i="21"/>
  <c r="Y322" i="21"/>
  <c r="Y204" i="21"/>
  <c r="Y415" i="21"/>
  <c r="Y469" i="21"/>
  <c r="Y373" i="21"/>
  <c r="Y190" i="21"/>
  <c r="Y125" i="21"/>
  <c r="Y457" i="21"/>
  <c r="Y34" i="21"/>
  <c r="Y33" i="21"/>
  <c r="Y473" i="21"/>
  <c r="Y56" i="21"/>
  <c r="Y350" i="21"/>
  <c r="Y102" i="21"/>
  <c r="Y364" i="21"/>
  <c r="Y468" i="21"/>
  <c r="Y264" i="21"/>
  <c r="Y361" i="21"/>
  <c r="Y505" i="21"/>
  <c r="Y282" i="21"/>
  <c r="Y377" i="21"/>
  <c r="Y437" i="21"/>
  <c r="Y425" i="21"/>
  <c r="Y426" i="21"/>
  <c r="Y447" i="21"/>
  <c r="Y367" i="21"/>
  <c r="Y29" i="21"/>
  <c r="Y495" i="21"/>
  <c r="Y309" i="21"/>
  <c r="Y133" i="21"/>
  <c r="Y308" i="21"/>
  <c r="Y114" i="21"/>
  <c r="Y27" i="21"/>
  <c r="Y502" i="21"/>
  <c r="Y141" i="21"/>
  <c r="Y465" i="21"/>
  <c r="Y94" i="21"/>
  <c r="Y472" i="21"/>
  <c r="Y429" i="21"/>
  <c r="Y22" i="21"/>
  <c r="Y512" i="21"/>
  <c r="Y171" i="21"/>
  <c r="Y452" i="21"/>
  <c r="Y68" i="21"/>
  <c r="Y126" i="21"/>
  <c r="Y448" i="21"/>
  <c r="Y179" i="21"/>
  <c r="Y479" i="21"/>
  <c r="Y173" i="21"/>
  <c r="Y478" i="21"/>
  <c r="Y498" i="21"/>
  <c r="Y476" i="21"/>
  <c r="Y477" i="21"/>
  <c r="Y207" i="21"/>
  <c r="Y419" i="21"/>
  <c r="Y522" i="21"/>
  <c r="Y474" i="21"/>
  <c r="Y71" i="21"/>
  <c r="Y215" i="21"/>
  <c r="Y93" i="21"/>
  <c r="Y375" i="21"/>
  <c r="Y366" i="21"/>
  <c r="Y430" i="21"/>
  <c r="Y557" i="21"/>
  <c r="Y534" i="21"/>
  <c r="Y263" i="21"/>
  <c r="Y137" i="21"/>
  <c r="Y64" i="21"/>
  <c r="Y449" i="21"/>
  <c r="Y513" i="21"/>
  <c r="Y453" i="21"/>
  <c r="Y450" i="21"/>
  <c r="Y508" i="21"/>
  <c r="Y544" i="21"/>
  <c r="Y86" i="21"/>
  <c r="Y87" i="21"/>
  <c r="Y346" i="21"/>
  <c r="Y463" i="21"/>
  <c r="Y96" i="21"/>
  <c r="Y136" i="21"/>
  <c r="Y85" i="21"/>
  <c r="Y454" i="21"/>
  <c r="Y21" i="21"/>
  <c r="Y378" i="21"/>
  <c r="Y89" i="21"/>
  <c r="Y25" i="21"/>
  <c r="Y292" i="21"/>
  <c r="Y90" i="21"/>
  <c r="Y100" i="21"/>
  <c r="Y343" i="21"/>
  <c r="Y194" i="21"/>
  <c r="Y24" i="21"/>
  <c r="Y23" i="21"/>
  <c r="Y60" i="21"/>
  <c r="Y461" i="21"/>
  <c r="Y458" i="21"/>
  <c r="Y460" i="21"/>
  <c r="Y459" i="21"/>
  <c r="Y462" i="21"/>
  <c r="Y542" i="21"/>
  <c r="P5" i="24" l="1"/>
  <c r="Z5" i="21" l="1"/>
  <c r="D5" i="20"/>
  <c r="K5" i="19"/>
  <c r="P5" i="12"/>
  <c r="E5" i="11"/>
  <c r="X446" i="21" l="1"/>
  <c r="X192" i="21"/>
  <c r="X208" i="21"/>
  <c r="X123" i="21"/>
  <c r="X122" i="21"/>
  <c r="X36" i="21"/>
  <c r="X314" i="21"/>
  <c r="X193" i="21"/>
  <c r="X284" i="21"/>
  <c r="X349" i="21"/>
  <c r="X66" i="21"/>
  <c r="Z492" i="21"/>
  <c r="X492" i="21"/>
  <c r="Z556" i="21"/>
  <c r="X556" i="21"/>
  <c r="X31" i="21"/>
  <c r="X227" i="21"/>
  <c r="X326" i="21"/>
  <c r="X316" i="21"/>
  <c r="X106" i="21"/>
  <c r="X345" i="21"/>
  <c r="X317" i="21"/>
  <c r="X354" i="21"/>
  <c r="X353" i="21"/>
  <c r="X124" i="21"/>
  <c r="X275" i="21"/>
  <c r="X41" i="21"/>
  <c r="X83" i="21"/>
  <c r="X42" i="21"/>
  <c r="X117" i="21"/>
  <c r="X327" i="21"/>
  <c r="X152" i="21"/>
  <c r="X151" i="21"/>
  <c r="X118" i="21"/>
  <c r="X39" i="21"/>
  <c r="X267" i="21"/>
  <c r="X277" i="21"/>
  <c r="X324" i="21"/>
  <c r="X130" i="21"/>
  <c r="X181" i="21"/>
  <c r="X471" i="21"/>
  <c r="X228" i="21"/>
  <c r="X142" i="21"/>
  <c r="X144" i="21"/>
  <c r="X143" i="21"/>
  <c r="X232" i="21"/>
  <c r="X290" i="21"/>
  <c r="X172" i="21"/>
  <c r="X352" i="21"/>
  <c r="X351" i="21"/>
  <c r="X162" i="21"/>
  <c r="X176" i="21"/>
  <c r="X226" i="21"/>
  <c r="X295" i="21"/>
  <c r="X67" i="21"/>
  <c r="X166" i="21"/>
  <c r="X157" i="21"/>
  <c r="X315" i="21"/>
  <c r="X363" i="21"/>
  <c r="X504" i="21"/>
  <c r="X84" i="21"/>
  <c r="X161" i="21"/>
  <c r="X177" i="21"/>
  <c r="X148" i="21"/>
  <c r="X65" i="21"/>
  <c r="X229" i="21"/>
  <c r="X524" i="21"/>
  <c r="X521" i="21"/>
  <c r="X525" i="21"/>
  <c r="X233" i="21"/>
  <c r="X61" i="21"/>
  <c r="X111" i="21"/>
  <c r="X168" i="21"/>
  <c r="X110" i="21"/>
  <c r="X109" i="21"/>
  <c r="X234" i="21"/>
  <c r="Z559" i="21"/>
  <c r="X559" i="21"/>
  <c r="Z546" i="21"/>
  <c r="X546" i="21"/>
  <c r="X40" i="21"/>
  <c r="X91" i="21"/>
  <c r="X333" i="21"/>
  <c r="X332" i="21"/>
  <c r="X348" i="21"/>
  <c r="X321" i="21"/>
  <c r="X319" i="21"/>
  <c r="X318" i="21"/>
  <c r="X63" i="21"/>
  <c r="X362" i="21"/>
  <c r="X329" i="21"/>
  <c r="X156" i="21"/>
  <c r="X155" i="21"/>
  <c r="X154" i="21"/>
  <c r="X153" i="21"/>
  <c r="X514" i="21"/>
  <c r="X330" i="21"/>
  <c r="X268" i="21"/>
  <c r="X302" i="21"/>
  <c r="X269" i="21"/>
  <c r="X37" i="21"/>
  <c r="X411" i="21"/>
  <c r="X331" i="21"/>
  <c r="X129" i="21"/>
  <c r="X409" i="21"/>
  <c r="Z558" i="21"/>
  <c r="X558" i="21"/>
  <c r="Z455" i="21"/>
  <c r="X455" i="21"/>
  <c r="Z303" i="21"/>
  <c r="X303" i="21"/>
  <c r="Z174" i="21"/>
  <c r="X174" i="21"/>
  <c r="X175" i="21"/>
  <c r="X128" i="21"/>
  <c r="X438" i="21"/>
  <c r="X187" i="21"/>
  <c r="X202" i="21"/>
  <c r="X428" i="21"/>
  <c r="X356" i="21"/>
  <c r="X390" i="21"/>
  <c r="X305" i="21"/>
  <c r="X304" i="21"/>
  <c r="X306" i="21"/>
  <c r="X121" i="21"/>
  <c r="X108" i="21"/>
  <c r="X69" i="21"/>
  <c r="X278" i="21"/>
  <c r="X101" i="21"/>
  <c r="X214" i="21"/>
  <c r="X242" i="21"/>
  <c r="X132" i="21"/>
  <c r="X292" i="21"/>
  <c r="X378" i="21"/>
  <c r="X21" i="21"/>
  <c r="X454" i="21"/>
  <c r="Z85" i="21"/>
  <c r="X85" i="21"/>
  <c r="Z136" i="21"/>
  <c r="X136" i="21"/>
  <c r="Z96" i="21"/>
  <c r="X96" i="21"/>
  <c r="Z463" i="21"/>
  <c r="X463" i="21"/>
  <c r="Z87" i="21"/>
  <c r="X87" i="21"/>
  <c r="Z86" i="21"/>
  <c r="X86" i="21"/>
  <c r="Z544" i="21"/>
  <c r="X544" i="21"/>
  <c r="X508" i="21"/>
  <c r="X450" i="21"/>
  <c r="X453" i="21"/>
  <c r="X513" i="21"/>
  <c r="X449" i="21"/>
  <c r="Z64" i="21"/>
  <c r="X64" i="21"/>
  <c r="Z137" i="21"/>
  <c r="X137" i="21"/>
  <c r="X263" i="21"/>
  <c r="X534" i="21"/>
  <c r="X430" i="21"/>
  <c r="X366" i="21"/>
  <c r="X93" i="21"/>
  <c r="X71" i="21"/>
  <c r="X474" i="21"/>
  <c r="X522" i="21"/>
  <c r="Z419" i="21"/>
  <c r="X419" i="21"/>
  <c r="X207" i="21"/>
  <c r="X498" i="21"/>
  <c r="X173" i="21"/>
  <c r="X179" i="21"/>
  <c r="X448" i="21"/>
  <c r="X452" i="21"/>
  <c r="X171" i="21"/>
  <c r="Z512" i="21"/>
  <c r="X512" i="21"/>
  <c r="X429" i="21"/>
  <c r="X472" i="21"/>
  <c r="X94" i="21"/>
  <c r="X465" i="21"/>
  <c r="X141" i="21"/>
  <c r="X502" i="21"/>
  <c r="X27" i="21"/>
  <c r="X114" i="21"/>
  <c r="X308" i="21"/>
  <c r="X133" i="21"/>
  <c r="X309" i="21"/>
  <c r="X495" i="21"/>
  <c r="X29" i="21"/>
  <c r="X367" i="21"/>
  <c r="X447" i="21"/>
  <c r="X426" i="21"/>
  <c r="X425" i="21"/>
  <c r="X437" i="21"/>
  <c r="X282" i="21"/>
  <c r="X505" i="21"/>
  <c r="X361" i="21"/>
  <c r="X264" i="21"/>
  <c r="X468" i="21"/>
  <c r="X364" i="21"/>
  <c r="X102" i="21"/>
  <c r="X350" i="21"/>
  <c r="X56" i="21"/>
  <c r="X473" i="21"/>
  <c r="X34" i="21"/>
  <c r="X457" i="21"/>
  <c r="X125" i="21"/>
  <c r="X190" i="21"/>
  <c r="X373" i="21"/>
  <c r="X469" i="21"/>
  <c r="X415" i="21"/>
  <c r="Z204" i="21"/>
  <c r="X204" i="21"/>
  <c r="X322" i="21"/>
  <c r="X379" i="21"/>
  <c r="X440" i="21"/>
  <c r="X443" i="21"/>
  <c r="X384" i="21"/>
  <c r="X403" i="21"/>
  <c r="X72" i="21"/>
  <c r="X81" i="21"/>
  <c r="X389" i="21"/>
  <c r="X442" i="21"/>
  <c r="X113" i="21"/>
  <c r="X79" i="21"/>
  <c r="X134" i="21"/>
  <c r="X182" i="21"/>
  <c r="X376" i="21"/>
  <c r="X347" i="21"/>
  <c r="X355" i="21"/>
  <c r="X99" i="21"/>
  <c r="X404" i="21"/>
  <c r="Z298" i="21"/>
  <c r="X298" i="21"/>
  <c r="Z297" i="21"/>
  <c r="X297" i="21"/>
  <c r="Z371" i="21"/>
  <c r="X371" i="21"/>
  <c r="Z97" i="21"/>
  <c r="X97" i="21"/>
  <c r="X393" i="21"/>
  <c r="X499" i="21"/>
  <c r="X490" i="21"/>
  <c r="X497" i="21"/>
  <c r="X500" i="21"/>
  <c r="X536" i="21"/>
  <c r="X422" i="21"/>
  <c r="X52" i="21"/>
  <c r="X48" i="21"/>
  <c r="X516" i="21"/>
  <c r="X279" i="21"/>
  <c r="X280" i="21"/>
  <c r="X517" i="21"/>
  <c r="X501" i="21"/>
  <c r="Z296" i="21"/>
  <c r="X296" i="21"/>
  <c r="Z487" i="21"/>
  <c r="X487" i="21"/>
  <c r="Z489" i="21"/>
  <c r="X489" i="21"/>
  <c r="X418" i="21"/>
  <c r="X434" i="21"/>
  <c r="X528" i="21"/>
  <c r="X527" i="21"/>
  <c r="X531" i="21"/>
  <c r="X526" i="21"/>
  <c r="X547" i="21"/>
  <c r="X535" i="21"/>
  <c r="X537" i="21"/>
  <c r="X35" i="21"/>
  <c r="X127" i="21"/>
  <c r="X545" i="21"/>
  <c r="X401" i="21"/>
  <c r="X543" i="21"/>
  <c r="X548" i="21"/>
  <c r="X357" i="21"/>
  <c r="X58" i="21"/>
  <c r="Z494" i="21"/>
  <c r="X494" i="21"/>
  <c r="X258" i="21"/>
  <c r="X211" i="21"/>
  <c r="X344" i="21"/>
  <c r="X210" i="21"/>
  <c r="X342" i="21"/>
  <c r="X341" i="21"/>
  <c r="X212" i="21"/>
  <c r="X209" i="21"/>
  <c r="Z515" i="21"/>
  <c r="X515" i="21"/>
  <c r="X259" i="21"/>
  <c r="X191" i="21"/>
  <c r="Z541" i="21"/>
  <c r="X541" i="21"/>
  <c r="Z503" i="21"/>
  <c r="X503" i="21"/>
  <c r="Z164" i="21"/>
  <c r="X164" i="21"/>
  <c r="Z163" i="21"/>
  <c r="X163" i="21"/>
  <c r="X237" i="21"/>
  <c r="X236" i="21"/>
  <c r="Z218" i="21"/>
  <c r="X218" i="21"/>
  <c r="X235" i="21"/>
  <c r="X276" i="21"/>
  <c r="X183" i="21"/>
  <c r="Z519" i="21"/>
  <c r="X519" i="21"/>
  <c r="Z529" i="21"/>
  <c r="X529" i="21"/>
  <c r="Z518" i="21"/>
  <c r="X518" i="21"/>
  <c r="Z553" i="21"/>
  <c r="X553" i="21"/>
  <c r="Z550" i="21"/>
  <c r="X550" i="21"/>
  <c r="Z523" i="21"/>
  <c r="X523" i="21"/>
  <c r="Z520" i="21"/>
  <c r="X520" i="21"/>
  <c r="Z551" i="21"/>
  <c r="X551" i="21"/>
  <c r="Z549" i="21"/>
  <c r="X549" i="21"/>
  <c r="Z552" i="21"/>
  <c r="X552" i="21"/>
  <c r="X283" i="21"/>
  <c r="X285" i="21"/>
  <c r="X287" i="21"/>
  <c r="X286" i="21"/>
  <c r="Z203" i="21"/>
  <c r="X203" i="21"/>
  <c r="X510" i="21"/>
  <c r="X358" i="21"/>
  <c r="X444" i="21"/>
  <c r="X57" i="21"/>
  <c r="X43" i="21"/>
  <c r="X301" i="21"/>
  <c r="X201" i="21"/>
  <c r="X200" i="21"/>
  <c r="X199" i="21"/>
  <c r="X80" i="21"/>
  <c r="X266" i="21"/>
  <c r="X32" i="21"/>
  <c r="X170" i="21"/>
  <c r="X289" i="21"/>
  <c r="X427" i="21"/>
  <c r="X217" i="21"/>
  <c r="X243" i="21"/>
  <c r="X120" i="21"/>
  <c r="X198" i="21"/>
  <c r="X293" i="21"/>
  <c r="X103" i="21"/>
  <c r="X78" i="21"/>
  <c r="X221" i="21"/>
  <c r="Z138" i="21"/>
  <c r="X138" i="21"/>
  <c r="X47" i="21"/>
  <c r="X88" i="21"/>
  <c r="X485" i="21"/>
  <c r="X70" i="21"/>
  <c r="X394" i="21"/>
  <c r="X451" i="21"/>
  <c r="X169" i="21"/>
  <c r="X231" i="21"/>
  <c r="X230" i="21"/>
  <c r="X405" i="21"/>
  <c r="X240" i="21"/>
  <c r="X238" i="21"/>
  <c r="X239" i="21"/>
  <c r="X186" i="21"/>
  <c r="X216" i="21"/>
  <c r="X82" i="21"/>
  <c r="X241" i="21"/>
  <c r="X294" i="21"/>
  <c r="X257" i="21"/>
  <c r="X256" i="21"/>
  <c r="X360" i="21"/>
  <c r="X46" i="21"/>
  <c r="X105" i="21"/>
  <c r="X188" i="21"/>
  <c r="X159" i="21"/>
  <c r="X147" i="21"/>
  <c r="X146" i="21"/>
  <c r="X185" i="21"/>
  <c r="X140" i="21"/>
  <c r="X160" i="21"/>
  <c r="X359" i="21"/>
  <c r="X213" i="21"/>
  <c r="X195" i="21"/>
  <c r="X281" i="21"/>
  <c r="X59" i="21"/>
  <c r="Z205" i="21"/>
  <c r="X205" i="21"/>
  <c r="X30" i="21"/>
  <c r="X189" i="21"/>
  <c r="X150" i="21"/>
  <c r="X135" i="21"/>
  <c r="X456" i="21"/>
  <c r="X511" i="21"/>
  <c r="X104" i="21"/>
  <c r="X107" i="21"/>
  <c r="X312" i="21"/>
  <c r="X313" i="21"/>
  <c r="X530" i="21"/>
  <c r="X533" i="21"/>
  <c r="X532" i="21"/>
  <c r="Z462" i="21"/>
  <c r="X462" i="21"/>
  <c r="Z459" i="21"/>
  <c r="X459" i="21"/>
  <c r="Z460" i="21"/>
  <c r="X460" i="21"/>
  <c r="Z458" i="21"/>
  <c r="X458" i="21"/>
  <c r="Z461" i="21"/>
  <c r="X461" i="21"/>
  <c r="X60" i="21"/>
  <c r="X23" i="21"/>
  <c r="X24" i="21"/>
  <c r="X194" i="21"/>
  <c r="X343" i="21"/>
  <c r="X100" i="21"/>
  <c r="X90" i="21"/>
  <c r="X25" i="21"/>
  <c r="X89" i="21"/>
  <c r="X346" i="21"/>
  <c r="Z557" i="21"/>
  <c r="X557" i="21"/>
  <c r="X375" i="21"/>
  <c r="X215" i="21"/>
  <c r="X477" i="21"/>
  <c r="X476" i="21"/>
  <c r="X478" i="21"/>
  <c r="X479" i="21"/>
  <c r="X126" i="21"/>
  <c r="X68" i="21"/>
  <c r="X22" i="21"/>
  <c r="X377" i="21"/>
  <c r="X33" i="21"/>
  <c r="X28" i="21"/>
  <c r="X98" i="21"/>
  <c r="X336" i="21"/>
  <c r="X335" i="21"/>
  <c r="X167" i="21"/>
  <c r="X475" i="21"/>
  <c r="X538" i="21"/>
  <c r="X165" i="21"/>
  <c r="X77" i="21"/>
  <c r="X255" i="21"/>
  <c r="X486" i="21"/>
  <c r="X365" i="21"/>
  <c r="X337" i="21"/>
  <c r="X254" i="21"/>
  <c r="X338" i="21"/>
  <c r="X250" i="21"/>
  <c r="X246" i="21"/>
  <c r="X245" i="21"/>
  <c r="X247" i="21"/>
  <c r="X339" i="21"/>
  <c r="X340" i="21"/>
  <c r="X248" i="21"/>
  <c r="X249" i="21"/>
  <c r="X493" i="21"/>
  <c r="X507" i="21"/>
  <c r="X119" i="21"/>
  <c r="X73" i="21"/>
  <c r="X180" i="21"/>
  <c r="Z555" i="21"/>
  <c r="X555" i="21"/>
  <c r="X381" i="21"/>
  <c r="X53" i="21"/>
  <c r="X464" i="21"/>
  <c r="X54" i="21"/>
  <c r="X328" i="21"/>
  <c r="X436" i="21"/>
  <c r="X435" i="21"/>
  <c r="X274" i="21"/>
  <c r="X273" i="21"/>
  <c r="X272" i="21"/>
  <c r="X271" i="21"/>
  <c r="X270" i="21"/>
  <c r="X300" i="21"/>
  <c r="X299" i="21"/>
  <c r="X76" i="21"/>
  <c r="X310" i="21"/>
  <c r="X112" i="21"/>
  <c r="X311" i="21"/>
  <c r="X50" i="21"/>
  <c r="X75" i="21"/>
  <c r="X49" i="21"/>
  <c r="X55" i="21"/>
  <c r="Z488" i="21"/>
  <c r="X488" i="21"/>
  <c r="X253" i="21"/>
  <c r="X252" i="21"/>
  <c r="X251" i="21"/>
  <c r="X74" i="21"/>
  <c r="X184" i="21"/>
  <c r="X467" i="21"/>
  <c r="X466" i="21"/>
  <c r="X470" i="21"/>
  <c r="X388" i="21"/>
  <c r="X396" i="21"/>
  <c r="Z554" i="21"/>
  <c r="X554" i="21"/>
  <c r="X420" i="21"/>
  <c r="X92" i="21"/>
  <c r="Z244" i="21"/>
  <c r="X244" i="21"/>
  <c r="X116" i="21"/>
  <c r="X395" i="21"/>
  <c r="X370" i="21"/>
  <c r="X261" i="21"/>
  <c r="X178" i="21"/>
  <c r="X158" i="21"/>
  <c r="X38" i="21"/>
  <c r="X44" i="21"/>
  <c r="X45" i="21"/>
  <c r="X496" i="21"/>
  <c r="X62" i="21"/>
  <c r="X441" i="21"/>
  <c r="X291" i="21"/>
  <c r="X220" i="21"/>
  <c r="X219" i="21"/>
  <c r="X421" i="21"/>
  <c r="Z491" i="21"/>
  <c r="X491" i="21"/>
  <c r="X406" i="21"/>
  <c r="X334" i="21"/>
  <c r="X115" i="21"/>
  <c r="X387" i="21"/>
  <c r="X407" i="21"/>
  <c r="X307" i="21"/>
  <c r="X424" i="21"/>
  <c r="X139" i="21"/>
  <c r="Z95" i="21"/>
  <c r="X95" i="21"/>
  <c r="X131" i="21"/>
  <c r="X149" i="21"/>
  <c r="X223" i="21"/>
  <c r="X325" i="21"/>
  <c r="X262" i="21"/>
  <c r="X386" i="21"/>
  <c r="X320" i="21"/>
  <c r="X506" i="21"/>
  <c r="X323" i="21"/>
  <c r="X260" i="21"/>
  <c r="X445" i="21"/>
  <c r="X416" i="21"/>
  <c r="Z423" i="21"/>
  <c r="X423" i="21"/>
  <c r="X197" i="21"/>
  <c r="X196" i="21"/>
  <c r="X417" i="21"/>
  <c r="X391" i="21"/>
  <c r="X402" i="21"/>
  <c r="X408" i="21"/>
  <c r="X385" i="21"/>
  <c r="X412" i="21"/>
  <c r="X392" i="21"/>
  <c r="X383" i="21"/>
  <c r="X414" i="21"/>
  <c r="X410" i="21"/>
  <c r="X372" i="21"/>
  <c r="X397" i="21"/>
  <c r="X380" i="21"/>
  <c r="X145" i="21"/>
  <c r="X432" i="21"/>
  <c r="X433" i="21"/>
  <c r="X374" i="21"/>
  <c r="X431" i="21"/>
  <c r="X484" i="21"/>
  <c r="X51" i="21"/>
  <c r="Z480" i="21"/>
  <c r="X480" i="21"/>
  <c r="X482" i="21"/>
  <c r="Z206" i="21"/>
  <c r="X206" i="21"/>
  <c r="X382" i="21"/>
  <c r="X509" i="21"/>
  <c r="X439" i="21"/>
  <c r="X368" i="21"/>
  <c r="Z540" i="21"/>
  <c r="X540" i="21"/>
  <c r="Z539" i="21"/>
  <c r="X539" i="21"/>
  <c r="X369" i="21"/>
  <c r="X288" i="21"/>
  <c r="X483" i="21"/>
  <c r="X222" i="21"/>
  <c r="X224" i="21"/>
  <c r="Z481" i="21"/>
  <c r="X481" i="21"/>
  <c r="X225" i="21"/>
  <c r="X399" i="21"/>
  <c r="X413" i="21"/>
  <c r="X400" i="21"/>
  <c r="X398" i="21"/>
  <c r="X542" i="21"/>
  <c r="Z154" i="21" l="1"/>
  <c r="Z122" i="21"/>
  <c r="Z99" i="21"/>
  <c r="Z355" i="21"/>
  <c r="Z376" i="21"/>
  <c r="Z182" i="21"/>
  <c r="Z134" i="21"/>
  <c r="Z79" i="21"/>
  <c r="Z443" i="21"/>
  <c r="Z440" i="21"/>
  <c r="Z379" i="21"/>
  <c r="Z278" i="21"/>
  <c r="Z69" i="21"/>
  <c r="Z108" i="21"/>
  <c r="Z121" i="21"/>
  <c r="Z390" i="21"/>
  <c r="Z92" i="21"/>
  <c r="Z420" i="21"/>
  <c r="Z396" i="21"/>
  <c r="Z467" i="21"/>
  <c r="Z252" i="21"/>
  <c r="Z75" i="21"/>
  <c r="Z50" i="21"/>
  <c r="Z299" i="21"/>
  <c r="Z300" i="21"/>
  <c r="Z436" i="21"/>
  <c r="Z248" i="21"/>
  <c r="Z339" i="21"/>
  <c r="Z250" i="21"/>
  <c r="Z254" i="21"/>
  <c r="Z365" i="21"/>
  <c r="Z479" i="21"/>
  <c r="Z476" i="21"/>
  <c r="Z215" i="21"/>
  <c r="Z346" i="21"/>
  <c r="Z282" i="21"/>
  <c r="Z447" i="21"/>
  <c r="Z116" i="21"/>
  <c r="Z224" i="21"/>
  <c r="Z222" i="21"/>
  <c r="Z483" i="21"/>
  <c r="Z369" i="21"/>
  <c r="Z439" i="21"/>
  <c r="Z382" i="21"/>
  <c r="Z431" i="21"/>
  <c r="Z433" i="21"/>
  <c r="Z391" i="21"/>
  <c r="Z196" i="21"/>
  <c r="Z367" i="21"/>
  <c r="Z309" i="21"/>
  <c r="Z133" i="21"/>
  <c r="Z253" i="21"/>
  <c r="Z49" i="21"/>
  <c r="Z167" i="21"/>
  <c r="Z360" i="21"/>
  <c r="Z256" i="21"/>
  <c r="Z216" i="21"/>
  <c r="Z186" i="21"/>
  <c r="Z239" i="21"/>
  <c r="Z451" i="21"/>
  <c r="Z394" i="21"/>
  <c r="Z283" i="21"/>
  <c r="Z500" i="21"/>
  <c r="Z497" i="21"/>
  <c r="Z393" i="21"/>
  <c r="Z404" i="21"/>
  <c r="Z145" i="21"/>
  <c r="Z262" i="21"/>
  <c r="Z100" i="21"/>
  <c r="Z427" i="21"/>
  <c r="Z170" i="21"/>
  <c r="Z80" i="21"/>
  <c r="Z201" i="21"/>
  <c r="Z301" i="21"/>
  <c r="Z43" i="21"/>
  <c r="Z444" i="21"/>
  <c r="Z358" i="21"/>
  <c r="Z510" i="21"/>
  <c r="Z111" i="21"/>
  <c r="Z61" i="21"/>
  <c r="Z233" i="21"/>
  <c r="Z525" i="21"/>
  <c r="Z521" i="21"/>
  <c r="Z524" i="21"/>
  <c r="Z229" i="21"/>
  <c r="Z65" i="21"/>
  <c r="Z84" i="21"/>
  <c r="Z363" i="21"/>
  <c r="Z315" i="21"/>
  <c r="Z157" i="21"/>
  <c r="Z166" i="21"/>
  <c r="Z67" i="21"/>
  <c r="Z26" i="21"/>
  <c r="Z295" i="21"/>
  <c r="Z226" i="21"/>
  <c r="Z176" i="21"/>
  <c r="Z232" i="21"/>
  <c r="Z316" i="21"/>
  <c r="Z445" i="21"/>
  <c r="Z380" i="21"/>
  <c r="Z397" i="21"/>
  <c r="Z392" i="21"/>
  <c r="Z412" i="21"/>
  <c r="Z407" i="21"/>
  <c r="Z115" i="21"/>
  <c r="Z406" i="21"/>
  <c r="Z251" i="21"/>
  <c r="Z55" i="21"/>
  <c r="Z335" i="21"/>
  <c r="Z336" i="21"/>
  <c r="Z198" i="21"/>
  <c r="Z120" i="21"/>
  <c r="Z236" i="21"/>
  <c r="Z237" i="21"/>
  <c r="Z415" i="21"/>
  <c r="Z102" i="21"/>
  <c r="Z21" i="21"/>
  <c r="Z378" i="21"/>
  <c r="Z101" i="21"/>
  <c r="Z332" i="21"/>
  <c r="Z207" i="21"/>
  <c r="Z94" i="21"/>
  <c r="Z522" i="21"/>
  <c r="Z326" i="21"/>
  <c r="Z31" i="21"/>
  <c r="Z413" i="21"/>
  <c r="Z260" i="21"/>
  <c r="Z323" i="21"/>
  <c r="Z149" i="21"/>
  <c r="Z131" i="21"/>
  <c r="Z291" i="21"/>
  <c r="Z62" i="21"/>
  <c r="Z45" i="21"/>
  <c r="Z178" i="21"/>
  <c r="Z370" i="21"/>
  <c r="Z272" i="21"/>
  <c r="Z274" i="21"/>
  <c r="Z53" i="21"/>
  <c r="Z119" i="21"/>
  <c r="Z486" i="21"/>
  <c r="Z255" i="21"/>
  <c r="Z475" i="21"/>
  <c r="Z194" i="21"/>
  <c r="Z24" i="21"/>
  <c r="Z530" i="21"/>
  <c r="Z313" i="21"/>
  <c r="Z312" i="21"/>
  <c r="Z107" i="21"/>
  <c r="Z150" i="21"/>
  <c r="Z189" i="21"/>
  <c r="Z213" i="21"/>
  <c r="Z160" i="21"/>
  <c r="Z185" i="21"/>
  <c r="Z188" i="21"/>
  <c r="Z46" i="21"/>
  <c r="Z47" i="21"/>
  <c r="Z212" i="21"/>
  <c r="Z210" i="21"/>
  <c r="Z543" i="21"/>
  <c r="Z35" i="21"/>
  <c r="Z537" i="21"/>
  <c r="Z535" i="21"/>
  <c r="Z526" i="21"/>
  <c r="Z531" i="21"/>
  <c r="Z527" i="21"/>
  <c r="Z327" i="21"/>
  <c r="Z317" i="21"/>
  <c r="Z106" i="21"/>
  <c r="Z66" i="21"/>
  <c r="Z385" i="21"/>
  <c r="Z408" i="21"/>
  <c r="Z197" i="21"/>
  <c r="Z506" i="21"/>
  <c r="Z320" i="21"/>
  <c r="Z399" i="21"/>
  <c r="Z225" i="21"/>
  <c r="Z410" i="21"/>
  <c r="Z383" i="21"/>
  <c r="Z139" i="21"/>
  <c r="Z424" i="21"/>
  <c r="Z334" i="21"/>
  <c r="Z245" i="21"/>
  <c r="Z398" i="21"/>
  <c r="Z482" i="21"/>
  <c r="Z51" i="21"/>
  <c r="Z432" i="21"/>
  <c r="Z223" i="21"/>
  <c r="Z44" i="21"/>
  <c r="Z38" i="21"/>
  <c r="Z395" i="21"/>
  <c r="Z388" i="21"/>
  <c r="Z470" i="21"/>
  <c r="Z74" i="21"/>
  <c r="Z270" i="21"/>
  <c r="Z435" i="21"/>
  <c r="Z507" i="21"/>
  <c r="Z493" i="21"/>
  <c r="Z247" i="21"/>
  <c r="Z165" i="21"/>
  <c r="Z22" i="21"/>
  <c r="Z68" i="21"/>
  <c r="Z477" i="21"/>
  <c r="Z89" i="21"/>
  <c r="Z25" i="21"/>
  <c r="Z60" i="21"/>
  <c r="Z533" i="21"/>
  <c r="Z30" i="21"/>
  <c r="Z59" i="21"/>
  <c r="Z281" i="21"/>
  <c r="Z140" i="21"/>
  <c r="Z294" i="21"/>
  <c r="Z82" i="21"/>
  <c r="Z70" i="21"/>
  <c r="Z485" i="21"/>
  <c r="Z243" i="21"/>
  <c r="Z32" i="21"/>
  <c r="Z183" i="21"/>
  <c r="Z276" i="21"/>
  <c r="Z259" i="21"/>
  <c r="Z389" i="21"/>
  <c r="Z81" i="21"/>
  <c r="Z384" i="21"/>
  <c r="Z364" i="21"/>
  <c r="Z468" i="21"/>
  <c r="Z361" i="21"/>
  <c r="Z437" i="21"/>
  <c r="Z452" i="21"/>
  <c r="Z513" i="21"/>
  <c r="Z453" i="21"/>
  <c r="Z450" i="21"/>
  <c r="Z187" i="21"/>
  <c r="Z409" i="21"/>
  <c r="Z129" i="21"/>
  <c r="Z331" i="21"/>
  <c r="Z411" i="21"/>
  <c r="Z37" i="21"/>
  <c r="Z268" i="21"/>
  <c r="Z156" i="21"/>
  <c r="Z329" i="21"/>
  <c r="Z362" i="21"/>
  <c r="Z63" i="21"/>
  <c r="Z318" i="21"/>
  <c r="Z321" i="21"/>
  <c r="Z421" i="21"/>
  <c r="Z219" i="21"/>
  <c r="Z496" i="21"/>
  <c r="Z112" i="21"/>
  <c r="Z76" i="21"/>
  <c r="Z328" i="21"/>
  <c r="Z54" i="21"/>
  <c r="Z73" i="21"/>
  <c r="Z246" i="21"/>
  <c r="Z337" i="21"/>
  <c r="Z28" i="21"/>
  <c r="Z377" i="21"/>
  <c r="Z375" i="21"/>
  <c r="Z343" i="21"/>
  <c r="Z511" i="21"/>
  <c r="Z135" i="21"/>
  <c r="Z146" i="21"/>
  <c r="Z147" i="21"/>
  <c r="Z105" i="21"/>
  <c r="Z240" i="21"/>
  <c r="Z230" i="21"/>
  <c r="Z169" i="21"/>
  <c r="Z78" i="21"/>
  <c r="Z293" i="21"/>
  <c r="Z199" i="21"/>
  <c r="Z200" i="21"/>
  <c r="Z286" i="21"/>
  <c r="Z211" i="21"/>
  <c r="Z258" i="21"/>
  <c r="Z357" i="21"/>
  <c r="Z545" i="21"/>
  <c r="Z528" i="21"/>
  <c r="Z501" i="21"/>
  <c r="Z280" i="21"/>
  <c r="Z279" i="21"/>
  <c r="Z516" i="21"/>
  <c r="Z52" i="21"/>
  <c r="Z34" i="21"/>
  <c r="Z350" i="21"/>
  <c r="Z308" i="21"/>
  <c r="Z114" i="21"/>
  <c r="Z502" i="21"/>
  <c r="Z472" i="21"/>
  <c r="Z474" i="21"/>
  <c r="Z71" i="21"/>
  <c r="Z366" i="21"/>
  <c r="Z430" i="21"/>
  <c r="Z263" i="21"/>
  <c r="Z333" i="21"/>
  <c r="Z91" i="21"/>
  <c r="Z40" i="21"/>
  <c r="Z143" i="21"/>
  <c r="Z144" i="21"/>
  <c r="Z142" i="21"/>
  <c r="Z228" i="21"/>
  <c r="Z471" i="21"/>
  <c r="Z181" i="21"/>
  <c r="Z130" i="21"/>
  <c r="Z39" i="21"/>
  <c r="Z284" i="21"/>
  <c r="Z193" i="21"/>
  <c r="Z314" i="21"/>
  <c r="Z234" i="21"/>
  <c r="Z117" i="21"/>
  <c r="Z42" i="21"/>
  <c r="Z83" i="21"/>
  <c r="Z41" i="21"/>
  <c r="Z275" i="21"/>
  <c r="Z124" i="21"/>
  <c r="Z353" i="21"/>
  <c r="Z345" i="21"/>
  <c r="Z208" i="21"/>
  <c r="Z192" i="21"/>
  <c r="Z446" i="21"/>
  <c r="Z288" i="21"/>
  <c r="Z542" i="21"/>
  <c r="Z368" i="21"/>
  <c r="Z484" i="21"/>
  <c r="Z372" i="21"/>
  <c r="Z402" i="21"/>
  <c r="Z386" i="21"/>
  <c r="Z307" i="21"/>
  <c r="Z220" i="21"/>
  <c r="Z158" i="21"/>
  <c r="Z466" i="21"/>
  <c r="Z311" i="21"/>
  <c r="Z271" i="21"/>
  <c r="Z464" i="21"/>
  <c r="Z249" i="21"/>
  <c r="Z77" i="21"/>
  <c r="Z98" i="21"/>
  <c r="Z126" i="21"/>
  <c r="Z90" i="21"/>
  <c r="Z23" i="21"/>
  <c r="Z104" i="21"/>
  <c r="Z195" i="21"/>
  <c r="Z159" i="21"/>
  <c r="Z257" i="21"/>
  <c r="Z238" i="21"/>
  <c r="Z88" i="21"/>
  <c r="Z221" i="21"/>
  <c r="Z217" i="21"/>
  <c r="Z287" i="21"/>
  <c r="Z285" i="21"/>
  <c r="Z400" i="21"/>
  <c r="Z509" i="21"/>
  <c r="Z374" i="21"/>
  <c r="Z414" i="21"/>
  <c r="Z417" i="21"/>
  <c r="Z416" i="21"/>
  <c r="Z325" i="21"/>
  <c r="Z387" i="21"/>
  <c r="Z441" i="21"/>
  <c r="Z261" i="21"/>
  <c r="Z184" i="21"/>
  <c r="Z310" i="21"/>
  <c r="Z273" i="21"/>
  <c r="Z381" i="21"/>
  <c r="Z180" i="21"/>
  <c r="Z340" i="21"/>
  <c r="Z338" i="21"/>
  <c r="Z538" i="21"/>
  <c r="Z33" i="21"/>
  <c r="Z478" i="21"/>
  <c r="Z532" i="21"/>
  <c r="Z456" i="21"/>
  <c r="Z359" i="21"/>
  <c r="Z241" i="21"/>
  <c r="Z405" i="21"/>
  <c r="Z231" i="21"/>
  <c r="Z103" i="21"/>
  <c r="Z289" i="21"/>
  <c r="Z57" i="21"/>
  <c r="Z235" i="21"/>
  <c r="Z191" i="21"/>
  <c r="Z209" i="21"/>
  <c r="Z344" i="21"/>
  <c r="Z548" i="21"/>
  <c r="Z401" i="21"/>
  <c r="Z547" i="21"/>
  <c r="Z48" i="21"/>
  <c r="Z490" i="21"/>
  <c r="Z499" i="21"/>
  <c r="Z72" i="21"/>
  <c r="Z403" i="21"/>
  <c r="Z190" i="21"/>
  <c r="Z473" i="21"/>
  <c r="Z56" i="21"/>
  <c r="Z29" i="21"/>
  <c r="Z495" i="21"/>
  <c r="Z171" i="21"/>
  <c r="Z173" i="21"/>
  <c r="Z498" i="21"/>
  <c r="Z534" i="21"/>
  <c r="Z508" i="21"/>
  <c r="Z292" i="21"/>
  <c r="Z132" i="21"/>
  <c r="Z242" i="21"/>
  <c r="Z214" i="21"/>
  <c r="Z438" i="21"/>
  <c r="Z128" i="21"/>
  <c r="Z175" i="21"/>
  <c r="Z155" i="21"/>
  <c r="Z469" i="21"/>
  <c r="Z373" i="21"/>
  <c r="Z505" i="21"/>
  <c r="Z141" i="21"/>
  <c r="Z465" i="21"/>
  <c r="Z306" i="21"/>
  <c r="Z304" i="21"/>
  <c r="Z305" i="21"/>
  <c r="Z269" i="21"/>
  <c r="Z302" i="21"/>
  <c r="Z319" i="21"/>
  <c r="Z148" i="21"/>
  <c r="Z177" i="21"/>
  <c r="Z161" i="21"/>
  <c r="Z162" i="21"/>
  <c r="Z351" i="21"/>
  <c r="Z352" i="21"/>
  <c r="Z324" i="21"/>
  <c r="Z277" i="21"/>
  <c r="Z267" i="21"/>
  <c r="Z354" i="21"/>
  <c r="Z227" i="21"/>
  <c r="Z349" i="21"/>
  <c r="Z36" i="21"/>
  <c r="Z341" i="21"/>
  <c r="Z342" i="21"/>
  <c r="Z58" i="21"/>
  <c r="Z127" i="21"/>
  <c r="Z434" i="21"/>
  <c r="Z418" i="21"/>
  <c r="Z517" i="21"/>
  <c r="Z422" i="21"/>
  <c r="Z536" i="21"/>
  <c r="Z347" i="21"/>
  <c r="Z113" i="21"/>
  <c r="Z442" i="21"/>
  <c r="Z322" i="21"/>
  <c r="Z125" i="21"/>
  <c r="Z457" i="21"/>
  <c r="Z264" i="21"/>
  <c r="Z425" i="21"/>
  <c r="Z426" i="21"/>
  <c r="Z27" i="21"/>
  <c r="Z429" i="21"/>
  <c r="Z448" i="21"/>
  <c r="Z179" i="21"/>
  <c r="Z93" i="21"/>
  <c r="Z449" i="21"/>
  <c r="Z454" i="21"/>
  <c r="Z356" i="21"/>
  <c r="Z428" i="21"/>
  <c r="Z202" i="21"/>
  <c r="Z330" i="21"/>
  <c r="Z514" i="21"/>
  <c r="Z153" i="21"/>
  <c r="Z348" i="21"/>
  <c r="Z109" i="21"/>
  <c r="Z110" i="21"/>
  <c r="Z168" i="21"/>
  <c r="Z504" i="21"/>
  <c r="Z172" i="21"/>
  <c r="Z290" i="21"/>
  <c r="Z118" i="21"/>
  <c r="Z151" i="21"/>
  <c r="Z152" i="21"/>
  <c r="Z123" i="21"/>
  <c r="Z266" i="21"/>
  <c r="C4" i="17" l="1" a="1"/>
  <c r="C4" i="17" s="1"/>
  <c r="C12" i="17" s="1"/>
  <c r="I7" i="17" a="1"/>
  <c r="I7" i="17" s="1"/>
  <c r="C7" i="17" a="1"/>
  <c r="C7" i="17" s="1"/>
  <c r="D6" i="17" a="1"/>
  <c r="D6" i="17" s="1"/>
  <c r="F3" i="17" a="1"/>
  <c r="F3" i="17" s="1"/>
  <c r="D5" i="17" a="1"/>
  <c r="D5" i="17" s="1"/>
  <c r="I6" i="17" a="1"/>
  <c r="I6" i="17" s="1"/>
  <c r="I5" i="17" a="1"/>
  <c r="I5" i="17" s="1"/>
  <c r="E3" i="17" a="1"/>
  <c r="E3" i="17" s="1"/>
  <c r="E6" i="17" a="1"/>
  <c r="E6" i="17" s="1"/>
  <c r="G3" i="17" a="1"/>
  <c r="G3" i="17" s="1"/>
  <c r="D3" i="17" a="1"/>
  <c r="D3" i="17" s="1"/>
  <c r="E5" i="17" a="1"/>
  <c r="E5" i="17" s="1"/>
  <c r="H7" i="17" a="1"/>
  <c r="H7" i="17" s="1"/>
  <c r="E4" i="17" a="1"/>
  <c r="E4" i="17" s="1"/>
  <c r="C6" i="17" a="1"/>
  <c r="C6" i="17" s="1"/>
  <c r="F5" i="17" a="1"/>
  <c r="F5" i="17" s="1"/>
  <c r="C3" i="17" a="1"/>
  <c r="C3" i="17" s="1"/>
  <c r="H5" i="17" a="1"/>
  <c r="H5" i="17" s="1"/>
  <c r="F7" i="17" a="1"/>
  <c r="F7" i="17" s="1"/>
  <c r="H4" i="17" a="1"/>
  <c r="H4" i="17" s="1"/>
  <c r="F6" i="17" a="1"/>
  <c r="F6" i="17" s="1"/>
  <c r="H3" i="17" a="1"/>
  <c r="H3" i="17" s="1"/>
  <c r="E7" i="17" a="1"/>
  <c r="E7" i="17" s="1"/>
  <c r="G4" i="17" a="1"/>
  <c r="G4" i="17" s="1"/>
  <c r="G7" i="17" a="1"/>
  <c r="G7" i="17" s="1"/>
  <c r="I4" i="17" a="1"/>
  <c r="I4" i="17" s="1"/>
  <c r="G6" i="17" a="1"/>
  <c r="G6" i="17" s="1"/>
  <c r="I3" i="17" a="1"/>
  <c r="I3" i="17" s="1"/>
  <c r="G5" i="17" a="1"/>
  <c r="G5" i="17" s="1"/>
  <c r="C5" i="17" a="1"/>
  <c r="C5" i="17" s="1"/>
  <c r="H6" i="17" a="1"/>
  <c r="H6" i="17" s="1"/>
  <c r="D4" i="17" a="1"/>
  <c r="D4" i="17" s="1"/>
  <c r="D12" i="17" s="1"/>
  <c r="D7" i="17" a="1"/>
  <c r="D7" i="17" s="1"/>
  <c r="F4" i="17" a="1"/>
  <c r="F4" i="17" s="1"/>
  <c r="D14" i="17" l="1"/>
  <c r="D13" i="17"/>
  <c r="C13" i="17"/>
  <c r="H13" i="17"/>
  <c r="G15" i="17"/>
  <c r="H14" i="17"/>
  <c r="I13" i="17"/>
  <c r="I15" i="17"/>
  <c r="F14" i="17"/>
  <c r="E13" i="17"/>
  <c r="G14" i="17"/>
  <c r="E12" i="17"/>
  <c r="E11" i="17"/>
  <c r="I11" i="17"/>
  <c r="I12" i="17"/>
  <c r="I14" i="17"/>
  <c r="E14" i="17"/>
  <c r="G13" i="17"/>
  <c r="E15" i="17"/>
  <c r="H15" i="17"/>
  <c r="F13" i="17"/>
  <c r="F15" i="17"/>
  <c r="F12" i="17"/>
  <c r="F11" i="17"/>
  <c r="G11" i="17"/>
  <c r="G12" i="17"/>
  <c r="C14" i="17"/>
  <c r="H12" i="17"/>
  <c r="H11" i="17"/>
</calcChain>
</file>

<file path=xl/sharedStrings.xml><?xml version="1.0" encoding="utf-8"?>
<sst xmlns="http://schemas.openxmlformats.org/spreadsheetml/2006/main" count="16927" uniqueCount="2568">
  <si>
    <t>Quelle</t>
  </si>
  <si>
    <t>Kernenergie</t>
  </si>
  <si>
    <t>Braunkohle</t>
  </si>
  <si>
    <t>Steinkohle</t>
  </si>
  <si>
    <t>Öl</t>
  </si>
  <si>
    <t>Sonstige</t>
  </si>
  <si>
    <t>Abfall</t>
  </si>
  <si>
    <t>Erdgas</t>
  </si>
  <si>
    <t>Einheit</t>
  </si>
  <si>
    <t>Kraftwerksnummer Bundesnetzagentur</t>
  </si>
  <si>
    <t>Unternehmen</t>
  </si>
  <si>
    <t>Kraftwerksname</t>
  </si>
  <si>
    <t>PLZ
(Standort Kraftwerk)</t>
  </si>
  <si>
    <t>Ort
(Standort Kraftwerk)</t>
  </si>
  <si>
    <t>Bundesland</t>
  </si>
  <si>
    <t>Blockname</t>
  </si>
  <si>
    <t>Spezifizierung "Mehrere Energieträger" und "Sonstige Energieträger" - Hauptbrennstoff</t>
  </si>
  <si>
    <t>Spezifizierung "Mehrere Energieträger" - Zusatz- / Ersatzbrennstoffe</t>
  </si>
  <si>
    <t>Auswertung
Energieträger (Zuordnung zu einem Hauptenergieträger bei Mehreren Energieträgern)</t>
  </si>
  <si>
    <t>Nordrhein-Westfalen</t>
  </si>
  <si>
    <t>Baden-Württemberg</t>
  </si>
  <si>
    <t>Nein</t>
  </si>
  <si>
    <t>Niedersachsen</t>
  </si>
  <si>
    <t>Lausitz Energie Kraftwerke AG</t>
  </si>
  <si>
    <t>Brandenburg</t>
  </si>
  <si>
    <t>GT A</t>
  </si>
  <si>
    <t>GT B</t>
  </si>
  <si>
    <t>Schleswig-Holstein</t>
  </si>
  <si>
    <t>innogy SE</t>
  </si>
  <si>
    <t>Sappi Alfeld GmbH</t>
  </si>
  <si>
    <t>Werkskraftwerk Sappi Alfeld</t>
  </si>
  <si>
    <t>Alfeld</t>
  </si>
  <si>
    <t>Mühlenmarsch 1</t>
  </si>
  <si>
    <t>Turbine 5</t>
  </si>
  <si>
    <t>Biomasse</t>
  </si>
  <si>
    <t>BNA0012b</t>
  </si>
  <si>
    <t>Gaskraftwerk</t>
  </si>
  <si>
    <t>Rheinland-Pfalz</t>
  </si>
  <si>
    <t>Sachsen-Anhalt</t>
  </si>
  <si>
    <t>BNA0015</t>
  </si>
  <si>
    <t>EnBW Energie Baden-Württemberg AG</t>
  </si>
  <si>
    <t>Heizkraftwerk Altbach/Deizisau</t>
  </si>
  <si>
    <t>Altbach</t>
  </si>
  <si>
    <t>Industriestraße 11</t>
  </si>
  <si>
    <t>ALT GT E (solo)</t>
  </si>
  <si>
    <t>BNA0016</t>
  </si>
  <si>
    <t>ALT GT A (Solo)</t>
  </si>
  <si>
    <t>Mehrere Energieträger</t>
  </si>
  <si>
    <t>Mineralölprodukte</t>
  </si>
  <si>
    <t>BNA0017</t>
  </si>
  <si>
    <t>ALT GT B</t>
  </si>
  <si>
    <t>BNA0018</t>
  </si>
  <si>
    <t>ALT GT C</t>
  </si>
  <si>
    <t>BNA0019</t>
  </si>
  <si>
    <t>ALT HKW 2 (DT Solobetrieb)</t>
  </si>
  <si>
    <t>Bayern</t>
  </si>
  <si>
    <t>BNA1291</t>
  </si>
  <si>
    <t>IHKW Industrieheizkraftwerk Andernach GmbH</t>
  </si>
  <si>
    <t>IHKW Andernach</t>
  </si>
  <si>
    <t>Andernach</t>
  </si>
  <si>
    <t>Koblenzer Straße 141</t>
  </si>
  <si>
    <t>BNA0025</t>
  </si>
  <si>
    <t>Suiker Unie GmbH &amp; Co. KG</t>
  </si>
  <si>
    <t>Kesselhaus Zuckerfabrik</t>
  </si>
  <si>
    <t>Anklam</t>
  </si>
  <si>
    <t>Bluthsluster Str. 24</t>
  </si>
  <si>
    <t>Mecklenburg-Vorpommern</t>
  </si>
  <si>
    <t>BNA1458</t>
  </si>
  <si>
    <t>Annweiler</t>
  </si>
  <si>
    <t>Schweröl</t>
  </si>
  <si>
    <t>-</t>
  </si>
  <si>
    <t>BNA1331</t>
  </si>
  <si>
    <t>R.D.M. Arnsberg GmbH</t>
  </si>
  <si>
    <t>Reno De Medici</t>
  </si>
  <si>
    <t>Arnsberg</t>
  </si>
  <si>
    <t>Hellefelderstr. 51</t>
  </si>
  <si>
    <t>HD - Kraftwerk</t>
  </si>
  <si>
    <t>Thüringen</t>
  </si>
  <si>
    <t>Sachsen</t>
  </si>
  <si>
    <t>DS Smith Paper Deutschland GmbH</t>
  </si>
  <si>
    <t>Aschaffenburg</t>
  </si>
  <si>
    <t>Weichertstr. 7</t>
  </si>
  <si>
    <t>Biogas</t>
  </si>
  <si>
    <t>BNA1337e</t>
  </si>
  <si>
    <t>GuD-Anlage</t>
  </si>
  <si>
    <t>BNA1337d</t>
  </si>
  <si>
    <t>Notstromdiesel</t>
  </si>
  <si>
    <t>Diesel</t>
  </si>
  <si>
    <t>BNA1295</t>
  </si>
  <si>
    <t>AVA Abfallverwertung Augsburg GmbH</t>
  </si>
  <si>
    <t>AVA GmbH</t>
  </si>
  <si>
    <t>Augsburg</t>
  </si>
  <si>
    <t>Am Mittleren Moos 60</t>
  </si>
  <si>
    <t>AHKW</t>
  </si>
  <si>
    <t>BNA0033</t>
  </si>
  <si>
    <t>Stadtwerke Augsburg Energie GmbH</t>
  </si>
  <si>
    <t>Gasturbine</t>
  </si>
  <si>
    <t xml:space="preserve">Augsburg </t>
  </si>
  <si>
    <t>Beim Grenzgraben 10</t>
  </si>
  <si>
    <t>GT</t>
  </si>
  <si>
    <t>BNA1104</t>
  </si>
  <si>
    <t>Heizkraftwerk</t>
  </si>
  <si>
    <t>Franziskanergasse 9</t>
  </si>
  <si>
    <t>T2</t>
  </si>
  <si>
    <t>Heizöl</t>
  </si>
  <si>
    <t>Hessen</t>
  </si>
  <si>
    <t>BNA1507</t>
  </si>
  <si>
    <t>Michelin Reifenwerke AG &amp; Co. KGaA 
Standort Bad Kreuznach</t>
  </si>
  <si>
    <t>Bad Kreuznach</t>
  </si>
  <si>
    <t>Michelinstr. 1</t>
  </si>
  <si>
    <t>BNA1105</t>
  </si>
  <si>
    <t>TEAG Thüringer Energie AG</t>
  </si>
  <si>
    <t>HKW Bad Salzungen</t>
  </si>
  <si>
    <t>Bad Salzungen</t>
  </si>
  <si>
    <t>EG</t>
  </si>
  <si>
    <t>HEL</t>
  </si>
  <si>
    <t>BNA0051</t>
  </si>
  <si>
    <t>Cargill Deutschland GmbH</t>
  </si>
  <si>
    <t>KWK-Anlage Barby</t>
  </si>
  <si>
    <t>Barby</t>
  </si>
  <si>
    <t>Monplaisirstr. 22</t>
  </si>
  <si>
    <t>Technische Werke Ludwigshafen AG</t>
  </si>
  <si>
    <t>Holz</t>
  </si>
  <si>
    <t>BNA0059b</t>
  </si>
  <si>
    <t>Volkswagen AG</t>
  </si>
  <si>
    <t>GuD Baunatal, VW Werksgelände</t>
  </si>
  <si>
    <t>Baunatal</t>
  </si>
  <si>
    <t>BNA0705</t>
  </si>
  <si>
    <t>RWE Power AG</t>
  </si>
  <si>
    <t>Niederaußem</t>
  </si>
  <si>
    <t>Bergheim</t>
  </si>
  <si>
    <t>D</t>
  </si>
  <si>
    <t>F</t>
  </si>
  <si>
    <t>BNA0707</t>
  </si>
  <si>
    <t>H</t>
  </si>
  <si>
    <t>BNA0708</t>
  </si>
  <si>
    <t>G</t>
  </si>
  <si>
    <t>BNA0709</t>
  </si>
  <si>
    <t>K</t>
  </si>
  <si>
    <t>B</t>
  </si>
  <si>
    <t>A</t>
  </si>
  <si>
    <t>BNA0712</t>
  </si>
  <si>
    <t>C</t>
  </si>
  <si>
    <t>E</t>
  </si>
  <si>
    <t>BNA0714</t>
  </si>
  <si>
    <t>Fortuna Nord</t>
  </si>
  <si>
    <t>BNA1293a</t>
  </si>
  <si>
    <t>Martinswerk GmbH</t>
  </si>
  <si>
    <t>Kraftwerk</t>
  </si>
  <si>
    <t>Kölner Straße 110</t>
  </si>
  <si>
    <t>K1/TG1</t>
  </si>
  <si>
    <t>BNA1293b</t>
  </si>
  <si>
    <t>K2/TG2</t>
  </si>
  <si>
    <t>BNA1293c</t>
  </si>
  <si>
    <t>K3+4/TG4</t>
  </si>
  <si>
    <t>entfällt</t>
  </si>
  <si>
    <t>BNA1293d</t>
  </si>
  <si>
    <t>Diesel/G5</t>
  </si>
  <si>
    <t>Bergkamen</t>
  </si>
  <si>
    <t>BNA0067</t>
  </si>
  <si>
    <t>RWE Generation SE</t>
  </si>
  <si>
    <t>Gersteinwerk</t>
  </si>
  <si>
    <t>BNA0084</t>
  </si>
  <si>
    <t>Vattenfall Wärme Berlin AG</t>
  </si>
  <si>
    <t>Reuter</t>
  </si>
  <si>
    <t>Berlin</t>
  </si>
  <si>
    <t>Otternbuchtstr. 11</t>
  </si>
  <si>
    <t>Reuter M</t>
  </si>
  <si>
    <t>Dampf aus Müllverbrennungsanlage</t>
  </si>
  <si>
    <t>BNA0081</t>
  </si>
  <si>
    <t>Klingenberg</t>
  </si>
  <si>
    <t xml:space="preserve">Köpenicker Chaussee 42 - 45 </t>
  </si>
  <si>
    <t>Erdgas, Mineralöl</t>
  </si>
  <si>
    <t>BNA0073</t>
  </si>
  <si>
    <t>Mitte</t>
  </si>
  <si>
    <t>Köpenicker Straße 60</t>
  </si>
  <si>
    <t>GuD Mitte</t>
  </si>
  <si>
    <t>BNA0074</t>
  </si>
  <si>
    <t>Charlottenburg</t>
  </si>
  <si>
    <t>Am Spreebord 5</t>
  </si>
  <si>
    <t>Mineralöl</t>
  </si>
  <si>
    <t>BNA0075</t>
  </si>
  <si>
    <t>Lichterfelde</t>
  </si>
  <si>
    <t>Ostpreußendamm 61</t>
  </si>
  <si>
    <t>Lichterfelde 1</t>
  </si>
  <si>
    <t>BNA1821</t>
  </si>
  <si>
    <t>Bayer AG</t>
  </si>
  <si>
    <t>Energieversogung Wedding</t>
  </si>
  <si>
    <t>Fennstr. 22</t>
  </si>
  <si>
    <t>leichtes Heizöl EL</t>
  </si>
  <si>
    <t>BNA0083</t>
  </si>
  <si>
    <t>Wilmersdorf</t>
  </si>
  <si>
    <t>Forckenbeckstr. 3 - 6</t>
  </si>
  <si>
    <t>BNA0085b</t>
  </si>
  <si>
    <t>Moabit</t>
  </si>
  <si>
    <t>Friedrich-Krause-Ufer 10- 15</t>
  </si>
  <si>
    <t>Moabit GT 7</t>
  </si>
  <si>
    <t>BNA0082</t>
  </si>
  <si>
    <t>Reuter C</t>
  </si>
  <si>
    <t>BNA0085a</t>
  </si>
  <si>
    <t>Moabit A</t>
  </si>
  <si>
    <t>BNA0086</t>
  </si>
  <si>
    <t>Reuter West</t>
  </si>
  <si>
    <t>Großer Spreering 5</t>
  </si>
  <si>
    <t>Reuter West D</t>
  </si>
  <si>
    <t>BNA0087</t>
  </si>
  <si>
    <t>Reuter West E</t>
  </si>
  <si>
    <t>BNA0088b</t>
  </si>
  <si>
    <t>Solvay Chemicals GmbH</t>
  </si>
  <si>
    <t>Dampfturbinenanlage der EBS-Kessel</t>
  </si>
  <si>
    <t>Bernburg</t>
  </si>
  <si>
    <t>BNA0088a</t>
  </si>
  <si>
    <t>Industriekraftwerk Bernburg (IKB)</t>
  </si>
  <si>
    <t>Saarland</t>
  </si>
  <si>
    <t>Sonstige Energieträger
(nicht erneuerbar)</t>
  </si>
  <si>
    <t>BNA0097</t>
  </si>
  <si>
    <t>MVA Bielefeld-Herford GmbH</t>
  </si>
  <si>
    <t>MVA Bielefeld</t>
  </si>
  <si>
    <t>Bielefeld</t>
  </si>
  <si>
    <t>Schelpmilser Weg 30</t>
  </si>
  <si>
    <t>Linien 1 - 3</t>
  </si>
  <si>
    <t>Abfall, biologisch abbaubarer Anteil von Abfällen aus Haushalten und Industrie</t>
  </si>
  <si>
    <t>Stadtwerke Bielefeld GmbH</t>
  </si>
  <si>
    <t>Erdgas L</t>
  </si>
  <si>
    <t>BNA0100</t>
  </si>
  <si>
    <t>GuD Kraftwerk Hillegossen</t>
  </si>
  <si>
    <t>GuD</t>
  </si>
  <si>
    <t>Stadtwerke Leipzig GmbH</t>
  </si>
  <si>
    <t>BNA0105</t>
  </si>
  <si>
    <t>envia THERM GmbH</t>
  </si>
  <si>
    <t>GuD Bitterfeld</t>
  </si>
  <si>
    <t>Bitterfeld</t>
  </si>
  <si>
    <t>BNA1108</t>
  </si>
  <si>
    <t>PD energy GmbH</t>
  </si>
  <si>
    <t>Bitterfeld - Wolfen</t>
  </si>
  <si>
    <t>Ostraße 1</t>
  </si>
  <si>
    <t>Heizöl L</t>
  </si>
  <si>
    <t>BNA1110</t>
  </si>
  <si>
    <t>Zweckverband Restmüllheizkraftwerk Böblingen</t>
  </si>
  <si>
    <t>Restmüllheizkraftwerk Böblingen</t>
  </si>
  <si>
    <t>Böblingen</t>
  </si>
  <si>
    <t>Musbergersträßle 11</t>
  </si>
  <si>
    <t>Müllverbrennung</t>
  </si>
  <si>
    <t>BNA0111</t>
  </si>
  <si>
    <t>Stadtwerke Bochum Holding GmbH</t>
  </si>
  <si>
    <t>HKW Hiltrop</t>
  </si>
  <si>
    <t>Bochum</t>
  </si>
  <si>
    <t>BNA0115</t>
  </si>
  <si>
    <t>Lippendorf</t>
  </si>
  <si>
    <t>Böhlen</t>
  </si>
  <si>
    <t>Werkstraße</t>
  </si>
  <si>
    <t>R</t>
  </si>
  <si>
    <t>BNA0116</t>
  </si>
  <si>
    <t>Braunkohlekraftwerk Lippendorf</t>
  </si>
  <si>
    <t>LIP S</t>
  </si>
  <si>
    <t>BNA1524</t>
  </si>
  <si>
    <t>Sales &amp; Solutions GmbH</t>
  </si>
  <si>
    <t>Heizkraftwerk Bomlitz</t>
  </si>
  <si>
    <t>Bomlitz</t>
  </si>
  <si>
    <t>Industriepark Walsrode, 
August-Wolff-Str. 13</t>
  </si>
  <si>
    <t>BNA0117a</t>
  </si>
  <si>
    <t>Energie- und Wasserversorgung Bonn/Rhein-Sieg GmbH</t>
  </si>
  <si>
    <t>Heizkraftwerk Karlstraße</t>
  </si>
  <si>
    <t>Bonn</t>
  </si>
  <si>
    <t>BNA0117b</t>
  </si>
  <si>
    <t>BNA0122</t>
  </si>
  <si>
    <t>Boxberg</t>
  </si>
  <si>
    <t>Am Kraftwerk 1</t>
  </si>
  <si>
    <t>N</t>
  </si>
  <si>
    <t>BNA0123</t>
  </si>
  <si>
    <t>P</t>
  </si>
  <si>
    <t>BNA0124</t>
  </si>
  <si>
    <t>Q</t>
  </si>
  <si>
    <t>BNA1404</t>
  </si>
  <si>
    <t>BNA0129</t>
  </si>
  <si>
    <t>StWB Stadtwerke Brandenburg an der Havel GmbH &amp; Co. KG</t>
  </si>
  <si>
    <t>HKW</t>
  </si>
  <si>
    <t>BNA0130</t>
  </si>
  <si>
    <t xml:space="preserve">Uniper Kraftwerke GmbH </t>
  </si>
  <si>
    <t>Kirchmöser</t>
  </si>
  <si>
    <t>01.01.1994</t>
  </si>
  <si>
    <t>BNA0135</t>
  </si>
  <si>
    <t>Braunschweiger Versorgungs-AG &amp; Co. KG</t>
  </si>
  <si>
    <t>HKW-Mitte</t>
  </si>
  <si>
    <t>Braunschweig</t>
  </si>
  <si>
    <t>Block 12</t>
  </si>
  <si>
    <t>Heizöl S</t>
  </si>
  <si>
    <t>BNA0136</t>
  </si>
  <si>
    <t>BNA0137</t>
  </si>
  <si>
    <t>HKW-Nord</t>
  </si>
  <si>
    <t xml:space="preserve">Heizöl L </t>
  </si>
  <si>
    <t>BNA0138</t>
  </si>
  <si>
    <t xml:space="preserve">Block 1 </t>
  </si>
  <si>
    <t>BNA0139</t>
  </si>
  <si>
    <t>swb Entsorgung GmbH &amp; Co. KG</t>
  </si>
  <si>
    <t>KW Hafen</t>
  </si>
  <si>
    <t>Bremen</t>
  </si>
  <si>
    <t>Otavistr. 7-9</t>
  </si>
  <si>
    <t>MKK</t>
  </si>
  <si>
    <t>BNA1114</t>
  </si>
  <si>
    <t>MHKW</t>
  </si>
  <si>
    <t>Oken 2</t>
  </si>
  <si>
    <t>1969 / 2012</t>
  </si>
  <si>
    <t>BNA1334</t>
  </si>
  <si>
    <t>CR3-Kaffeeveredelung M. Hermsen GmbH</t>
  </si>
  <si>
    <t>KWK-Anlage</t>
  </si>
  <si>
    <t>Waterbergstraße 14</t>
  </si>
  <si>
    <t>GT 1-3, DT</t>
  </si>
  <si>
    <t>1993 und 2002</t>
  </si>
  <si>
    <t>BNA1820</t>
  </si>
  <si>
    <t>Gemeinschaftskraftwerk Bremen GmbH und Co. KG</t>
  </si>
  <si>
    <t>KW Mittelsbüren</t>
  </si>
  <si>
    <t>GuD MiBÜ</t>
  </si>
  <si>
    <t>BNA0141</t>
  </si>
  <si>
    <t>swb Erzeugung AG &amp; Co. KG</t>
  </si>
  <si>
    <t>Auf den Delben 35</t>
  </si>
  <si>
    <t>GT 3</t>
  </si>
  <si>
    <t>BNA0142</t>
  </si>
  <si>
    <t>ArcelorMittal Bremen GmbH</t>
  </si>
  <si>
    <t>Block 4</t>
  </si>
  <si>
    <t>andere Gase</t>
  </si>
  <si>
    <t>Gichtgas</t>
  </si>
  <si>
    <t>BNA0144</t>
  </si>
  <si>
    <t>KW Hastedt</t>
  </si>
  <si>
    <t>Hastedter Osterdeich 255</t>
  </si>
  <si>
    <t>Block 15</t>
  </si>
  <si>
    <t>BNA0146</t>
  </si>
  <si>
    <t>Block 6</t>
  </si>
  <si>
    <t>BNA0147</t>
  </si>
  <si>
    <t>ENGIE Deutschland AG</t>
  </si>
  <si>
    <t>Farge</t>
  </si>
  <si>
    <t>Wilhelmshavener Str. 6</t>
  </si>
  <si>
    <t>Klärschlamm, HSL, HEL</t>
  </si>
  <si>
    <t>BNA1116</t>
  </si>
  <si>
    <t>Bremerhavener Entsorgungsgesellschaft mbH</t>
  </si>
  <si>
    <t>BEG</t>
  </si>
  <si>
    <t>Bremerhaven</t>
  </si>
  <si>
    <t>Zur Hexenbrücke 16</t>
  </si>
  <si>
    <t>BNA1671</t>
  </si>
  <si>
    <t>Kronos Titan GmbH</t>
  </si>
  <si>
    <t>BNA1117</t>
  </si>
  <si>
    <t>Industriekraftwerk Breuberg GmbH</t>
  </si>
  <si>
    <t>Industriekraftwerk Breuberg</t>
  </si>
  <si>
    <t>Breuberg</t>
  </si>
  <si>
    <t>Höchster Str. 48-60</t>
  </si>
  <si>
    <t>Egger Holzwerkstoffe Brilon GmbH &amp; Co. KG</t>
  </si>
  <si>
    <t>Egger Kraftwerk Brilon</t>
  </si>
  <si>
    <t xml:space="preserve">Brilon </t>
  </si>
  <si>
    <t>Im Kissen 19</t>
  </si>
  <si>
    <t>BNA0156b</t>
  </si>
  <si>
    <t>Gasturbinen - KWK - Anlage</t>
  </si>
  <si>
    <t>BNA0157</t>
  </si>
  <si>
    <t>Preussen Elektra GmbH</t>
  </si>
  <si>
    <t>Brokdorf</t>
  </si>
  <si>
    <t>KBR</t>
  </si>
  <si>
    <t>BNA0172a</t>
  </si>
  <si>
    <t>Wacker Chemie AG</t>
  </si>
  <si>
    <t>Burghausen 01 - GT</t>
  </si>
  <si>
    <t>Burghausen</t>
  </si>
  <si>
    <t>Johannes-Hess Straße 24</t>
  </si>
  <si>
    <t>BNA0172b</t>
  </si>
  <si>
    <t>Burghausen 01 - DT</t>
  </si>
  <si>
    <t>Heizöl/EL</t>
  </si>
  <si>
    <t>BNA1119</t>
  </si>
  <si>
    <t>Zweckverband Abfallverwertung Südostbayern</t>
  </si>
  <si>
    <t>MHKW Burgkirchen</t>
  </si>
  <si>
    <t>Burgkirchen</t>
  </si>
  <si>
    <t>Bruck 110</t>
  </si>
  <si>
    <t>InfraServ GmbH &amp; Co. Gendorf KG</t>
  </si>
  <si>
    <t>BNA0174</t>
  </si>
  <si>
    <t>Industriepark Werk Gendorf</t>
  </si>
  <si>
    <t>BNA1121</t>
  </si>
  <si>
    <t>RÜTGERS Germany GmbH</t>
  </si>
  <si>
    <t>Energiezentrale</t>
  </si>
  <si>
    <t>Castrop-Rauxel</t>
  </si>
  <si>
    <t>Kekulestraße 30</t>
  </si>
  <si>
    <t>Energiecenter</t>
  </si>
  <si>
    <t>Heizöl EL</t>
  </si>
  <si>
    <t>BNA1120</t>
  </si>
  <si>
    <t>BNA0177</t>
  </si>
  <si>
    <t>eins - energie in sachsen GmbH &amp; Co. KG</t>
  </si>
  <si>
    <t>HKW Chemnitz  Nord II</t>
  </si>
  <si>
    <t>Chemnitz</t>
  </si>
  <si>
    <t>Block B</t>
  </si>
  <si>
    <t>Rohbraunkohle</t>
  </si>
  <si>
    <t>Ersatzbrennstoff, Erdgas (Zünd- und Stützgas)</t>
  </si>
  <si>
    <t>BNA0179</t>
  </si>
  <si>
    <t>Block C</t>
  </si>
  <si>
    <t>Ersatzbrennstoff, Erdgas (beide Stütz-/Zusatzenergieträger)</t>
  </si>
  <si>
    <t>Block A</t>
  </si>
  <si>
    <t>Erdgas, Heizöl EL</t>
  </si>
  <si>
    <t>BNA0183</t>
  </si>
  <si>
    <t>HKW Heizkraftwerksgesellschaft Cottbus mbH</t>
  </si>
  <si>
    <t>HKW Cottbus</t>
  </si>
  <si>
    <t>Cottbus</t>
  </si>
  <si>
    <t>Wirbelschichtbraunkohle</t>
  </si>
  <si>
    <t>Erdgas, Heizöl</t>
  </si>
  <si>
    <t>BNA1925</t>
  </si>
  <si>
    <t>ENGIE Deutschland GmbH</t>
  </si>
  <si>
    <t>HKW Lusan</t>
  </si>
  <si>
    <t>Gera</t>
  </si>
  <si>
    <t>18.12.2018</t>
  </si>
  <si>
    <t>BNA1926</t>
  </si>
  <si>
    <t>HKW Tinz</t>
  </si>
  <si>
    <t>BNA1125</t>
  </si>
  <si>
    <t>Merck KGaA</t>
  </si>
  <si>
    <t xml:space="preserve">Darmstadt </t>
  </si>
  <si>
    <t>Frankfurter Str. 250</t>
  </si>
  <si>
    <t>leichtes Heizöl</t>
  </si>
  <si>
    <t>BNA0194</t>
  </si>
  <si>
    <t>Kraftwerk Dessau GmbH</t>
  </si>
  <si>
    <t>Kraftwerk Dessau</t>
  </si>
  <si>
    <t>Dessau-Roßlau</t>
  </si>
  <si>
    <t>Braunkohle, Erdgas</t>
  </si>
  <si>
    <t>BNA1115</t>
  </si>
  <si>
    <t>Aktien-Gesellschaft der Dillinger Hüttenwerke, ROGESA Roheisengesellschaft Saar mbH und Zentralkokerei Saar GmbH, als Bruchteilsgemeinschaft</t>
  </si>
  <si>
    <t>Gichtgaskraftwerk Dillingen</t>
  </si>
  <si>
    <t>Dillingen/Saar</t>
  </si>
  <si>
    <t>Werkstraße 1</t>
  </si>
  <si>
    <t>Sonstige Energieträger</t>
  </si>
  <si>
    <t>Hochofengas</t>
  </si>
  <si>
    <t>Koksgas/ Erdgas</t>
  </si>
  <si>
    <t>BNA1873</t>
  </si>
  <si>
    <t>BMW AG</t>
  </si>
  <si>
    <t>KWK Dingolfing BA 1</t>
  </si>
  <si>
    <t>Dingolfing</t>
  </si>
  <si>
    <t>Landshuter Strasse 56</t>
  </si>
  <si>
    <t>KWK Dingolfing BA1</t>
  </si>
  <si>
    <t>BNA0199</t>
  </si>
  <si>
    <t>Dormagen</t>
  </si>
  <si>
    <t>BNA0202</t>
  </si>
  <si>
    <t>Dortmund</t>
  </si>
  <si>
    <t>KDO</t>
  </si>
  <si>
    <t>BNA1488</t>
  </si>
  <si>
    <t>KG Deutsche Gasrußwerke GmbH &amp; Co.</t>
  </si>
  <si>
    <t>Weidenstr. 70-72</t>
  </si>
  <si>
    <t>1984 / 1989</t>
  </si>
  <si>
    <t>Restgas mit H2 und CO-Gehalt</t>
  </si>
  <si>
    <t>BNA0207</t>
  </si>
  <si>
    <t>DREWAG Stadtwerke Dresden GmbH</t>
  </si>
  <si>
    <t>HKW Dresden-Nossener Brücke</t>
  </si>
  <si>
    <t xml:space="preserve">Dresden </t>
  </si>
  <si>
    <t>Oederaner Str. 21 - 25</t>
  </si>
  <si>
    <t>HKW Dresden-Nossener Brücke 
(3 GT + 1 DT, Sammelschiene)</t>
  </si>
  <si>
    <t>BNA1911</t>
  </si>
  <si>
    <t>HKW Dresden-Nord</t>
  </si>
  <si>
    <t>Hermann-Mende-Straße, 2</t>
  </si>
  <si>
    <t>BNA1451</t>
  </si>
  <si>
    <t>Venator Germany GmbH</t>
  </si>
  <si>
    <t>HKW Sachtleben</t>
  </si>
  <si>
    <t>Duisburg</t>
  </si>
  <si>
    <t>BNA0213</t>
  </si>
  <si>
    <t>Stadtwerke Duisburg AG</t>
  </si>
  <si>
    <t>HKW III/A</t>
  </si>
  <si>
    <t>Wanheimer Straße 439-454</t>
  </si>
  <si>
    <t>BNA0214</t>
  </si>
  <si>
    <t>HKW III/B</t>
  </si>
  <si>
    <t>BNA0216a</t>
  </si>
  <si>
    <t>Steag GmbH</t>
  </si>
  <si>
    <t>KW Walsum</t>
  </si>
  <si>
    <t>Dr. Wilhelm-Roelen-Str.129</t>
  </si>
  <si>
    <t>Walsum 9</t>
  </si>
  <si>
    <t>BNA0216b</t>
  </si>
  <si>
    <t>STEAG-EVN Walsum 10 Kraftwerksgesellsellschaft mbH</t>
  </si>
  <si>
    <t>Walsum 10</t>
  </si>
  <si>
    <t>BNA0217</t>
  </si>
  <si>
    <t>ThyssenKrupp Steel Europe AG</t>
  </si>
  <si>
    <t>Duisburg Ruhrort 2</t>
  </si>
  <si>
    <t>Duisburg - Ruhrort</t>
  </si>
  <si>
    <t>Block 2</t>
  </si>
  <si>
    <t>Kuppelprdukte der Stahl- und Kokserzeugung</t>
  </si>
  <si>
    <t>BNA0218</t>
  </si>
  <si>
    <t>Duisburg Ruhrort 3</t>
  </si>
  <si>
    <t>Block 3</t>
  </si>
  <si>
    <t>BNA0219</t>
  </si>
  <si>
    <t>Duisburg Ruhrort 4</t>
  </si>
  <si>
    <t>BNA0485</t>
  </si>
  <si>
    <t>Hüttenwerke Krupp Mannesmann GmbH</t>
  </si>
  <si>
    <t>Huckingen</t>
  </si>
  <si>
    <t>Duisburg-Huckingen</t>
  </si>
  <si>
    <t>Erd-/Gicht-/Hochofengas</t>
  </si>
  <si>
    <t>BNA0486</t>
  </si>
  <si>
    <t>BNA1511a</t>
  </si>
  <si>
    <t>Papierfabrik Schoellershammer H. A. Schoeller Söhne GmbH &amp; Co KG</t>
  </si>
  <si>
    <t>Kessel 4</t>
  </si>
  <si>
    <t>Düren</t>
  </si>
  <si>
    <t>Kreuzauer Str. 18</t>
  </si>
  <si>
    <t>Briketts</t>
  </si>
  <si>
    <t>Kurzfaserreststoffe</t>
  </si>
  <si>
    <t>BNA1131</t>
  </si>
  <si>
    <t>Metsä Tissue GmbH (Werk Düren)</t>
  </si>
  <si>
    <t>MT, Düren</t>
  </si>
  <si>
    <t>Veldener Strasse 121 - 131</t>
  </si>
  <si>
    <t>Stadtwerke Düsseldorf AG</t>
  </si>
  <si>
    <t>DT</t>
  </si>
  <si>
    <t>Düsseldorf</t>
  </si>
  <si>
    <t>Behrenstraße 85</t>
  </si>
  <si>
    <t>BNA0223b</t>
  </si>
  <si>
    <t>Flingern T1</t>
  </si>
  <si>
    <t>BNA0220</t>
  </si>
  <si>
    <t>Auf der Lausward 75</t>
  </si>
  <si>
    <t>AGuD</t>
  </si>
  <si>
    <t>BNA0221a</t>
  </si>
  <si>
    <t>Block E GTE2</t>
  </si>
  <si>
    <t>BNA0221b</t>
  </si>
  <si>
    <t>Block E GTE1</t>
  </si>
  <si>
    <t>BNA1336</t>
  </si>
  <si>
    <t>Henkel AG &amp; Co. KGaA</t>
  </si>
  <si>
    <t>Holthausen</t>
  </si>
  <si>
    <t>Henkelstr. 67</t>
  </si>
  <si>
    <t>Flüssige Produktionsrückstände</t>
  </si>
  <si>
    <t>BNA1503</t>
  </si>
  <si>
    <t>Daimler AG</t>
  </si>
  <si>
    <t>BHKW H.120</t>
  </si>
  <si>
    <t>Rather Str. 51</t>
  </si>
  <si>
    <t>BNA1817</t>
  </si>
  <si>
    <t>GuD F</t>
  </si>
  <si>
    <t>BNA0222</t>
  </si>
  <si>
    <t>GTKW</t>
  </si>
  <si>
    <t>Mainova AG</t>
  </si>
  <si>
    <t>Sappi Ehingen GmbH</t>
  </si>
  <si>
    <t>Werkskraftwerk Sappi Ehingen</t>
  </si>
  <si>
    <t>Ehingen</t>
  </si>
  <si>
    <t>BNA0232c</t>
  </si>
  <si>
    <t>Kessel 6 - Turbine 4</t>
  </si>
  <si>
    <t>BNA0233</t>
  </si>
  <si>
    <t>Stora Enso Sachsen GmbH</t>
  </si>
  <si>
    <t>Kombikraftwerk</t>
  </si>
  <si>
    <t>Eilenburg</t>
  </si>
  <si>
    <t>Am Schanzberg 1</t>
  </si>
  <si>
    <t>Biogas, Papierfaserschlamm</t>
  </si>
  <si>
    <t>BNA1505</t>
  </si>
  <si>
    <t>Opel Automobile GmbH</t>
  </si>
  <si>
    <t>HKW Wiesengrund</t>
  </si>
  <si>
    <t>Eisenach</t>
  </si>
  <si>
    <t>Adam-Opel-Str.</t>
  </si>
  <si>
    <t>BNA0237</t>
  </si>
  <si>
    <t>Propower GmbH</t>
  </si>
  <si>
    <t>EBS-Heizkraftwerk</t>
  </si>
  <si>
    <t>Eisenhüttenstadt</t>
  </si>
  <si>
    <t>EBS / Abfall</t>
  </si>
  <si>
    <t>aufbereiteter Haushalts</t>
  </si>
  <si>
    <t>BNA0238a</t>
  </si>
  <si>
    <t>ArcelorMittal Eisenhüttenstadt GmbH</t>
  </si>
  <si>
    <t>IKW</t>
  </si>
  <si>
    <t>Gichtgas, Konvertergas</t>
  </si>
  <si>
    <t>Erdgas (falls nicht genügend Gicht- bzw. Konvertergas zur Verfügung steht)</t>
  </si>
  <si>
    <t>BNA0238b</t>
  </si>
  <si>
    <t>Arcelor Mittal Eisenhüttenstadt GmbH</t>
  </si>
  <si>
    <t>Block 7</t>
  </si>
  <si>
    <t>Erdgas (als Ersatz)</t>
  </si>
  <si>
    <t>BNA0239</t>
  </si>
  <si>
    <t>Huntorf</t>
  </si>
  <si>
    <t>Elsfleth</t>
  </si>
  <si>
    <t>01.01.1978</t>
  </si>
  <si>
    <t>Druckluftspeicher</t>
  </si>
  <si>
    <t>BNA0243</t>
  </si>
  <si>
    <t>Palm Power GmbH &amp; Co. KG</t>
  </si>
  <si>
    <t>HKW Eltmann</t>
  </si>
  <si>
    <t>Eltmann</t>
  </si>
  <si>
    <t>Industriestraße 23</t>
  </si>
  <si>
    <t>Statkraft Markets GmbH</t>
  </si>
  <si>
    <t>Emden</t>
  </si>
  <si>
    <t>BNA0245a</t>
  </si>
  <si>
    <t>Emden Gas</t>
  </si>
  <si>
    <t>Dampfturbine</t>
  </si>
  <si>
    <t>BNA0251</t>
  </si>
  <si>
    <t>Grohnde</t>
  </si>
  <si>
    <t>Emmerthal</t>
  </si>
  <si>
    <t>KWG</t>
  </si>
  <si>
    <t>BNA0255</t>
  </si>
  <si>
    <t>SWE Energie GmbH</t>
  </si>
  <si>
    <t>HKW Iderhoffstraße</t>
  </si>
  <si>
    <t>Erfurt</t>
  </si>
  <si>
    <t>BNA0256a</t>
  </si>
  <si>
    <t>HKW Erfurt-Ost</t>
  </si>
  <si>
    <t>GT1</t>
  </si>
  <si>
    <t>BNA0256b</t>
  </si>
  <si>
    <t>GT2</t>
  </si>
  <si>
    <t>BNA1138</t>
  </si>
  <si>
    <t>Stadtwerke Erkrath GmbH</t>
  </si>
  <si>
    <t>BHKW an Klinkerweg</t>
  </si>
  <si>
    <t>Erkrath</t>
  </si>
  <si>
    <t>Klinkerweg 4</t>
  </si>
  <si>
    <t>Module 1, 2 und 3</t>
  </si>
  <si>
    <t>BNA0261a</t>
  </si>
  <si>
    <t>Erlanger Stadtwerke AG</t>
  </si>
  <si>
    <t>HKW Erlangen</t>
  </si>
  <si>
    <t>Erlangen</t>
  </si>
  <si>
    <t xml:space="preserve"> Äußere Bruckerstr. 33</t>
  </si>
  <si>
    <t>GuD I</t>
  </si>
  <si>
    <t>BNA0261c</t>
  </si>
  <si>
    <t>GuD 2</t>
  </si>
  <si>
    <t>BNA0261b</t>
  </si>
  <si>
    <t>K6 DT2</t>
  </si>
  <si>
    <t>Steinkohle, Heizöl</t>
  </si>
  <si>
    <t>BNA1139</t>
  </si>
  <si>
    <t>EEW Energy from Waste Saarbrücken GmbH</t>
  </si>
  <si>
    <t>TREA Breisgau</t>
  </si>
  <si>
    <t>Eschbach</t>
  </si>
  <si>
    <t>Heitersheimer Straße 2</t>
  </si>
  <si>
    <t>Abfall, 
biol. abbaubarer Anteil von Abfällen aus Haushalten und Industrie</t>
  </si>
  <si>
    <t>BNA1025</t>
  </si>
  <si>
    <t>Weisweiler</t>
  </si>
  <si>
    <t>Eschweiler-Weisweiler</t>
  </si>
  <si>
    <t>Klärschlamm</t>
  </si>
  <si>
    <t>BNA1026</t>
  </si>
  <si>
    <t>BNA1027</t>
  </si>
  <si>
    <t>Erdgas / Papierschlamm</t>
  </si>
  <si>
    <t>BNA1028</t>
  </si>
  <si>
    <t>BNA1023</t>
  </si>
  <si>
    <t>G_VGT</t>
  </si>
  <si>
    <t>BNA1024</t>
  </si>
  <si>
    <t>H_VGT</t>
  </si>
  <si>
    <t>BNA0519</t>
  </si>
  <si>
    <t>Karnap</t>
  </si>
  <si>
    <t>Essen</t>
  </si>
  <si>
    <t>BNA0263</t>
  </si>
  <si>
    <t>Isar 2</t>
  </si>
  <si>
    <t>Essenbach</t>
  </si>
  <si>
    <t>KKI 2</t>
  </si>
  <si>
    <t>BNA1141</t>
  </si>
  <si>
    <t>Pfeifer &amp; Langen GmbH &amp; Co. KG</t>
  </si>
  <si>
    <t>P&amp;L Werk Euskirchen</t>
  </si>
  <si>
    <t>Euskirchen</t>
  </si>
  <si>
    <t>Bonner Strasse 2</t>
  </si>
  <si>
    <t>Kessel 4 / 6</t>
  </si>
  <si>
    <t>Braunkohlebrikett</t>
  </si>
  <si>
    <t>Erdgas,Heizöl S,Heizöl EL</t>
  </si>
  <si>
    <t>BNA1819</t>
  </si>
  <si>
    <t>Stadtwerke Flensburg GmbH</t>
  </si>
  <si>
    <t>Heizkraftwerk FL</t>
  </si>
  <si>
    <t>Flensburg</t>
  </si>
  <si>
    <t>Batteriestr. 48</t>
  </si>
  <si>
    <t>BNA0270</t>
  </si>
  <si>
    <t>Block 11</t>
  </si>
  <si>
    <t>EBS / Biomasse</t>
  </si>
  <si>
    <t>BNA0271</t>
  </si>
  <si>
    <t>Block 10</t>
  </si>
  <si>
    <t>BNA0272</t>
  </si>
  <si>
    <t>Block 9</t>
  </si>
  <si>
    <t>MVV Energie AG</t>
  </si>
  <si>
    <t>BNA0287a</t>
  </si>
  <si>
    <t>MHKW Frankfurt</t>
  </si>
  <si>
    <t>Frankfurt am Main</t>
  </si>
  <si>
    <t>Heddernheimer Landstraße 158</t>
  </si>
  <si>
    <t>T 3 (nur alleiniger Betrieb, kein gemeinsamer Betrieb mit T 7 möglich)</t>
  </si>
  <si>
    <t>BNA0287b</t>
  </si>
  <si>
    <t>Heddernheimer Landstraße 157</t>
  </si>
  <si>
    <t>T 7 (nur alleiniger Betrieb, kein gemeinsamer Betrieb mit T 3 möglich)</t>
  </si>
  <si>
    <t>BNA0285</t>
  </si>
  <si>
    <t>HKW Niederrad</t>
  </si>
  <si>
    <t>Lyoner Straße  8</t>
  </si>
  <si>
    <t>Block 1</t>
  </si>
  <si>
    <t>BNA0286</t>
  </si>
  <si>
    <t>HKW West</t>
  </si>
  <si>
    <t>Gutleutstraße 231</t>
  </si>
  <si>
    <t>BNA1868</t>
  </si>
  <si>
    <t>HKW West M5</t>
  </si>
  <si>
    <t>M5</t>
  </si>
  <si>
    <t>BNA0289b</t>
  </si>
  <si>
    <t>BNA0290</t>
  </si>
  <si>
    <t>BNA0284</t>
  </si>
  <si>
    <t>Stadtwerke Frankfurt (Oder) GmbH</t>
  </si>
  <si>
    <t>Heizkraftwerk FFO</t>
  </si>
  <si>
    <t>Frankfurt Oder</t>
  </si>
  <si>
    <t>Block1-GuD-EK</t>
  </si>
  <si>
    <t>Braunkohlestaub</t>
  </si>
  <si>
    <t>BNA0292</t>
  </si>
  <si>
    <t>Frechen/Wachtberg</t>
  </si>
  <si>
    <t>Frechen</t>
  </si>
  <si>
    <t>BNA1541</t>
  </si>
  <si>
    <t>Freiberger Erdgas GmbH</t>
  </si>
  <si>
    <t>HKW Freiberg</t>
  </si>
  <si>
    <t>Freiberg</t>
  </si>
  <si>
    <t>BNA0293</t>
  </si>
  <si>
    <t>Rhodia Acetow GmbH</t>
  </si>
  <si>
    <t>GuD Anlage WVK</t>
  </si>
  <si>
    <t>Freiburg</t>
  </si>
  <si>
    <t>GuD Anlage</t>
  </si>
  <si>
    <t>BNA1315</t>
  </si>
  <si>
    <t>Universitätsklinikum Freiburg AdöR</t>
  </si>
  <si>
    <t>Hartmannstrasse 1</t>
  </si>
  <si>
    <t>Holzpellets</t>
  </si>
  <si>
    <t>BNA1492a</t>
  </si>
  <si>
    <t>Papierfabrik Adolf Jass GmbH &amp; Co. KG</t>
  </si>
  <si>
    <t>Kraftwerk 3</t>
  </si>
  <si>
    <t>Fulda</t>
  </si>
  <si>
    <t>Hermann-Muth-Str. 6</t>
  </si>
  <si>
    <t>BNA1492b</t>
  </si>
  <si>
    <t>Kraftwerk 2</t>
  </si>
  <si>
    <t>BNA0318</t>
  </si>
  <si>
    <t>RhönEnergie Fulda GmbH</t>
  </si>
  <si>
    <t>Kraftwerk Fulda</t>
  </si>
  <si>
    <t>BNA0331</t>
  </si>
  <si>
    <t>Scholven</t>
  </si>
  <si>
    <t>Gelsenkirchen</t>
  </si>
  <si>
    <t>BNA0332</t>
  </si>
  <si>
    <t>BNA0336</t>
  </si>
  <si>
    <t>FWK Buer</t>
  </si>
  <si>
    <t>BNA1330</t>
  </si>
  <si>
    <t>Steinbeis Energie GmbH</t>
  </si>
  <si>
    <t>Steinbeis Energie</t>
  </si>
  <si>
    <t>Glückstadt</t>
  </si>
  <si>
    <t>Stadtstraße 20</t>
  </si>
  <si>
    <t>EBS</t>
  </si>
  <si>
    <t>HEL, Steinkohle</t>
  </si>
  <si>
    <t>BNA1144</t>
  </si>
  <si>
    <t>EEW Energy from Waste Göppingen GmbH</t>
  </si>
  <si>
    <t>EEW Göppingen</t>
  </si>
  <si>
    <t>Göppingen</t>
  </si>
  <si>
    <t>Turb. Neu</t>
  </si>
  <si>
    <t>BNA0354</t>
  </si>
  <si>
    <t>Georg-August-Universität Göttingen Stiftung Öffentlichen Rechts</t>
  </si>
  <si>
    <t>HKW Göttingen</t>
  </si>
  <si>
    <t>Göttingen</t>
  </si>
  <si>
    <t>Rudolf-Diesel-Straße 1</t>
  </si>
  <si>
    <t>BNA0360</t>
  </si>
  <si>
    <t>Stadtwerke Greifswald GmbH</t>
  </si>
  <si>
    <t>HKW "Helmshäger Berg"</t>
  </si>
  <si>
    <t>Greifswald</t>
  </si>
  <si>
    <t>BNA0361</t>
  </si>
  <si>
    <t>KGW - Kraftwerk Grenzach-Wyhlen GmbH</t>
  </si>
  <si>
    <t>Kraftwerk Grenzach-Wyhlen</t>
  </si>
  <si>
    <t>Grenzach-Wyhlen</t>
  </si>
  <si>
    <t>BNA1401a</t>
  </si>
  <si>
    <t>BoA 2</t>
  </si>
  <si>
    <t>Grevenbroich</t>
  </si>
  <si>
    <t>Energiestraße 101</t>
  </si>
  <si>
    <t>Neurath F</t>
  </si>
  <si>
    <t>BNA1401b</t>
  </si>
  <si>
    <t>BoA 3</t>
  </si>
  <si>
    <t>Neurath G</t>
  </si>
  <si>
    <t>BNA0698</t>
  </si>
  <si>
    <t>Neurath</t>
  </si>
  <si>
    <t>Grevenbroich-Neurath</t>
  </si>
  <si>
    <t>BNA0696</t>
  </si>
  <si>
    <t>BNA0697</t>
  </si>
  <si>
    <t>BNA0699</t>
  </si>
  <si>
    <t>BNA0700</t>
  </si>
  <si>
    <t>BNA0369</t>
  </si>
  <si>
    <t>Spitzenlastkraftwerk Sermuth</t>
  </si>
  <si>
    <t>Großbothen</t>
  </si>
  <si>
    <t>BNA0373</t>
  </si>
  <si>
    <t>Spitzenlastkraftwerk Großkayna</t>
  </si>
  <si>
    <t>Großkayna</t>
  </si>
  <si>
    <t>Staudinger</t>
  </si>
  <si>
    <t>Großkrotzenburg</t>
  </si>
  <si>
    <t>01.01.1977</t>
  </si>
  <si>
    <t>BNA0377</t>
  </si>
  <si>
    <t>Ingolstadt</t>
  </si>
  <si>
    <t>BNA0380</t>
  </si>
  <si>
    <t>EEW Energy from Waste Großräschen GmbH</t>
  </si>
  <si>
    <t>EEW Großräschen</t>
  </si>
  <si>
    <t>Großräschen</t>
  </si>
  <si>
    <t>BNA0382</t>
  </si>
  <si>
    <t xml:space="preserve">Kernkraft Gundremmingen </t>
  </si>
  <si>
    <t>Gundremmingen</t>
  </si>
  <si>
    <t>Gütersloh</t>
  </si>
  <si>
    <t>BNA0386</t>
  </si>
  <si>
    <t>Mohn Media Mohndruck GmbH</t>
  </si>
  <si>
    <t>Energiezentrum Mohn Media</t>
  </si>
  <si>
    <t>Carl Bertelsmann Straße 161</t>
  </si>
  <si>
    <t>BNA0392a</t>
  </si>
  <si>
    <t>EVH GmbH</t>
  </si>
  <si>
    <t>HKW Halle Trotha</t>
  </si>
  <si>
    <t>Halle</t>
  </si>
  <si>
    <t>Dieselstraße 141</t>
  </si>
  <si>
    <t>Block A und B</t>
  </si>
  <si>
    <t>BNA0392b</t>
  </si>
  <si>
    <t>Heizkraftwerk Halle-Trotha GmbH</t>
  </si>
  <si>
    <t>Brachwitzer Straße 23</t>
  </si>
  <si>
    <t>BNA0395</t>
  </si>
  <si>
    <t>Duisburg Hamborn 3</t>
  </si>
  <si>
    <t>Hamborn</t>
  </si>
  <si>
    <t>BNA0396</t>
  </si>
  <si>
    <t>Duisburg Hamborn 4</t>
  </si>
  <si>
    <t>BNA0397</t>
  </si>
  <si>
    <t>Duisburg Hamborn 5</t>
  </si>
  <si>
    <t>Block 5</t>
  </si>
  <si>
    <t>BNA0398</t>
  </si>
  <si>
    <t>MVR Müllverwertung Rugenberger Damm GmbH &amp; Co. KG</t>
  </si>
  <si>
    <t>Hamburg</t>
  </si>
  <si>
    <t>Rugenberger Damm 1</t>
  </si>
  <si>
    <t>BNA0400</t>
  </si>
  <si>
    <t>Vattenfall Hamburg Wärme GmbH</t>
  </si>
  <si>
    <t>GuD Tiefstack</t>
  </si>
  <si>
    <t>Andreas-Meyer-Straße 8</t>
  </si>
  <si>
    <t>Tiefstack</t>
  </si>
  <si>
    <t>BNA0401</t>
  </si>
  <si>
    <t>ADM Hamburg Aktiengesellschaft</t>
  </si>
  <si>
    <t>Nippoldstr. 117</t>
  </si>
  <si>
    <t>BNA1673</t>
  </si>
  <si>
    <t>Vattenfall Heizkraftwerk Moorburg GmbH</t>
  </si>
  <si>
    <t>Moorburg A</t>
  </si>
  <si>
    <t>Moorburger Schanze 2</t>
  </si>
  <si>
    <t>Heizöl, leicht</t>
  </si>
  <si>
    <t>BNA0402</t>
  </si>
  <si>
    <t>BNA1558</t>
  </si>
  <si>
    <t>Moorburg B</t>
  </si>
  <si>
    <t>BNA0407</t>
  </si>
  <si>
    <t>Enertec Hameln GmbH</t>
  </si>
  <si>
    <t>Enertec Hameln</t>
  </si>
  <si>
    <t>Hameln</t>
  </si>
  <si>
    <t>Linien 1,3,4</t>
  </si>
  <si>
    <t>Altholz</t>
  </si>
  <si>
    <t>BNA1148</t>
  </si>
  <si>
    <t>MHB Hamm Betriebsführungsgesellschaft mbH</t>
  </si>
  <si>
    <t>MVA Hamm</t>
  </si>
  <si>
    <t>Hamm</t>
  </si>
  <si>
    <t>Am Lausbach 2</t>
  </si>
  <si>
    <t>BNA0410</t>
  </si>
  <si>
    <t xml:space="preserve">Trianel Gaskraftwerk Hamm GmbH &amp; Co. KG </t>
  </si>
  <si>
    <t xml:space="preserve">Trianel Gaskraftwerk </t>
  </si>
  <si>
    <t>Trianelstraße 1</t>
  </si>
  <si>
    <t>BNA0411</t>
  </si>
  <si>
    <t>Block 20</t>
  </si>
  <si>
    <t>BNA0413c</t>
  </si>
  <si>
    <t>Westfalen</t>
  </si>
  <si>
    <t>Hamm-Uentrop</t>
  </si>
  <si>
    <t>BNA0417</t>
  </si>
  <si>
    <t>EEW Energy from Waste Hannover GmbH</t>
  </si>
  <si>
    <t>Hannover</t>
  </si>
  <si>
    <t>BNA0418</t>
  </si>
  <si>
    <t>enercity AG</t>
  </si>
  <si>
    <t>GKL</t>
  </si>
  <si>
    <t>BNA1810</t>
  </si>
  <si>
    <t>Exxon Mobil Production Deutschland GmbH</t>
  </si>
  <si>
    <t>Riethorst 12</t>
  </si>
  <si>
    <t>BNA0420</t>
  </si>
  <si>
    <t>GKH</t>
  </si>
  <si>
    <t>Block1</t>
  </si>
  <si>
    <t>BNA0421</t>
  </si>
  <si>
    <t>Block2</t>
  </si>
  <si>
    <t>BNA0427</t>
  </si>
  <si>
    <t>Peissenberger Kraftwerksgesellschaft mbH</t>
  </si>
  <si>
    <t>Kraftwerk Hausham</t>
  </si>
  <si>
    <t>Hausham</t>
  </si>
  <si>
    <t>GT 1</t>
  </si>
  <si>
    <t>BNA0428</t>
  </si>
  <si>
    <t>GT 2</t>
  </si>
  <si>
    <t>BNA0429</t>
  </si>
  <si>
    <t>BNA0430</t>
  </si>
  <si>
    <t>GT 4</t>
  </si>
  <si>
    <t>BNA1151</t>
  </si>
  <si>
    <t>KWKK Heidelberg</t>
  </si>
  <si>
    <t>Heidelberg</t>
  </si>
  <si>
    <t>Neuenheimer Feld 530</t>
  </si>
  <si>
    <t>BNA1292b</t>
  </si>
  <si>
    <t>IHKW Heidenheim</t>
  </si>
  <si>
    <t>Heidenheim</t>
  </si>
  <si>
    <t>Alexanderstr. 8</t>
  </si>
  <si>
    <t>BHKW-Anlage</t>
  </si>
  <si>
    <t>Heizkraftwerk Heilbronn</t>
  </si>
  <si>
    <t>Heilbronn</t>
  </si>
  <si>
    <t>Lichtenbergerstraße 23</t>
  </si>
  <si>
    <t>BNA0434</t>
  </si>
  <si>
    <t>HLB 7</t>
  </si>
  <si>
    <t>BNA0438</t>
  </si>
  <si>
    <t>EEW Energy from Waste Helmstedt GmbH</t>
  </si>
  <si>
    <t>TRV Buschhaus</t>
  </si>
  <si>
    <t>Helmstedt</t>
  </si>
  <si>
    <t>Linie 1-3</t>
  </si>
  <si>
    <t>BNA1526</t>
  </si>
  <si>
    <t>Raffinerie Heide GmbH</t>
  </si>
  <si>
    <t>Kraftwerk Raffinerie Heide</t>
  </si>
  <si>
    <t>Hemminstedt</t>
  </si>
  <si>
    <t>Meldorfer Str. 43</t>
  </si>
  <si>
    <t>Erdgas,  Raffineriegas , Rückstandsöle</t>
  </si>
  <si>
    <t>BNA0442</t>
  </si>
  <si>
    <t>Mark-E AG / Statkraft Markets</t>
  </si>
  <si>
    <t>Cuno Heizkraftwerk Herdecke</t>
  </si>
  <si>
    <t>Herdecke</t>
  </si>
  <si>
    <t>H6</t>
  </si>
  <si>
    <t>BNA0444</t>
  </si>
  <si>
    <t>K+S AG</t>
  </si>
  <si>
    <t>Wintershall</t>
  </si>
  <si>
    <t>Heringen</t>
  </si>
  <si>
    <t>Dampf von extern aus Abfall</t>
  </si>
  <si>
    <t>Herne</t>
  </si>
  <si>
    <t>Hertener Str. 16</t>
  </si>
  <si>
    <t>BNA0450</t>
  </si>
  <si>
    <t>KW Herne</t>
  </si>
  <si>
    <t>Herne 4</t>
  </si>
  <si>
    <t>BNA1154</t>
  </si>
  <si>
    <t>AGR Abfallentsorgungsgesellschaft Ruhrgebiet mbH</t>
  </si>
  <si>
    <t>RZR Herten I</t>
  </si>
  <si>
    <t>Herten</t>
  </si>
  <si>
    <t>Im Emscherbruch 11</t>
  </si>
  <si>
    <t>RZR I</t>
  </si>
  <si>
    <t>BNA1155</t>
  </si>
  <si>
    <t>RZR Herten II</t>
  </si>
  <si>
    <t>RZR II</t>
  </si>
  <si>
    <t>BNA1463</t>
  </si>
  <si>
    <t>Smurfit Kappa Herzberger Papierfabrik GmbH</t>
  </si>
  <si>
    <t>Herzberg</t>
  </si>
  <si>
    <t>Andreasberger Str. 1</t>
  </si>
  <si>
    <t>BNA0464</t>
  </si>
  <si>
    <t>KWM</t>
  </si>
  <si>
    <t>Hohenhameln OT Mehrum</t>
  </si>
  <si>
    <t>Block3</t>
  </si>
  <si>
    <t>BNA1490</t>
  </si>
  <si>
    <t>EBS - Kraftwerk GmbH</t>
  </si>
  <si>
    <t>EBKW Knapsack</t>
  </si>
  <si>
    <t>Hürth</t>
  </si>
  <si>
    <t>Industriestr. 300</t>
  </si>
  <si>
    <t>BNA0491</t>
  </si>
  <si>
    <t>Ville/Berrenrath</t>
  </si>
  <si>
    <t>Altholz / SBS</t>
  </si>
  <si>
    <t>BNA0548a</t>
  </si>
  <si>
    <t>Knapsack Gas I</t>
  </si>
  <si>
    <t>Hürth-Knapsack</t>
  </si>
  <si>
    <t>BNA0548b</t>
  </si>
  <si>
    <t>Knapsack Gas II</t>
  </si>
  <si>
    <t>Ibbenbüren</t>
  </si>
  <si>
    <t>BNA0493</t>
  </si>
  <si>
    <t>Klärschlamm / Tiermehl</t>
  </si>
  <si>
    <t>BNA0499</t>
  </si>
  <si>
    <t>Infraserv GmbH &amp; Co. Höchst KG</t>
  </si>
  <si>
    <t>Industriepark Höchst</t>
  </si>
  <si>
    <t>BNA0497</t>
  </si>
  <si>
    <t>ADS-Anlage</t>
  </si>
  <si>
    <t>BNA0498</t>
  </si>
  <si>
    <t>BNA1161</t>
  </si>
  <si>
    <t>Zweckverband Müllverwertungsanlage Ingolstadt (MVA Ingolstadt)</t>
  </si>
  <si>
    <t>MVA Ingolstadt</t>
  </si>
  <si>
    <t>Am Mailinger Bach 141</t>
  </si>
  <si>
    <t>Müllheizkraftwerk (MHKW)</t>
  </si>
  <si>
    <t>BNA1289</t>
  </si>
  <si>
    <t>AMK - Abfallentsorgungsgesellschaft des Märkischen Kreises mbH</t>
  </si>
  <si>
    <t>Iserlohn</t>
  </si>
  <si>
    <t>Giesestraße 10</t>
  </si>
  <si>
    <t>BNA0504</t>
  </si>
  <si>
    <t>HKW Jena</t>
  </si>
  <si>
    <t>Jena</t>
  </si>
  <si>
    <t>BNA1164</t>
  </si>
  <si>
    <t>P&amp;L Werk Jülich</t>
  </si>
  <si>
    <t>Jülich</t>
  </si>
  <si>
    <t>Dürenerstr. 20</t>
  </si>
  <si>
    <t>Kessel 5</t>
  </si>
  <si>
    <t>BNA0510a</t>
  </si>
  <si>
    <t>SWK Stadtwerke Kaiserslautern, Versorgungs-AG</t>
  </si>
  <si>
    <t>HKW Karcherstr.</t>
  </si>
  <si>
    <t>Kaiserslautern</t>
  </si>
  <si>
    <t>BNA0510b</t>
  </si>
  <si>
    <t>BNA1165</t>
  </si>
  <si>
    <t>P&amp;L Werk Appeldorn</t>
  </si>
  <si>
    <t>Kalkar</t>
  </si>
  <si>
    <t>Reeser Str 280-300</t>
  </si>
  <si>
    <t>Lentjes-Kessel</t>
  </si>
  <si>
    <t>Biogas, Schweröl, Leichtöl</t>
  </si>
  <si>
    <t>BNA1167</t>
  </si>
  <si>
    <t>Kreis Weseler Abfallgesellschaft mbH &amp; Co. KG (KWA)</t>
  </si>
  <si>
    <t>Abfallentsorgungszentrum Asdonkshof</t>
  </si>
  <si>
    <t>Kamp-Lintfort</t>
  </si>
  <si>
    <t>Graftstr. 25</t>
  </si>
  <si>
    <t>MVA</t>
  </si>
  <si>
    <t>BNA1166</t>
  </si>
  <si>
    <t>Karlsruhe</t>
  </si>
  <si>
    <t>Rheinhafen-Dampfkraftwerk</t>
  </si>
  <si>
    <t>Fettweisstraße 42</t>
  </si>
  <si>
    <t>BNA0515</t>
  </si>
  <si>
    <t>Stadtwerke Karlsruhe GmbH</t>
  </si>
  <si>
    <t>Heizkraftwerk West</t>
  </si>
  <si>
    <t>T3</t>
  </si>
  <si>
    <t>BNA0516</t>
  </si>
  <si>
    <t>MiRO Mineraloelraffinerie Oberrhein GmbH &amp; Co. KG</t>
  </si>
  <si>
    <t>MiRO</t>
  </si>
  <si>
    <t>Kesselhaus Werk 1</t>
  </si>
  <si>
    <t>BNA0517</t>
  </si>
  <si>
    <t>Kesselhaus Werk 2</t>
  </si>
  <si>
    <t>BNA0518a</t>
  </si>
  <si>
    <t>RDK 7</t>
  </si>
  <si>
    <t>BNA0518b</t>
  </si>
  <si>
    <t>RDK 8</t>
  </si>
  <si>
    <t>BNA1168</t>
  </si>
  <si>
    <t>Müllheizkraftwerk Kassel GmbH</t>
  </si>
  <si>
    <t>Müllheizkraftwerk</t>
  </si>
  <si>
    <t>Kassel</t>
  </si>
  <si>
    <t>Erdgas, HEL</t>
  </si>
  <si>
    <t>BNA0523</t>
  </si>
  <si>
    <t>Städtische Werke Energie + Wärme GmbH</t>
  </si>
  <si>
    <t>FKK</t>
  </si>
  <si>
    <t>Steinkohle, Klärschlamm, Erdgas, Heizöl EL</t>
  </si>
  <si>
    <t>BNA0521</t>
  </si>
  <si>
    <t>Kombi-HKW</t>
  </si>
  <si>
    <t>BNA1528</t>
  </si>
  <si>
    <t>Stadtwerke Kempen GmbH</t>
  </si>
  <si>
    <t>Kempen</t>
  </si>
  <si>
    <t>Gas</t>
  </si>
  <si>
    <t>Biomethan</t>
  </si>
  <si>
    <t>BNA0527</t>
  </si>
  <si>
    <t>Stadtwerke Kiel AG</t>
  </si>
  <si>
    <t>HKW Humboldtstr.</t>
  </si>
  <si>
    <t>Kiel</t>
  </si>
  <si>
    <t>BNA0526</t>
  </si>
  <si>
    <t>Gemeinschaftskraftwerk Kiel GmbH</t>
  </si>
  <si>
    <t>Gemeinschaftskraftwerk Kiel</t>
  </si>
  <si>
    <t>BNA0531</t>
  </si>
  <si>
    <t>Energieservice Westfalen Weser GmbH</t>
  </si>
  <si>
    <t>KW Kirchlengern</t>
  </si>
  <si>
    <t>Kirchlengern</t>
  </si>
  <si>
    <t>BNA1184</t>
  </si>
  <si>
    <t>AVG Köln mbH</t>
  </si>
  <si>
    <t>RMVA Köln</t>
  </si>
  <si>
    <t>Köln</t>
  </si>
  <si>
    <t>Geestemünder Str. 23</t>
  </si>
  <si>
    <t>keine</t>
  </si>
  <si>
    <t>BNA1867</t>
  </si>
  <si>
    <t>AVG Köln</t>
  </si>
  <si>
    <t>Geestemünder Straße 23</t>
  </si>
  <si>
    <t>Turbosatz 2</t>
  </si>
  <si>
    <t>BNA0543</t>
  </si>
  <si>
    <t>RheinEnergie AG</t>
  </si>
  <si>
    <t>HKW Merkenich</t>
  </si>
  <si>
    <t>BNA0545</t>
  </si>
  <si>
    <t>HKW Niehl 2</t>
  </si>
  <si>
    <t>BNA0546</t>
  </si>
  <si>
    <t>BNA1182</t>
  </si>
  <si>
    <t>BNA1183</t>
  </si>
  <si>
    <t>HKW Merheim</t>
  </si>
  <si>
    <t>BNA1818</t>
  </si>
  <si>
    <t>Niehl 3</t>
  </si>
  <si>
    <t>Niehl 31</t>
  </si>
  <si>
    <t>BNA0547</t>
  </si>
  <si>
    <t>Shell Deutschland Oil GmbH</t>
  </si>
  <si>
    <t>Raffineriekraftwerk Köln Godorf</t>
  </si>
  <si>
    <t>Godorfer Hauptstr. 150</t>
  </si>
  <si>
    <t>BNA1397a</t>
  </si>
  <si>
    <t>Ineos Manufacturing Deutschland GmbH</t>
  </si>
  <si>
    <t>O10</t>
  </si>
  <si>
    <t>Alte Strasse 201</t>
  </si>
  <si>
    <t>T21</t>
  </si>
  <si>
    <t>Reststoffe aus Produkt.</t>
  </si>
  <si>
    <t>HD-Heizgas</t>
  </si>
  <si>
    <t>BNA1397b</t>
  </si>
  <si>
    <t>T22</t>
  </si>
  <si>
    <t>BNA1397c</t>
  </si>
  <si>
    <t>T23</t>
  </si>
  <si>
    <t>BNA1397d</t>
  </si>
  <si>
    <t>T24</t>
  </si>
  <si>
    <t>BNA1397e</t>
  </si>
  <si>
    <t>T31</t>
  </si>
  <si>
    <t>BNA1870</t>
  </si>
  <si>
    <t>Orion Engineered Carbons GmbH</t>
  </si>
  <si>
    <t>Werk Kalscheuren</t>
  </si>
  <si>
    <t>Harry-Kloepfer-Straße 1</t>
  </si>
  <si>
    <t>Restgas aus Rußproduktion</t>
  </si>
  <si>
    <t>BNA1185</t>
  </si>
  <si>
    <t>P&amp;L Werk Könnern</t>
  </si>
  <si>
    <t>Könnern</t>
  </si>
  <si>
    <t>An den Sieben Stücken</t>
  </si>
  <si>
    <t>Kessel 1 und 2</t>
  </si>
  <si>
    <t>Kösching</t>
  </si>
  <si>
    <t>BNA1553</t>
  </si>
  <si>
    <t>Gunvor Raffinerie Ingolstadt GmbH</t>
  </si>
  <si>
    <t>Raffineriegas</t>
  </si>
  <si>
    <t>EGK Entsorgungsgesellschaft Krefeld GmbH &amp; Co.KG</t>
  </si>
  <si>
    <t>MKVA Krefeld</t>
  </si>
  <si>
    <t>Krefeld</t>
  </si>
  <si>
    <t>Parkstr. 234</t>
  </si>
  <si>
    <t>Turbine 3</t>
  </si>
  <si>
    <t>BNA1186b</t>
  </si>
  <si>
    <t>Turbine 4</t>
  </si>
  <si>
    <t>BNA1186c</t>
  </si>
  <si>
    <t>Turbine 2</t>
  </si>
  <si>
    <t>BNA1186d</t>
  </si>
  <si>
    <t>BNA1186e</t>
  </si>
  <si>
    <t>Turbine 1</t>
  </si>
  <si>
    <t>BNA0556a</t>
  </si>
  <si>
    <t>KWK-Anlage Krefeld DT</t>
  </si>
  <si>
    <t>Düsseldorfer Str. 191</t>
  </si>
  <si>
    <t>BNA0556b</t>
  </si>
  <si>
    <t>KWK-Anlage Krefeld VM</t>
  </si>
  <si>
    <t>Gasmotor (Dieselgenerator)</t>
  </si>
  <si>
    <t>Heizöl El</t>
  </si>
  <si>
    <t>BNA1502</t>
  </si>
  <si>
    <t>SWK ENERGIE GmbH</t>
  </si>
  <si>
    <t>Heizkraftwerk Krefeld</t>
  </si>
  <si>
    <t>BNA0557a</t>
  </si>
  <si>
    <t>Currenta GmbH &amp; Co. OHG</t>
  </si>
  <si>
    <t>Kraftwerk L 57</t>
  </si>
  <si>
    <t>Krefeld-Uerdingen</t>
  </si>
  <si>
    <t>CHEMPARK, Geb. L 57</t>
  </si>
  <si>
    <t>Erdgas, Braunkohle, Produktionsrückstände</t>
  </si>
  <si>
    <t>BNA0557b</t>
  </si>
  <si>
    <t>Kraftwerk N 230</t>
  </si>
  <si>
    <t>CHEMPARK, Geb. N 230</t>
  </si>
  <si>
    <t>Erdgas, Produktionsrückstände</t>
  </si>
  <si>
    <t>BNA1329</t>
  </si>
  <si>
    <t>Kübler &amp; Niethammer Papierfabrik Kriebstein AG</t>
  </si>
  <si>
    <t>K&amp;N PFK AG EV</t>
  </si>
  <si>
    <t>Kriebstein</t>
  </si>
  <si>
    <t>Bauhofstr. 1</t>
  </si>
  <si>
    <t>GT / GDT</t>
  </si>
  <si>
    <t>BNA1450</t>
  </si>
  <si>
    <t>DREWSEN SPEZIALPAPIERE GmbH &amp; Co. KG</t>
  </si>
  <si>
    <t>GUD-Anlage DREWSEN</t>
  </si>
  <si>
    <t>Lachendorf</t>
  </si>
  <si>
    <t>Georg-Drewsen-Weg 2</t>
  </si>
  <si>
    <t>BNA1187</t>
  </si>
  <si>
    <t>P&amp;L Werk Lage</t>
  </si>
  <si>
    <t>Lage</t>
  </si>
  <si>
    <t>Heidensche Str. 70</t>
  </si>
  <si>
    <t>Kessel 1/2/3</t>
  </si>
  <si>
    <t>Landesbergen</t>
  </si>
  <si>
    <t>BNA0574a</t>
  </si>
  <si>
    <t>Landesbergen Gas</t>
  </si>
  <si>
    <t>BNA1190</t>
  </si>
  <si>
    <t>Thermische Abfallbehandlung Lauta GmbH &amp; Co. oHG</t>
  </si>
  <si>
    <t>Lauta</t>
  </si>
  <si>
    <t>Industrie- und Gewerbegebiet Lauta, 
Straße B Nr. 5</t>
  </si>
  <si>
    <t>BNA0588</t>
  </si>
  <si>
    <t>Heizkraftwerk Leipzig-Nord</t>
  </si>
  <si>
    <t>Leipzig</t>
  </si>
  <si>
    <t>BNA1658</t>
  </si>
  <si>
    <t>Stadtwerke Lemgo GmbH</t>
  </si>
  <si>
    <t>Lemgo</t>
  </si>
  <si>
    <t>Bruchweg 24</t>
  </si>
  <si>
    <t>BNA1193</t>
  </si>
  <si>
    <t>HKW-West</t>
  </si>
  <si>
    <t xml:space="preserve">Lemgo </t>
  </si>
  <si>
    <t>Liemer Weg 71</t>
  </si>
  <si>
    <t>BNA1556</t>
  </si>
  <si>
    <t>Sachsenmilch Leppersdorf GmbH</t>
  </si>
  <si>
    <t>Leppersdorf</t>
  </si>
  <si>
    <t>An den Breiten</t>
  </si>
  <si>
    <t>Klärgas</t>
  </si>
  <si>
    <t>BNA0590</t>
  </si>
  <si>
    <t>TREA Leuna</t>
  </si>
  <si>
    <t>Leuna</t>
  </si>
  <si>
    <t>An der B91</t>
  </si>
  <si>
    <t>Linie 1</t>
  </si>
  <si>
    <t>InfraLeuna GmbH</t>
  </si>
  <si>
    <t>BNA0591</t>
  </si>
  <si>
    <t>Linie 2</t>
  </si>
  <si>
    <t>BNA0592</t>
  </si>
  <si>
    <t>GuD Leuna</t>
  </si>
  <si>
    <t>BNA0593</t>
  </si>
  <si>
    <t>ILK-GuD</t>
  </si>
  <si>
    <t>BNA0594</t>
  </si>
  <si>
    <t>TOTAL Raffinerie Mitteldeutschland GmbH</t>
  </si>
  <si>
    <t>BNA0595</t>
  </si>
  <si>
    <t>GT3</t>
  </si>
  <si>
    <t>BNA0596</t>
  </si>
  <si>
    <t>Raffineriekraftwerk</t>
  </si>
  <si>
    <t>BNA0597</t>
  </si>
  <si>
    <t>DT1</t>
  </si>
  <si>
    <t>Dampf</t>
  </si>
  <si>
    <t>BNA0598a</t>
  </si>
  <si>
    <t>ILK-EKT</t>
  </si>
  <si>
    <t>EKT</t>
  </si>
  <si>
    <t>BNA0598b</t>
  </si>
  <si>
    <t>KT1</t>
  </si>
  <si>
    <t>BNA0599</t>
  </si>
  <si>
    <t>AVEA Entsorgungsbetriebe GmbH &amp; Co. KG</t>
  </si>
  <si>
    <t>Leverkusen</t>
  </si>
  <si>
    <t>BNA0600a</t>
  </si>
  <si>
    <t>X-Kraftwerk</t>
  </si>
  <si>
    <t>CHEMPARK, Geb. X 50</t>
  </si>
  <si>
    <t>BNA0600b</t>
  </si>
  <si>
    <t>G-Kraftwerk</t>
  </si>
  <si>
    <t>CHEMPARK, Geb. G 22</t>
  </si>
  <si>
    <t>Erdgas, Braunkohle,  Produktionsrückstände</t>
  </si>
  <si>
    <t>BNA0602</t>
  </si>
  <si>
    <t>Emsland</t>
  </si>
  <si>
    <t>Lingen</t>
  </si>
  <si>
    <t>C1</t>
  </si>
  <si>
    <t>BNA0603</t>
  </si>
  <si>
    <t>B1</t>
  </si>
  <si>
    <t>BNA0604</t>
  </si>
  <si>
    <t>B2</t>
  </si>
  <si>
    <t>BNA0605</t>
  </si>
  <si>
    <t>C2</t>
  </si>
  <si>
    <t>BNA0606</t>
  </si>
  <si>
    <t>BNA1509</t>
  </si>
  <si>
    <t>BP Europa SE</t>
  </si>
  <si>
    <t>BP Werk Lingen</t>
  </si>
  <si>
    <t>Raffineriestrasse</t>
  </si>
  <si>
    <t>BNA0607</t>
  </si>
  <si>
    <t>Kernkraftwerk Emsland</t>
  </si>
  <si>
    <t>KKE</t>
  </si>
  <si>
    <t>BNA1531</t>
  </si>
  <si>
    <t>Industriekraftwerk Greifswald GmbH</t>
  </si>
  <si>
    <t>Industriekraftwerk Greifswald</t>
  </si>
  <si>
    <t>Lubmin</t>
  </si>
  <si>
    <t>BASF SE</t>
  </si>
  <si>
    <t>Ludwigshafen</t>
  </si>
  <si>
    <t>BNA1197</t>
  </si>
  <si>
    <t>FHKW Ludwigshafen</t>
  </si>
  <si>
    <t xml:space="preserve">Industriestr. 3 </t>
  </si>
  <si>
    <t>FHKW</t>
  </si>
  <si>
    <t>BNA0614a</t>
  </si>
  <si>
    <t>KW Mitte</t>
  </si>
  <si>
    <t>A 855</t>
  </si>
  <si>
    <t>BNA0615</t>
  </si>
  <si>
    <t>Kraftwerk Süd</t>
  </si>
  <si>
    <t>C 200</t>
  </si>
  <si>
    <t>GUD C 200
GT 1, GT 2, DT 1</t>
  </si>
  <si>
    <t>BNA0614b</t>
  </si>
  <si>
    <t>Kraftwerk Mitte</t>
  </si>
  <si>
    <t>A 800</t>
  </si>
  <si>
    <t>GUD A 800 
GT 11, GT 12, DT 10</t>
  </si>
  <si>
    <t>BNA1196a</t>
  </si>
  <si>
    <t>BHKW Ludwigshafen</t>
  </si>
  <si>
    <t>Giulinistraße 2</t>
  </si>
  <si>
    <t xml:space="preserve">BHKW </t>
  </si>
  <si>
    <t>BNA1196b</t>
  </si>
  <si>
    <t>Industriekraftwerk Ludwigshafen</t>
  </si>
  <si>
    <t>Giulinistr. 2</t>
  </si>
  <si>
    <t>BNA0616b</t>
  </si>
  <si>
    <t>Kraftwerk Nord</t>
  </si>
  <si>
    <t>S 300</t>
  </si>
  <si>
    <t>S 300
VT 1, VT 2, NT 7</t>
  </si>
  <si>
    <t>gasförmig</t>
  </si>
  <si>
    <t>flüssig, Erdgas, (Öl)</t>
  </si>
  <si>
    <t>Lünen</t>
  </si>
  <si>
    <t>BNA1508</t>
  </si>
  <si>
    <t>Trianel Kohlekraftwerk Lünen GmbH &amp; Co. KG</t>
  </si>
  <si>
    <t>Trianel Kohlekraftwerk Lünen</t>
  </si>
  <si>
    <t>Frydagstr. 40</t>
  </si>
  <si>
    <t>BNA1198</t>
  </si>
  <si>
    <t>SUEZ Energie und Verwertung GmbH</t>
  </si>
  <si>
    <t xml:space="preserve">SITA Abfallverwertung GmbH </t>
  </si>
  <si>
    <t>Lützen OT Zorbau</t>
  </si>
  <si>
    <t>Bayerische Str.20</t>
  </si>
  <si>
    <t>BNA0622</t>
  </si>
  <si>
    <t>Müllheizkraftwerk Rothensee GmbH</t>
  </si>
  <si>
    <t>MHKW Rothensee</t>
  </si>
  <si>
    <t>Magdeburg</t>
  </si>
  <si>
    <t>BNA0623</t>
  </si>
  <si>
    <t>BNA1199</t>
  </si>
  <si>
    <t>Entsorgungsgesellschaft Mainz mbH</t>
  </si>
  <si>
    <t>MHKW Mainz</t>
  </si>
  <si>
    <t>Mainz</t>
  </si>
  <si>
    <t>Kraftwerkallee 1</t>
  </si>
  <si>
    <t>BNA0626</t>
  </si>
  <si>
    <t>Kraftwerke Mainz-Wiesbaden AG</t>
  </si>
  <si>
    <t>Kraftwerk Mainz</t>
  </si>
  <si>
    <t>KW3</t>
  </si>
  <si>
    <t>BNA0640</t>
  </si>
  <si>
    <t>HKW Mannheim</t>
  </si>
  <si>
    <t>Mannheim</t>
  </si>
  <si>
    <t>Otto-Hahn-Straße 1</t>
  </si>
  <si>
    <t>BNA0641a</t>
  </si>
  <si>
    <t>Turbine 60</t>
  </si>
  <si>
    <t>Erdgas (für An- und Abfahrvorgänge)</t>
  </si>
  <si>
    <t>BNA0641b</t>
  </si>
  <si>
    <t>Turbine D.0</t>
  </si>
  <si>
    <t>BNA0641c</t>
  </si>
  <si>
    <t>Turbine E.0</t>
  </si>
  <si>
    <t>BNA0644</t>
  </si>
  <si>
    <t>Grosskraftwerk Mannheim AG</t>
  </si>
  <si>
    <t xml:space="preserve">GKM </t>
  </si>
  <si>
    <t>Marguerrestraße 1</t>
  </si>
  <si>
    <t>BNA0645</t>
  </si>
  <si>
    <t>BNA0646a</t>
  </si>
  <si>
    <t>Block 8</t>
  </si>
  <si>
    <t>BNA0646b</t>
  </si>
  <si>
    <t>BNA0658</t>
  </si>
  <si>
    <t>Evonik Degussa GmbH</t>
  </si>
  <si>
    <t>Kraftwerk III</t>
  </si>
  <si>
    <t>Marl</t>
  </si>
  <si>
    <t>Paul-Baumann-Str. 1</t>
  </si>
  <si>
    <t>Block 311</t>
  </si>
  <si>
    <t>BNA0659</t>
  </si>
  <si>
    <t>Block 312</t>
  </si>
  <si>
    <t>BNA1676</t>
  </si>
  <si>
    <t>Kraftwerk IV</t>
  </si>
  <si>
    <t>BNA0662b</t>
  </si>
  <si>
    <t>Kraftwerk I</t>
  </si>
  <si>
    <t>Dampfwirtschaft (6 Einzelturbinen)</t>
  </si>
  <si>
    <t>Mehrere Energieträger
(nicht erneuerbar)</t>
  </si>
  <si>
    <t>BNA0660</t>
  </si>
  <si>
    <t xml:space="preserve">Kraftwerk I  </t>
  </si>
  <si>
    <t xml:space="preserve">Block 4 </t>
  </si>
  <si>
    <t>Abfälle, Heizöl</t>
  </si>
  <si>
    <t>BNA0662a</t>
  </si>
  <si>
    <t xml:space="preserve">Kraftwerk I </t>
  </si>
  <si>
    <t xml:space="preserve">Block 5 </t>
  </si>
  <si>
    <t>Abfälle, Erdgas</t>
  </si>
  <si>
    <t>BNA1523a</t>
  </si>
  <si>
    <t>Moritz J. Weig GmbH &amp; Co KG</t>
  </si>
  <si>
    <t>Gemeinschaftskraftwerk Weig</t>
  </si>
  <si>
    <t>Mayen</t>
  </si>
  <si>
    <t>Polcher Str. 113</t>
  </si>
  <si>
    <t>Block 1 (Kessel2, GT 1, DT 2)</t>
  </si>
  <si>
    <t>BNA1523b</t>
  </si>
  <si>
    <t>Block 2 (Kessel 6, GT 2, DT 3)</t>
  </si>
  <si>
    <t>BNA1523c</t>
  </si>
  <si>
    <t>Block 3 (Kessel 3 und 4, DT 2 und 3 anteilig)</t>
  </si>
  <si>
    <t>Fangstoff aus Altpapieraufbereitung</t>
  </si>
  <si>
    <t>BNA1212</t>
  </si>
  <si>
    <t>Vereinigte Wertach-Elektrizitätswerke GmbH</t>
  </si>
  <si>
    <t>DKW Nord</t>
  </si>
  <si>
    <t>Mindelheim</t>
  </si>
  <si>
    <t>Mindelmähderweg 10</t>
  </si>
  <si>
    <t>BNA1332</t>
  </si>
  <si>
    <t>INEOS Solvents Germany GmbH</t>
  </si>
  <si>
    <t>INEOS Kraftwerk</t>
  </si>
  <si>
    <t>Moers</t>
  </si>
  <si>
    <t>Römerstr. 733</t>
  </si>
  <si>
    <t>TG7/8</t>
  </si>
  <si>
    <t>Flüssige und gasförmige Produktionsrückstände</t>
  </si>
  <si>
    <t>BNA1396</t>
  </si>
  <si>
    <t>Energieversorgungscenter Dresden-Wilschdorf GmbH &amp; Co. KG</t>
  </si>
  <si>
    <t>EVC / GLOBALFOUNDRIES</t>
  </si>
  <si>
    <t>Moritzburg</t>
  </si>
  <si>
    <t>Boxdorf, Ringstr. 3</t>
  </si>
  <si>
    <t>EVC I</t>
  </si>
  <si>
    <t>BNA1866</t>
  </si>
  <si>
    <t>Zweite Energieversorgungscenter Dresden-Wilschdorf GmbH &amp; Co. KG</t>
  </si>
  <si>
    <t>BNA0683a</t>
  </si>
  <si>
    <t>SWM Services GmbH</t>
  </si>
  <si>
    <t>Süd DT1</t>
  </si>
  <si>
    <t>München</t>
  </si>
  <si>
    <t>BNA0683b</t>
  </si>
  <si>
    <t>Süd GT3</t>
  </si>
  <si>
    <t>BNA0683c</t>
  </si>
  <si>
    <t>Süd GT2</t>
  </si>
  <si>
    <t>BNA0684a</t>
  </si>
  <si>
    <t>Süd GT 61</t>
  </si>
  <si>
    <t>BNA0684b</t>
  </si>
  <si>
    <t>Süd GT 62</t>
  </si>
  <si>
    <t>BNA0684c</t>
  </si>
  <si>
    <t>Süd DT60</t>
  </si>
  <si>
    <t>Flughafen München GmbH</t>
  </si>
  <si>
    <t>nicht öffentlicher Bereich (Btl. 145.01)</t>
  </si>
  <si>
    <t>BNA1327b</t>
  </si>
  <si>
    <t>Terminal 2 Gesellschaft mbH &amp; Co oHG</t>
  </si>
  <si>
    <t>Erweiterung Energiezentrale 2003</t>
  </si>
  <si>
    <t>AGG8 - AGG9</t>
  </si>
  <si>
    <t>BNA1678</t>
  </si>
  <si>
    <t>Energiezentrale 2016</t>
  </si>
  <si>
    <t>BNA0685</t>
  </si>
  <si>
    <t>Stadtwerke Münster GmbH</t>
  </si>
  <si>
    <t>Heizkraftwerk Hafen</t>
  </si>
  <si>
    <t>Münster</t>
  </si>
  <si>
    <t>BNA0686</t>
  </si>
  <si>
    <t>Gemeinschaftskernkraftwerk Neckarwestheim II</t>
  </si>
  <si>
    <t>Neckarwestheim</t>
  </si>
  <si>
    <t>Im Steinbruch</t>
  </si>
  <si>
    <t>GKN II</t>
  </si>
  <si>
    <t>BNA0688</t>
  </si>
  <si>
    <t>Neubrandenburger Stadtwerke GmbH</t>
  </si>
  <si>
    <t>GuD-HKW Neubrandenburg</t>
  </si>
  <si>
    <t>Neubrandenburg</t>
  </si>
  <si>
    <t>BNA0693</t>
  </si>
  <si>
    <t>SWN Stadtwerke Neumünster GmbH</t>
  </si>
  <si>
    <t>Heizkraftwerk NMS</t>
  </si>
  <si>
    <t>Neumünster</t>
  </si>
  <si>
    <t>Abfall/Ersatzbrennstoff</t>
  </si>
  <si>
    <t>Steinkohle/HEL/Erdgas</t>
  </si>
  <si>
    <t>BNA1448</t>
  </si>
  <si>
    <t>AHKW Neunkirchen</t>
  </si>
  <si>
    <t>Neunkirchen</t>
  </si>
  <si>
    <t>Am Blücherflöz 12</t>
  </si>
  <si>
    <t>Linie 3 + 4</t>
  </si>
  <si>
    <t>Abfall, biol. Abbaubarer Anteil von Abfällen aus haushalten und Industrie</t>
  </si>
  <si>
    <t>BNA1406</t>
  </si>
  <si>
    <t>FS-Karton GmbH</t>
  </si>
  <si>
    <t>FS-Karton</t>
  </si>
  <si>
    <t>Neuss</t>
  </si>
  <si>
    <t>Düsseldorfer Str. 182-184</t>
  </si>
  <si>
    <t>BNA1402</t>
  </si>
  <si>
    <t>Delkeskamp Verpackungswerke GmbH</t>
  </si>
  <si>
    <t>Heizkraftwerk zur Papierfabrik</t>
  </si>
  <si>
    <t>Nortrup</t>
  </si>
  <si>
    <t>Hauptstrasse 15</t>
  </si>
  <si>
    <t>BNA0746</t>
  </si>
  <si>
    <t>N-ERGIE AG</t>
  </si>
  <si>
    <t>HKW Sandreuth</t>
  </si>
  <si>
    <t>Nürnberg</t>
  </si>
  <si>
    <t>Sandreuthstr. 51</t>
  </si>
  <si>
    <t>Abfall (Fremddampfbezug)</t>
  </si>
  <si>
    <t>Erdgas/Öl</t>
  </si>
  <si>
    <t>BNA0742</t>
  </si>
  <si>
    <t>GuD 1</t>
  </si>
  <si>
    <t>BNA0743</t>
  </si>
  <si>
    <t>BNA0744</t>
  </si>
  <si>
    <t>Franken 1</t>
  </si>
  <si>
    <t>BNA0745</t>
  </si>
  <si>
    <t>BNA1444a</t>
  </si>
  <si>
    <t>Prinovis GmbH &amp; Co. KG</t>
  </si>
  <si>
    <t xml:space="preserve">GT1 </t>
  </si>
  <si>
    <t>Breslauer Str. 300</t>
  </si>
  <si>
    <t>BNA1444b</t>
  </si>
  <si>
    <t xml:space="preserve">GT2 </t>
  </si>
  <si>
    <t>BNA1444c</t>
  </si>
  <si>
    <t xml:space="preserve">GT3 </t>
  </si>
  <si>
    <t>BNA1444d</t>
  </si>
  <si>
    <t xml:space="preserve">GT4 </t>
  </si>
  <si>
    <t>BNA0750</t>
  </si>
  <si>
    <t>GMVA Gemeinschafts-Müll-Verbrennungsanlage Niederrhein GmbH</t>
  </si>
  <si>
    <t>GMVA Niederrhein</t>
  </si>
  <si>
    <t>Oberhausen</t>
  </si>
  <si>
    <t>Liricher Straße 121</t>
  </si>
  <si>
    <t>Ausspeisung 10/110kV (Turbine 2)</t>
  </si>
  <si>
    <t>BNA0751</t>
  </si>
  <si>
    <t>Ausspeisung 10/25kV (Turbine 1)</t>
  </si>
  <si>
    <t>BNA0752</t>
  </si>
  <si>
    <t>Energieversorgung Oberhausen AG</t>
  </si>
  <si>
    <t>HKW 1</t>
  </si>
  <si>
    <t>BNA0753</t>
  </si>
  <si>
    <t>HKW 2</t>
  </si>
  <si>
    <t>BNA1399</t>
  </si>
  <si>
    <t>OXEA Produktion GmbH &amp; Co.KG</t>
  </si>
  <si>
    <t>Oxea GmbH</t>
  </si>
  <si>
    <t>Otto-Roelen-Str.3</t>
  </si>
  <si>
    <t>flüssige, gasförmige Nebenprodukte</t>
  </si>
  <si>
    <t>BNA1467</t>
  </si>
  <si>
    <t>Koehler SE</t>
  </si>
  <si>
    <t>Oberkirch</t>
  </si>
  <si>
    <t>Hauptstraße 2-4</t>
  </si>
  <si>
    <t>ERB, kom. KS</t>
  </si>
  <si>
    <t>BNA0755a</t>
  </si>
  <si>
    <t>Kraftwerk Obernburg GmbH</t>
  </si>
  <si>
    <t>Obernburg</t>
  </si>
  <si>
    <t>BNA0755b</t>
  </si>
  <si>
    <t>BNA1516</t>
  </si>
  <si>
    <t>Südzucker AG Mannheim</t>
  </si>
  <si>
    <t>HKW 1 Werk Offstein</t>
  </si>
  <si>
    <t>Obrigheim</t>
  </si>
  <si>
    <t>Wormser Straße 11</t>
  </si>
  <si>
    <t>Heizöl schwer</t>
  </si>
  <si>
    <t>BNA1222</t>
  </si>
  <si>
    <t>Energieversorgung Offenbach AG</t>
  </si>
  <si>
    <t>Müllheizkraftwerk Offenbach</t>
  </si>
  <si>
    <t>Offenbach</t>
  </si>
  <si>
    <t>BNA0758</t>
  </si>
  <si>
    <t>Heizkraftwerk Offenbach</t>
  </si>
  <si>
    <t>BNA0759</t>
  </si>
  <si>
    <t>Itzehoe</t>
  </si>
  <si>
    <t>Oldendorf</t>
  </si>
  <si>
    <t>BNA1864</t>
  </si>
  <si>
    <t>KÄMMERER Energie GmbH</t>
  </si>
  <si>
    <t>Osnabrück</t>
  </si>
  <si>
    <t>Römereschstrasse 33</t>
  </si>
  <si>
    <t>Braunkohle, Steinkohle, Heizöl S, Heizöl EL</t>
  </si>
  <si>
    <t>Ersatzbrennstoffe, Papierschlamm</t>
  </si>
  <si>
    <t>BNA1865</t>
  </si>
  <si>
    <t>BNA0766</t>
  </si>
  <si>
    <t>Audorf</t>
  </si>
  <si>
    <t>Osterrönfeld</t>
  </si>
  <si>
    <t>BNA0894a</t>
  </si>
  <si>
    <t>PCK Raffinerie GmbH</t>
  </si>
  <si>
    <t>IKS PCK Schwedt</t>
  </si>
  <si>
    <t>PCK Schwedt</t>
  </si>
  <si>
    <t>Block 5 SE 5</t>
  </si>
  <si>
    <t>HSCR</t>
  </si>
  <si>
    <t>BNA0894b</t>
  </si>
  <si>
    <t>Block 6 SE 6</t>
  </si>
  <si>
    <t>CLO</t>
  </si>
  <si>
    <t>CLO/Raff.Gas</t>
  </si>
  <si>
    <t>BNA0894c</t>
  </si>
  <si>
    <t>Block 1 SE 1</t>
  </si>
  <si>
    <t>BNA0894d</t>
  </si>
  <si>
    <t>Block 2 SE 2</t>
  </si>
  <si>
    <t>HSCR/VBR/VR/Raff.Gas</t>
  </si>
  <si>
    <t>BNA0894e</t>
  </si>
  <si>
    <t>SE 4</t>
  </si>
  <si>
    <t>BNA0785</t>
  </si>
  <si>
    <t>KW Jänschwalde</t>
  </si>
  <si>
    <t>Peitz</t>
  </si>
  <si>
    <t>Kraftwerksstraße</t>
  </si>
  <si>
    <t>BNA0786</t>
  </si>
  <si>
    <t>BNA0787</t>
  </si>
  <si>
    <t>BNA0788</t>
  </si>
  <si>
    <t>BNA0789</t>
  </si>
  <si>
    <t>BNA0793</t>
  </si>
  <si>
    <t>Heyden</t>
  </si>
  <si>
    <t>Petershagen</t>
  </si>
  <si>
    <t>BNA1227</t>
  </si>
  <si>
    <t>DKW Leinau</t>
  </si>
  <si>
    <t>Pforzen</t>
  </si>
  <si>
    <t>Heizkraftwerk Pforzheim GmbH</t>
  </si>
  <si>
    <t>Pforzheim</t>
  </si>
  <si>
    <t>Hohwiesenweg 15</t>
  </si>
  <si>
    <t>BNA0800</t>
  </si>
  <si>
    <t>Kombiblock/GuD</t>
  </si>
  <si>
    <t>BNA0801</t>
  </si>
  <si>
    <t>Wirbelschichtblock</t>
  </si>
  <si>
    <t>EBS; Mineralölprodukte; Klärgas</t>
  </si>
  <si>
    <t>BNA0802</t>
  </si>
  <si>
    <t>Kernkraftwerk Philippsburg 2</t>
  </si>
  <si>
    <t>Philippsburg</t>
  </si>
  <si>
    <t>Rheinschanzinsel</t>
  </si>
  <si>
    <t>KKP 2</t>
  </si>
  <si>
    <t>BNA0804a</t>
  </si>
  <si>
    <t>Hattorf</t>
  </si>
  <si>
    <t>Philippsthal</t>
  </si>
  <si>
    <t>BNA0804b</t>
  </si>
  <si>
    <t>BNA1229</t>
  </si>
  <si>
    <t>MHKW Pirmasens</t>
  </si>
  <si>
    <t>Pirmasens</t>
  </si>
  <si>
    <t>Am Staffelberg 2-4</t>
  </si>
  <si>
    <t>Abfall, biol. abbaubarer Anteil von Abfällen aus Haushalt und Industrie</t>
  </si>
  <si>
    <t>BNA0805</t>
  </si>
  <si>
    <t>Kraftwerk Plattling</t>
  </si>
  <si>
    <t>Plattling</t>
  </si>
  <si>
    <t>BNA0814</t>
  </si>
  <si>
    <t>Energie und Wasser Potsdam GmbH</t>
  </si>
  <si>
    <t>HKW Potsdam-Süd</t>
  </si>
  <si>
    <t>Potsdam</t>
  </si>
  <si>
    <t>Gesamtanlage</t>
  </si>
  <si>
    <t>BNA1232</t>
  </si>
  <si>
    <t>EEW Energy from Waste Premnitz GmbH</t>
  </si>
  <si>
    <t>ZWSF</t>
  </si>
  <si>
    <t>Premnitz</t>
  </si>
  <si>
    <t>Dr. Herbert-Rein-Straße 1</t>
  </si>
  <si>
    <t>BNA1233</t>
  </si>
  <si>
    <t>EVE</t>
  </si>
  <si>
    <t>BNA1328</t>
  </si>
  <si>
    <t>HBB Heizkraftwerk Bauernfeind Betreibergesellschaft mbh</t>
  </si>
  <si>
    <t>HBB</t>
  </si>
  <si>
    <t>Raubling</t>
  </si>
  <si>
    <t>Rosenheimer Str. 37</t>
  </si>
  <si>
    <t>GUD</t>
  </si>
  <si>
    <t>BNA1861</t>
  </si>
  <si>
    <t>Regensburg</t>
  </si>
  <si>
    <t>Herbert-Quandt-Allee</t>
  </si>
  <si>
    <t>BNA1862</t>
  </si>
  <si>
    <t>BNA1238</t>
  </si>
  <si>
    <t>Molkerei MEGGLE Wasserburg GmbH &amp; Co. KG</t>
  </si>
  <si>
    <t>Kraftwerk Meggle</t>
  </si>
  <si>
    <t>Reitmehring</t>
  </si>
  <si>
    <t>Megglestraße 6 - 12</t>
  </si>
  <si>
    <t>BNA0832</t>
  </si>
  <si>
    <t>FairEnergie GmbH</t>
  </si>
  <si>
    <t>BHKW-Hauffstraße</t>
  </si>
  <si>
    <t>Reutlingen</t>
  </si>
  <si>
    <t>Hauffstraße 89 m</t>
  </si>
  <si>
    <t>Motorenanlage</t>
  </si>
  <si>
    <t>BNA0834</t>
  </si>
  <si>
    <t>Solvay Kraftwerk Rheinberg</t>
  </si>
  <si>
    <t>Rheinberg</t>
  </si>
  <si>
    <t>Steinkohle, Erdgas</t>
  </si>
  <si>
    <t>BNA1408</t>
  </si>
  <si>
    <t>Heizkraftwerk Evonik Rheinfelden</t>
  </si>
  <si>
    <t>Rheinfelden</t>
  </si>
  <si>
    <t>Untere Kanalstraße 3</t>
  </si>
  <si>
    <t>Wasserstoff (Restgas eines Produktions-betriebes)</t>
  </si>
  <si>
    <t>Rosenheim</t>
  </si>
  <si>
    <t>BNA0845</t>
  </si>
  <si>
    <t>Stadtwerke Rosenheim GmbH &amp; Co. KG</t>
  </si>
  <si>
    <t>MHKW, WKW</t>
  </si>
  <si>
    <t>Färberstraße 47</t>
  </si>
  <si>
    <t>T1a/b, T2</t>
  </si>
  <si>
    <t>Abfall, Erdgas, HEL</t>
  </si>
  <si>
    <t>BNA0842a</t>
  </si>
  <si>
    <t>Gasmotore</t>
  </si>
  <si>
    <t>Gasmotore 1-3</t>
  </si>
  <si>
    <t>BNA0842b</t>
  </si>
  <si>
    <t>Gasmotor 4</t>
  </si>
  <si>
    <t>BNA0843</t>
  </si>
  <si>
    <t>Gasmotor 5</t>
  </si>
  <si>
    <t>Oberaustraße 12</t>
  </si>
  <si>
    <t>01.01.1954</t>
  </si>
  <si>
    <t>BNA1243</t>
  </si>
  <si>
    <t>Vattenfall Europe New Energy Ecopower GmbH</t>
  </si>
  <si>
    <t>EBS-HKW Rostock</t>
  </si>
  <si>
    <t>Rostock</t>
  </si>
  <si>
    <t>Ost-West-Straße 25</t>
  </si>
  <si>
    <t>BNA0848</t>
  </si>
  <si>
    <t>Stadtwerke Rostock AG</t>
  </si>
  <si>
    <t>GuD Marienehe</t>
  </si>
  <si>
    <t>BNA0849</t>
  </si>
  <si>
    <t>KNG Kraftwerk Rostock</t>
  </si>
  <si>
    <t>Am Kühlturm 1</t>
  </si>
  <si>
    <t>BNA0855</t>
  </si>
  <si>
    <t>IKW Rüdersdorf</t>
  </si>
  <si>
    <t>Rüdersdorf bei Berlin</t>
  </si>
  <si>
    <t>Siedlerweg 11</t>
  </si>
  <si>
    <t>BNA0856</t>
  </si>
  <si>
    <t>Energie- und Medienversorgung Schwarza GmbH</t>
  </si>
  <si>
    <t>HKW Schwarza</t>
  </si>
  <si>
    <t>Rudolstadt</t>
  </si>
  <si>
    <t>Fremdbezug Dampf</t>
  </si>
  <si>
    <t>BNA0857</t>
  </si>
  <si>
    <t xml:space="preserve">Opel Automobile GmbH </t>
  </si>
  <si>
    <t>GuD-Anlage Rüsselsheim</t>
  </si>
  <si>
    <t>Rüsselheim</t>
  </si>
  <si>
    <t>M120</t>
  </si>
  <si>
    <t>BNA0861a</t>
  </si>
  <si>
    <t>Energie SaarLorLux AG</t>
  </si>
  <si>
    <t>HKW Römerbrücke</t>
  </si>
  <si>
    <t>Saarbrücken</t>
  </si>
  <si>
    <t>HEL (teilweise)</t>
  </si>
  <si>
    <t>BNA1464</t>
  </si>
  <si>
    <t>ZF Friedrichshafen AG</t>
  </si>
  <si>
    <t>Gas- u. Dampfturbinenanlage Südraum</t>
  </si>
  <si>
    <t>Untertürkheimer Straße 5</t>
  </si>
  <si>
    <t>BNA0861b</t>
  </si>
  <si>
    <t>Kohleanlage</t>
  </si>
  <si>
    <t>BNA1244</t>
  </si>
  <si>
    <t>AVA Velsen GmbH</t>
  </si>
  <si>
    <t>AVA Velsen</t>
  </si>
  <si>
    <t>Saarbrücken-Velsen</t>
  </si>
  <si>
    <t>Alte Grube Velsen 16</t>
  </si>
  <si>
    <t>BNA1859</t>
  </si>
  <si>
    <t>Ford-Werke GmbH</t>
  </si>
  <si>
    <t>Ford Saarlouis</t>
  </si>
  <si>
    <t>Saarlouis</t>
  </si>
  <si>
    <t>BNA0863</t>
  </si>
  <si>
    <t>Salzgitter Flachstahl GmbH</t>
  </si>
  <si>
    <t>Kraftwerk Salzgitter</t>
  </si>
  <si>
    <t>Salzgitter</t>
  </si>
  <si>
    <t>AB</t>
  </si>
  <si>
    <t>Kuppelprodukte der Stahlerzeugung</t>
  </si>
  <si>
    <t>BNA0864</t>
  </si>
  <si>
    <t>BNA0865b</t>
  </si>
  <si>
    <t>BNA0878</t>
  </si>
  <si>
    <t>Schkopau</t>
  </si>
  <si>
    <t>BNA0879</t>
  </si>
  <si>
    <t>UPM GmbH</t>
  </si>
  <si>
    <t>UPM Schongau</t>
  </si>
  <si>
    <t>Schongau</t>
  </si>
  <si>
    <t>Friedrich-Haindl-Strasse 10</t>
  </si>
  <si>
    <t>BNA1248b</t>
  </si>
  <si>
    <t>HKW3 UPM Schongau</t>
  </si>
  <si>
    <t>HKW 3</t>
  </si>
  <si>
    <t>BNA1249</t>
  </si>
  <si>
    <t>Heizkraftwerk 2</t>
  </si>
  <si>
    <t>Reststoffe aus Altpapieraufbereitung</t>
  </si>
  <si>
    <t>BNA1254</t>
  </si>
  <si>
    <t>Zweckverband Müllverwertung Schwandorf</t>
  </si>
  <si>
    <t>Müllkraftwerk Schwandorf</t>
  </si>
  <si>
    <t>Schwandorf</t>
  </si>
  <si>
    <t>Alustraße 7</t>
  </si>
  <si>
    <t xml:space="preserve">Heizöl </t>
  </si>
  <si>
    <t>BNA0893</t>
  </si>
  <si>
    <t>BASF Schwarzheide GmbH</t>
  </si>
  <si>
    <t>GuD Schwarzheide</t>
  </si>
  <si>
    <t>Schwarzheide</t>
  </si>
  <si>
    <t>Schipkauer Str.1</t>
  </si>
  <si>
    <t>BNA1255</t>
  </si>
  <si>
    <t>Kraftwerk Schwedt GmbH &amp; Co. KG</t>
  </si>
  <si>
    <t>Kraftwerk Schwedt GmbH &amp; Co.KG</t>
  </si>
  <si>
    <t>Schwedt</t>
  </si>
  <si>
    <t>Biogas, Erdgas, Heizöl</t>
  </si>
  <si>
    <t>BNA0895</t>
  </si>
  <si>
    <t>GKS Gemeinschaftskraftwerk Schweinfurt GmbH</t>
  </si>
  <si>
    <t>GKS</t>
  </si>
  <si>
    <t>Schweinfurt</t>
  </si>
  <si>
    <t>Hafenstraße 30</t>
  </si>
  <si>
    <t>Steinkohle, Abfall</t>
  </si>
  <si>
    <t>BNA0896</t>
  </si>
  <si>
    <t>Energieversorgung Schwerin GmbH &amp; Co. Erzeugung KG</t>
  </si>
  <si>
    <t>HKW Schwerin Süd</t>
  </si>
  <si>
    <t>Schwerin</t>
  </si>
  <si>
    <t>BNA0897</t>
  </si>
  <si>
    <t>HKW Schwerin Lankow</t>
  </si>
  <si>
    <t>BNA1486</t>
  </si>
  <si>
    <t>ROMONTA GmbH</t>
  </si>
  <si>
    <t>Grubenheizkraftwerk</t>
  </si>
  <si>
    <t>Seegebiet Mansfelder Land</t>
  </si>
  <si>
    <t>Chausseestraße 1</t>
  </si>
  <si>
    <t>BNA1260</t>
  </si>
  <si>
    <t>Heizkraftwerk Sindelfingen</t>
  </si>
  <si>
    <t>Sindelfingen</t>
  </si>
  <si>
    <t>Sammelschienen-HKW</t>
  </si>
  <si>
    <t>BNA1510</t>
  </si>
  <si>
    <t>Spreestromerzeugungs GmbH</t>
  </si>
  <si>
    <t>Hamburger Rieger</t>
  </si>
  <si>
    <t>Spremberg</t>
  </si>
  <si>
    <t>An der Heide B5</t>
  </si>
  <si>
    <t>BNA0914</t>
  </si>
  <si>
    <t>Schwarze Pumpe</t>
  </si>
  <si>
    <t>An der alten Ziegelei 1</t>
  </si>
  <si>
    <t>BNA0915</t>
  </si>
  <si>
    <t>BNA1863</t>
  </si>
  <si>
    <t>Fresenius Medical Care Deutschland GmbH</t>
  </si>
  <si>
    <t>Gasturbinen-HKW St. Wendel</t>
  </si>
  <si>
    <t>St. Wendel</t>
  </si>
  <si>
    <t>Frankfurter Straße 6-8</t>
  </si>
  <si>
    <t>BNA0918b</t>
  </si>
  <si>
    <t>Dow Deutschland Anlagengesellschaft mbH</t>
  </si>
  <si>
    <t>Dow Stade</t>
  </si>
  <si>
    <t>Stade</t>
  </si>
  <si>
    <t>Bützflethersand</t>
  </si>
  <si>
    <t>Cogen Dow Stade</t>
  </si>
  <si>
    <t>Wasserstoff</t>
  </si>
  <si>
    <t>BNA1437</t>
  </si>
  <si>
    <t>Aluminium Oxid Stade GmbH</t>
  </si>
  <si>
    <t>KWK AOS GmbH</t>
  </si>
  <si>
    <t>Stade- Bützfleth</t>
  </si>
  <si>
    <t>Johann- Rathje- Köser- Straße</t>
  </si>
  <si>
    <t>GT 1/2</t>
  </si>
  <si>
    <t>BNA1261</t>
  </si>
  <si>
    <t>EEW Energy from Waste Stapelfeld GmbH</t>
  </si>
  <si>
    <t>Stapelfeld</t>
  </si>
  <si>
    <t>Abfall, biol. abbaubarer Anteil von Abfällen aus Haushalten und Industrie</t>
  </si>
  <si>
    <t>BNA1262</t>
  </si>
  <si>
    <t>REMONDIS Thermische Abfallverwertung GmbH</t>
  </si>
  <si>
    <t>Staßfurt</t>
  </si>
  <si>
    <t>Butterwecker Weg 6</t>
  </si>
  <si>
    <t>BNA0922</t>
  </si>
  <si>
    <t>CIECH Energy Deutschland GmbH</t>
  </si>
  <si>
    <t>GuD-Ikw Staßfurt</t>
  </si>
  <si>
    <t>Athenslebener Weg 57</t>
  </si>
  <si>
    <t>BNA1403</t>
  </si>
  <si>
    <t>Neptune Energy Deutschland GmbH</t>
  </si>
  <si>
    <t>Steinitz</t>
  </si>
  <si>
    <t xml:space="preserve">Bobbenmärsche 11 </t>
  </si>
  <si>
    <t>Erdgaseigenproduktion</t>
  </si>
  <si>
    <t>BNA1489</t>
  </si>
  <si>
    <t>Stadtwerke - Altmärkische Gas-, Wasser- u. E-Werke Stendal GmbH</t>
  </si>
  <si>
    <t>Heizkraftwerk Stendal</t>
  </si>
  <si>
    <t>Stendal</t>
  </si>
  <si>
    <t>Schillerstraße</t>
  </si>
  <si>
    <t xml:space="preserve">Erdgas H </t>
  </si>
  <si>
    <t>Heizöl leicht</t>
  </si>
  <si>
    <t>Sappi Stockstadt GmbH</t>
  </si>
  <si>
    <t>Heizkraftwerk der Sappi Stockstadt GmbH</t>
  </si>
  <si>
    <t>Stockstadt</t>
  </si>
  <si>
    <t>Obernburger Straße 1-9</t>
  </si>
  <si>
    <t>BNA0926b</t>
  </si>
  <si>
    <t>Konventionelles Sammelschienenkraftwerk</t>
  </si>
  <si>
    <t>Erdgas, Heizöl, Rinde, Holz, Biogas, Biotrockengut</t>
  </si>
  <si>
    <t>BNA0939a</t>
  </si>
  <si>
    <t>Restmüll-Heizkraftwerk Stuttgart-Münster</t>
  </si>
  <si>
    <t>Stuttgart</t>
  </si>
  <si>
    <t>Voltastraße 45</t>
  </si>
  <si>
    <t>MÜN DT19 neu</t>
  </si>
  <si>
    <t>Abfall (2/3)</t>
  </si>
  <si>
    <t>Steinkohle (1/3)</t>
  </si>
  <si>
    <t>BNA1333a</t>
  </si>
  <si>
    <t>Universität Stuttgart</t>
  </si>
  <si>
    <t>HKW Pfaffenwald</t>
  </si>
  <si>
    <t>Pfaffenwaldring 8</t>
  </si>
  <si>
    <t>Anlage 40</t>
  </si>
  <si>
    <t>Erdgas H</t>
  </si>
  <si>
    <t>BNA1333b</t>
  </si>
  <si>
    <t>Block 50</t>
  </si>
  <si>
    <t>BNA1333c</t>
  </si>
  <si>
    <t>Block 60</t>
  </si>
  <si>
    <t>BNA0937</t>
  </si>
  <si>
    <t>MÜN GT16</t>
  </si>
  <si>
    <t>BNA0938</t>
  </si>
  <si>
    <t>MÜN GT17</t>
  </si>
  <si>
    <t>BNA0939b</t>
  </si>
  <si>
    <t>MÜN GT18</t>
  </si>
  <si>
    <t>BNA0934</t>
  </si>
  <si>
    <t>Heizkraftwerk Stuttgart-Gaisburg</t>
  </si>
  <si>
    <t>Langwiesenweg 23</t>
  </si>
  <si>
    <t>GAI DT 14 neu</t>
  </si>
  <si>
    <t>BNA0935</t>
  </si>
  <si>
    <t>MÜN DT12</t>
  </si>
  <si>
    <t>BNA0936</t>
  </si>
  <si>
    <t>MÜN DT15</t>
  </si>
  <si>
    <t>BNA1264</t>
  </si>
  <si>
    <t>Stadtwerke Suhl/Zella-Mehlis GmbH</t>
  </si>
  <si>
    <t>HKW Bohrhügel</t>
  </si>
  <si>
    <t>Suhl</t>
  </si>
  <si>
    <t>Fröhliche-Mann-Straße 2</t>
  </si>
  <si>
    <t>BNA0196</t>
  </si>
  <si>
    <t>Mitteldeutsche Braunkohlengesellschaft mbH</t>
  </si>
  <si>
    <t>Deuben</t>
  </si>
  <si>
    <t>Teuchern</t>
  </si>
  <si>
    <t>BNA0957</t>
  </si>
  <si>
    <t>Stadtwerke Tübingen GmbH</t>
  </si>
  <si>
    <t>BHKW Obere Viehweide</t>
  </si>
  <si>
    <t>Tübingen</t>
  </si>
  <si>
    <t xml:space="preserve"> -</t>
  </si>
  <si>
    <t>Fernwärme Ulm GmbH</t>
  </si>
  <si>
    <t>Ulm</t>
  </si>
  <si>
    <t>Magirusstr. 21</t>
  </si>
  <si>
    <t>BNA1405a</t>
  </si>
  <si>
    <t>Heizkraftwerk Magirusstraße</t>
  </si>
  <si>
    <t>BNA1271</t>
  </si>
  <si>
    <t>Unterbreizbach</t>
  </si>
  <si>
    <t>BNA0969a</t>
  </si>
  <si>
    <t>Nord 1</t>
  </si>
  <si>
    <t>Unterföhring</t>
  </si>
  <si>
    <t>Stützfeuer</t>
  </si>
  <si>
    <t>BNA0969c</t>
  </si>
  <si>
    <t>Nord 3</t>
  </si>
  <si>
    <t>BNA0969b</t>
  </si>
  <si>
    <t>Nord 2</t>
  </si>
  <si>
    <t>Papier- u. Kartonfabrik Varel GmbH &amp; Co. KG</t>
  </si>
  <si>
    <t>PKV Kraftwerk</t>
  </si>
  <si>
    <t>Varel</t>
  </si>
  <si>
    <t>Dangaster Straße 38</t>
  </si>
  <si>
    <t>BNA1335a</t>
  </si>
  <si>
    <t>KWK-Blöcke</t>
  </si>
  <si>
    <t>BNA1335b</t>
  </si>
  <si>
    <t>Kondensationsturbine</t>
  </si>
  <si>
    <t>Abdampf</t>
  </si>
  <si>
    <t>01.01.1974</t>
  </si>
  <si>
    <t>Völklingen-Fenne</t>
  </si>
  <si>
    <t>BNA0998</t>
  </si>
  <si>
    <t>Modellkraftwerk</t>
  </si>
  <si>
    <t>Saarbrücker Straße 135-137</t>
  </si>
  <si>
    <t>MKV</t>
  </si>
  <si>
    <t>BNA0999</t>
  </si>
  <si>
    <t>HKV</t>
  </si>
  <si>
    <t>BNA1002</t>
  </si>
  <si>
    <t>Wählitz</t>
  </si>
  <si>
    <t>BNA1004</t>
  </si>
  <si>
    <t>Kraftwerk Walheim</t>
  </si>
  <si>
    <t>Walheim</t>
  </si>
  <si>
    <t>Mühlstraße</t>
  </si>
  <si>
    <t>WAL GT D</t>
  </si>
  <si>
    <t>BNA1007a</t>
  </si>
  <si>
    <t>Allgäuer Überlandwerk GmbH</t>
  </si>
  <si>
    <t>SKW Gasturbine</t>
  </si>
  <si>
    <t>Waltenhofen-Veits</t>
  </si>
  <si>
    <t>Leichtes Heizöl</t>
  </si>
  <si>
    <t>BNA1007b</t>
  </si>
  <si>
    <t>SKW Diesel</t>
  </si>
  <si>
    <t>BNA1015</t>
  </si>
  <si>
    <t>Wedel</t>
  </si>
  <si>
    <t>BNA1016</t>
  </si>
  <si>
    <t>BNA0403</t>
  </si>
  <si>
    <t>Vattenfall Europe Wärme AG</t>
  </si>
  <si>
    <t>Tinsdaler Weg 146</t>
  </si>
  <si>
    <t>Wedel 2</t>
  </si>
  <si>
    <t>BNA0404</t>
  </si>
  <si>
    <t>Wedel 1</t>
  </si>
  <si>
    <t>BNA1407</t>
  </si>
  <si>
    <t>Schoeller Technocell GmbH &amp; Co. KG</t>
  </si>
  <si>
    <t>STW</t>
  </si>
  <si>
    <t>Weißenborn</t>
  </si>
  <si>
    <t>Fabrikstraße 1</t>
  </si>
  <si>
    <t>BNA1020</t>
  </si>
  <si>
    <t>MVA Weisweiler</t>
  </si>
  <si>
    <t>BNA1042</t>
  </si>
  <si>
    <t>Werne</t>
  </si>
  <si>
    <t>I1</t>
  </si>
  <si>
    <t>BNA1039</t>
  </si>
  <si>
    <t>F1</t>
  </si>
  <si>
    <t>BNA1040</t>
  </si>
  <si>
    <t>G1</t>
  </si>
  <si>
    <t>BNA1045</t>
  </si>
  <si>
    <t>G2</t>
  </si>
  <si>
    <t>BNA1046b</t>
  </si>
  <si>
    <t xml:space="preserve">K1 </t>
  </si>
  <si>
    <t>BNA1046a</t>
  </si>
  <si>
    <t>K2</t>
  </si>
  <si>
    <t>BNA1279</t>
  </si>
  <si>
    <t>Basell Polyolefine GmbH</t>
  </si>
  <si>
    <t>Wesseling</t>
  </si>
  <si>
    <t>D290</t>
  </si>
  <si>
    <t>BNA1280</t>
  </si>
  <si>
    <t>D210</t>
  </si>
  <si>
    <t>Erdöl</t>
  </si>
  <si>
    <t>BNA1520</t>
  </si>
  <si>
    <t>ESWE BioEnergie GmbH</t>
  </si>
  <si>
    <t>Biomasseheizkraftwerk Wiesbaden</t>
  </si>
  <si>
    <t>Wiesbaden</t>
  </si>
  <si>
    <t>Deponiestraße 14</t>
  </si>
  <si>
    <t>Zünd- und Stützbrenner Heizöl EL</t>
  </si>
  <si>
    <t>InfraServ GmbH &amp; Co. Wiesbaden KG</t>
  </si>
  <si>
    <t>Wi-Biebrich</t>
  </si>
  <si>
    <t>BNA1056</t>
  </si>
  <si>
    <t>BNA1060</t>
  </si>
  <si>
    <t>Wilhelmshaven</t>
  </si>
  <si>
    <t>BNA1061</t>
  </si>
  <si>
    <t>BNA1674</t>
  </si>
  <si>
    <t>Kraftwerk Wilhelmshaven</t>
  </si>
  <si>
    <t>Niedersachsendamm</t>
  </si>
  <si>
    <t>Witzenhausen</t>
  </si>
  <si>
    <t>Kasseler Landstr. 23</t>
  </si>
  <si>
    <t>BNA1465a</t>
  </si>
  <si>
    <t>B+T Energie GmbH</t>
  </si>
  <si>
    <t>EBS-Kraftwerk Witzenhausen</t>
  </si>
  <si>
    <t>Ersatzbrennstoff aus Abfall</t>
  </si>
  <si>
    <t>BNA1504</t>
  </si>
  <si>
    <t>BHKW</t>
  </si>
  <si>
    <t>Woerth</t>
  </si>
  <si>
    <t>Daimler Str. 1</t>
  </si>
  <si>
    <t>BNA1074</t>
  </si>
  <si>
    <t>Spitzenlastkraftwerk Wolfen</t>
  </si>
  <si>
    <t>Wolfen</t>
  </si>
  <si>
    <t>BNA1677</t>
  </si>
  <si>
    <t>BHKW Braunschweig</t>
  </si>
  <si>
    <t>Wolfsburg</t>
  </si>
  <si>
    <t>Berliner Ring</t>
  </si>
  <si>
    <t>BNA1075a</t>
  </si>
  <si>
    <t>HKW Nord</t>
  </si>
  <si>
    <t>Generator A</t>
  </si>
  <si>
    <t>BNA1075b</t>
  </si>
  <si>
    <t>Generator B</t>
  </si>
  <si>
    <t>BNA1076a</t>
  </si>
  <si>
    <t>BNA1076b</t>
  </si>
  <si>
    <t>BNA1447a</t>
  </si>
  <si>
    <t>Evonik Röhm GmbH</t>
  </si>
  <si>
    <t>Worms</t>
  </si>
  <si>
    <t>Im Pfaffenwinkel 6</t>
  </si>
  <si>
    <t>BNA1447b</t>
  </si>
  <si>
    <t>G3/Kontu</t>
  </si>
  <si>
    <t>BNA1284</t>
  </si>
  <si>
    <t>Grace GmbH</t>
  </si>
  <si>
    <t>Co-Generation</t>
  </si>
  <si>
    <t>In der Hollerhecke 1</t>
  </si>
  <si>
    <t>BNA1078</t>
  </si>
  <si>
    <t>HKW Wörth</t>
  </si>
  <si>
    <t>Wörth</t>
  </si>
  <si>
    <t>Am Oberwald 2</t>
  </si>
  <si>
    <t>Reststoffe</t>
  </si>
  <si>
    <t>BNA1285</t>
  </si>
  <si>
    <t>Sigmundshall</t>
  </si>
  <si>
    <t>Wunstorf</t>
  </si>
  <si>
    <t>BNA1316</t>
  </si>
  <si>
    <t>AWG Abfallwirtschaftsgesellschaft mbH Wuppertal</t>
  </si>
  <si>
    <t>Wuppertal</t>
  </si>
  <si>
    <t>Korzert 15</t>
  </si>
  <si>
    <t>WSW Energie &amp; Wasser AG</t>
  </si>
  <si>
    <t>BNA1083</t>
  </si>
  <si>
    <t>Spitzenlastanlage Barmen</t>
  </si>
  <si>
    <t>BNA1449a</t>
  </si>
  <si>
    <t>Zweckverband Abfallwirtschaft Raum Würzburg</t>
  </si>
  <si>
    <t>Turbosatz 1</t>
  </si>
  <si>
    <t>Würzburg</t>
  </si>
  <si>
    <t>Gattingerstr. 31</t>
  </si>
  <si>
    <t>BNA1449b</t>
  </si>
  <si>
    <t>BNA1085</t>
  </si>
  <si>
    <t>Heizkraftwerk Würzburg GmbH</t>
  </si>
  <si>
    <t>Heizkraftwerke an der Friedensbrücke</t>
  </si>
  <si>
    <t>Veitshöchheimer Str. 1</t>
  </si>
  <si>
    <t>TSIII</t>
  </si>
  <si>
    <t>BNA1086</t>
  </si>
  <si>
    <t>TSII</t>
  </si>
  <si>
    <t>BNA1087</t>
  </si>
  <si>
    <t>GTII</t>
  </si>
  <si>
    <t>BNA1088</t>
  </si>
  <si>
    <t>GTI</t>
  </si>
  <si>
    <t>BNA1400a</t>
  </si>
  <si>
    <t>Südzucker AG, Werk Zeitz</t>
  </si>
  <si>
    <t>EZ1</t>
  </si>
  <si>
    <t>Zeitz</t>
  </si>
  <si>
    <t>Albrechtstr. 54</t>
  </si>
  <si>
    <t>WSK</t>
  </si>
  <si>
    <t>BNA1461</t>
  </si>
  <si>
    <t>CropEnergies Bioethanol GmbH Zeitz</t>
  </si>
  <si>
    <t>BNA1400b</t>
  </si>
  <si>
    <t>DTI</t>
  </si>
  <si>
    <t>BNA1286</t>
  </si>
  <si>
    <t>Zweckverband für Abfallwirtschaft Südwestthüringen (ZASt)</t>
  </si>
  <si>
    <t>Restabfallbehandlungsanlage</t>
  </si>
  <si>
    <t>Zella-Mehlis</t>
  </si>
  <si>
    <t>BNA1089</t>
  </si>
  <si>
    <t>Zielitz</t>
  </si>
  <si>
    <t>Zolling</t>
  </si>
  <si>
    <t>Leininger Str. 1</t>
  </si>
  <si>
    <t>BNA1092</t>
  </si>
  <si>
    <t>GT1 &amp; GT2</t>
  </si>
  <si>
    <t>BNA1093</t>
  </si>
  <si>
    <t>Zolling Block 5</t>
  </si>
  <si>
    <t>BNA1097</t>
  </si>
  <si>
    <t>Smurfit Kappa Zülpich Papier GmbH</t>
  </si>
  <si>
    <t>Kohlekraftwerk</t>
  </si>
  <si>
    <t>Zülpich</t>
  </si>
  <si>
    <t>Bessenicher Weg</t>
  </si>
  <si>
    <t>K06</t>
  </si>
  <si>
    <t>Braunkohlebriketts 75%, Sek.Brennstoff 20%, Biogas 5%</t>
  </si>
  <si>
    <t>Rejekt + Biogas</t>
  </si>
  <si>
    <t>BNA1094</t>
  </si>
  <si>
    <t>GKW</t>
  </si>
  <si>
    <t>BNA1557</t>
  </si>
  <si>
    <t xml:space="preserve">Volkswagen Sachsen GmbH </t>
  </si>
  <si>
    <t>Zwickau</t>
  </si>
  <si>
    <t>Glauchauer Str. 40</t>
  </si>
  <si>
    <t>BNA1894</t>
  </si>
  <si>
    <t>Holcim (Süddeutschland) GmbH</t>
  </si>
  <si>
    <t>Dotternhausen</t>
  </si>
  <si>
    <t>Dormettingerstrasse 23</t>
  </si>
  <si>
    <t xml:space="preserve">Ölschiefer </t>
  </si>
  <si>
    <t>BNA1904</t>
  </si>
  <si>
    <t>K5/T7</t>
  </si>
  <si>
    <t>BNA1909</t>
  </si>
  <si>
    <t>HKW 3 Stuttgart-Gaisburg</t>
  </si>
  <si>
    <t>HKW3</t>
  </si>
  <si>
    <t>Erdgas/ Heizöl EL</t>
  </si>
  <si>
    <t>BNA1927</t>
  </si>
  <si>
    <t>TEAG</t>
  </si>
  <si>
    <t>GM</t>
  </si>
  <si>
    <t>BNA1934</t>
  </si>
  <si>
    <t>KWK Landshut</t>
  </si>
  <si>
    <t>Landshut</t>
  </si>
  <si>
    <t>Nicht-EEG-Anlagen &lt; 10 MW</t>
  </si>
  <si>
    <t>Steam turbine</t>
  </si>
  <si>
    <t>01.08.1961</t>
  </si>
  <si>
    <t>01.01.2005</t>
  </si>
  <si>
    <t>01.01.2004</t>
  </si>
  <si>
    <t>2006</t>
  </si>
  <si>
    <t>Combustion Engine</t>
  </si>
  <si>
    <t>01.01.2003</t>
  </si>
  <si>
    <t>01.01.1997</t>
  </si>
  <si>
    <t>01.01.1985</t>
  </si>
  <si>
    <t>01.01.1923</t>
  </si>
  <si>
    <t>02.07.1981</t>
  </si>
  <si>
    <t>01.01.1969</t>
  </si>
  <si>
    <t>24.11.1989</t>
  </si>
  <si>
    <t>14.12.1987</t>
  </si>
  <si>
    <t>04.08.1988</t>
  </si>
  <si>
    <t>Combined cycle</t>
  </si>
  <si>
    <t>10.07.1984</t>
  </si>
  <si>
    <t>01.03.2014</t>
  </si>
  <si>
    <t>01.12.1979</t>
  </si>
  <si>
    <t>01.06.1988</t>
  </si>
  <si>
    <t>20.12.2013</t>
  </si>
  <si>
    <t>04.03.1982</t>
  </si>
  <si>
    <t>02.06.1992</t>
  </si>
  <si>
    <t>23.01.1989</t>
  </si>
  <si>
    <t>01.10.1985</t>
  </si>
  <si>
    <t>01.01.1988</t>
  </si>
  <si>
    <t>01.01.1989</t>
  </si>
  <si>
    <t>01.01.1968</t>
  </si>
  <si>
    <t>01.01.1992</t>
  </si>
  <si>
    <t>31.08.2015</t>
  </si>
  <si>
    <t>01.03.1993</t>
  </si>
  <si>
    <t>28.02.2015</t>
  </si>
  <si>
    <t>02.07.2014</t>
  </si>
  <si>
    <t>26.01.1989</t>
  </si>
  <si>
    <t>21.06.1989</t>
  </si>
  <si>
    <t>01.12.1985</t>
  </si>
  <si>
    <t>25.07.1989</t>
  </si>
  <si>
    <t>01.06.1979</t>
  </si>
  <si>
    <t>19.06.1985</t>
  </si>
  <si>
    <t>21.08.1989</t>
  </si>
  <si>
    <t>26.11.1996</t>
  </si>
  <si>
    <t>21.06.1985</t>
  </si>
  <si>
    <t>01.07.2014</t>
  </si>
  <si>
    <t>02.10.1970</t>
  </si>
  <si>
    <t>01.01.1957</t>
  </si>
  <si>
    <t>01.01.1971</t>
  </si>
  <si>
    <t>01.01.1962</t>
  </si>
  <si>
    <t>01.01.2013</t>
  </si>
  <si>
    <t>26.12.2005</t>
  </si>
  <si>
    <t>01.11.1982</t>
  </si>
  <si>
    <t>05.04.1993</t>
  </si>
  <si>
    <t>02.05.2015</t>
  </si>
  <si>
    <t>12.08.1940</t>
  </si>
  <si>
    <t>01.06.1971</t>
  </si>
  <si>
    <t>15.10.1983</t>
  </si>
  <si>
    <t>15.02.1990</t>
  </si>
  <si>
    <t>01.01.1987</t>
  </si>
  <si>
    <t>18.01.1990</t>
  </si>
  <si>
    <t>01.10.1994</t>
  </si>
  <si>
    <t>01.07.1989</t>
  </si>
  <si>
    <t>01.01.1970</t>
  </si>
  <si>
    <t>01.01.2009</t>
  </si>
  <si>
    <t>01.01.1982</t>
  </si>
  <si>
    <t>01.01.1984</t>
  </si>
  <si>
    <t>17.11.1992</t>
  </si>
  <si>
    <t>15.12.1991</t>
  </si>
  <si>
    <t>15.08.1982</t>
  </si>
  <si>
    <t>30.11.1989</t>
  </si>
  <si>
    <t>01.01.1967</t>
  </si>
  <si>
    <t>23.07.1962</t>
  </si>
  <si>
    <t>01.01.1961</t>
  </si>
  <si>
    <t>01.06.1984</t>
  </si>
  <si>
    <t>01.01.1976</t>
  </si>
  <si>
    <t>30.10.2015</t>
  </si>
  <si>
    <t>01.05.2000</t>
  </si>
  <si>
    <t>01.11.1985</t>
  </si>
  <si>
    <t>1968</t>
  </si>
  <si>
    <t>2014</t>
  </si>
  <si>
    <t>01.01.1963</t>
  </si>
  <si>
    <t>01.01.1958</t>
  </si>
  <si>
    <t>01.01.1959</t>
  </si>
  <si>
    <t>01.01.1975</t>
  </si>
  <si>
    <t>01.07.1980</t>
  </si>
  <si>
    <t>01.01.1981</t>
  </si>
  <si>
    <t>01.01.1929</t>
  </si>
  <si>
    <t>01.01.1955</t>
  </si>
  <si>
    <t>01.03.2011</t>
  </si>
  <si>
    <t>31.05.1968</t>
  </si>
  <si>
    <t>16.09.1974</t>
  </si>
  <si>
    <t>23.10.1974</t>
  </si>
  <si>
    <t>30.08.2002</t>
  </si>
  <si>
    <t>27.06.1965</t>
  </si>
  <si>
    <t>01.01.1939</t>
  </si>
  <si>
    <t>01.02.1995</t>
  </si>
  <si>
    <t>20.06.2000</t>
  </si>
  <si>
    <t>01.12.1999</t>
  </si>
  <si>
    <t>01.01.1979</t>
  </si>
  <si>
    <t>01.10.2000</t>
  </si>
  <si>
    <t>06.11.2012</t>
  </si>
  <si>
    <t>01.09.1988</t>
  </si>
  <si>
    <t>15.06.1990</t>
  </si>
  <si>
    <t>16.12.1999</t>
  </si>
  <si>
    <t>01.01.1996</t>
  </si>
  <si>
    <t>30.06.1964</t>
  </si>
  <si>
    <t>25.03.1983</t>
  </si>
  <si>
    <t>02.12.1965</t>
  </si>
  <si>
    <t>04.09.1967</t>
  </si>
  <si>
    <t>14.02.1974</t>
  </si>
  <si>
    <t>18.01.1975</t>
  </si>
  <si>
    <t>01.12.1991</t>
  </si>
  <si>
    <t>30.09.1997</t>
  </si>
  <si>
    <t>08.07.2012</t>
  </si>
  <si>
    <t>03.08.2012</t>
  </si>
  <si>
    <t>21.03.1973</t>
  </si>
  <si>
    <t>14.10.1972</t>
  </si>
  <si>
    <t>30.06.1972</t>
  </si>
  <si>
    <t>24.06.1975</t>
  </si>
  <si>
    <t>22.02.1976</t>
  </si>
  <si>
    <t>01.01.1917</t>
  </si>
  <si>
    <t>15.09.2013</t>
  </si>
  <si>
    <t>21.12.1989</t>
  </si>
  <si>
    <t>16.12.2010</t>
  </si>
  <si>
    <t>31.03.2014</t>
  </si>
  <si>
    <t>01.10.1981</t>
  </si>
  <si>
    <t>29.11.1982</t>
  </si>
  <si>
    <t>01.02.1984</t>
  </si>
  <si>
    <t>06.10.1985</t>
  </si>
  <si>
    <t>06.10.1987</t>
  </si>
  <si>
    <t>01.07.1979</t>
  </si>
  <si>
    <t>15.12.1997</t>
  </si>
  <si>
    <t>25.05.1998</t>
  </si>
  <si>
    <t>09.10.1936</t>
  </si>
  <si>
    <t>25.08.1994</t>
  </si>
  <si>
    <t>01.09.1993</t>
  </si>
  <si>
    <t>Gas turbine</t>
  </si>
  <si>
    <t>1947</t>
  </si>
  <si>
    <t>01.01.1973</t>
  </si>
  <si>
    <t>26.09.1993</t>
  </si>
  <si>
    <t>28.01.2013</t>
  </si>
  <si>
    <t>15.01.2004</t>
  </si>
  <si>
    <t>15.12.1976</t>
  </si>
  <si>
    <t>01.05.1994</t>
  </si>
  <si>
    <t>29.12.2011</t>
  </si>
  <si>
    <t>13.08.1981</t>
  </si>
  <si>
    <t>30.12.1996</t>
  </si>
  <si>
    <t>04.09.1972</t>
  </si>
  <si>
    <t>25.05.1972</t>
  </si>
  <si>
    <t>30.12.1994</t>
  </si>
  <si>
    <t>02.01.2005</t>
  </si>
  <si>
    <t>04.08.2000</t>
  </si>
  <si>
    <t>01.12.2013</t>
  </si>
  <si>
    <t>01.06.1969</t>
  </si>
  <si>
    <t>01.11.2013</t>
  </si>
  <si>
    <t>1997</t>
  </si>
  <si>
    <t>15.07.1971</t>
  </si>
  <si>
    <t>30.12.2010</t>
  </si>
  <si>
    <t>10.05.1965</t>
  </si>
  <si>
    <t>01.10.2016</t>
  </si>
  <si>
    <t>01.08.1999</t>
  </si>
  <si>
    <t>01.05.1996</t>
  </si>
  <si>
    <t>27.07.2001</t>
  </si>
  <si>
    <t>14.05.1979</t>
  </si>
  <si>
    <t>19.07.2002</t>
  </si>
  <si>
    <t>09.01.2005</t>
  </si>
  <si>
    <t>01.06.1991</t>
  </si>
  <si>
    <t>2013</t>
  </si>
  <si>
    <t>20.12.1999</t>
  </si>
  <si>
    <t>15.11.2017</t>
  </si>
  <si>
    <t>01.07.2000</t>
  </si>
  <si>
    <t>22.03.2004</t>
  </si>
  <si>
    <t>28.09.1995</t>
  </si>
  <si>
    <t>01.01.2002</t>
  </si>
  <si>
    <t>24.10.2005</t>
  </si>
  <si>
    <t>01.01.1940</t>
  </si>
  <si>
    <t>28.07.2000</t>
  </si>
  <si>
    <t>21.02.1975</t>
  </si>
  <si>
    <t>19.11.1974</t>
  </si>
  <si>
    <t>01.01.1948</t>
  </si>
  <si>
    <t>31.10.2012</t>
  </si>
  <si>
    <t>22.01.2016</t>
  </si>
  <si>
    <t>07.07.1977</t>
  </si>
  <si>
    <t>12.10.1993</t>
  </si>
  <si>
    <t>28.12.2007</t>
  </si>
  <si>
    <t>24.04.1996</t>
  </si>
  <si>
    <t>17.12.1999</t>
  </si>
  <si>
    <t>01.04.2000</t>
  </si>
  <si>
    <t>14.09.2005</t>
  </si>
  <si>
    <t>10.02.2014</t>
  </si>
  <si>
    <t>04.08.2006</t>
  </si>
  <si>
    <t>19.12.2006</t>
  </si>
  <si>
    <t>01.01.2018</t>
  </si>
  <si>
    <t>25.09.2013</t>
  </si>
  <si>
    <t>01.10.1998</t>
  </si>
  <si>
    <t>01.01.2001</t>
  </si>
  <si>
    <t>01.09.2012</t>
  </si>
  <si>
    <t>30.03.1982</t>
  </si>
  <si>
    <t>01.01.1998</t>
  </si>
  <si>
    <t>20.12.2017</t>
  </si>
  <si>
    <t>28.03.1994</t>
  </si>
  <si>
    <t>27.08.2005</t>
  </si>
  <si>
    <t>30.01.2013</t>
  </si>
  <si>
    <t>02.11.2009</t>
  </si>
  <si>
    <t>01.07.1993</t>
  </si>
  <si>
    <t>01.03.2008</t>
  </si>
  <si>
    <t>05.11.1998</t>
  </si>
  <si>
    <t>21.12.2001</t>
  </si>
  <si>
    <t>06.11.2014</t>
  </si>
  <si>
    <t>01.01.2007</t>
  </si>
  <si>
    <t>20.05.2009</t>
  </si>
  <si>
    <t>01.01.2006</t>
  </si>
  <si>
    <t>01.07.2013</t>
  </si>
  <si>
    <t>26.11.2003</t>
  </si>
  <si>
    <t>01.11.2012</t>
  </si>
  <si>
    <t>26.09.1996</t>
  </si>
  <si>
    <t>18.09.1989</t>
  </si>
  <si>
    <t>23.09.2002</t>
  </si>
  <si>
    <t>18.07.1988</t>
  </si>
  <si>
    <t>27.04.2005</t>
  </si>
  <si>
    <t>16.01.1981</t>
  </si>
  <si>
    <t>26.03.2005</t>
  </si>
  <si>
    <t>27.01.2004</t>
  </si>
  <si>
    <t>12.10.2010</t>
  </si>
  <si>
    <t>08.03.2001</t>
  </si>
  <si>
    <t>29.04.2016</t>
  </si>
  <si>
    <t>01.07.1999</t>
  </si>
  <si>
    <t>02.04.1993</t>
  </si>
  <si>
    <t>01.09.2000</t>
  </si>
  <si>
    <t>12.09.2017</t>
  </si>
  <si>
    <t>15.02.1996</t>
  </si>
  <si>
    <t>01.04.1980</t>
  </si>
  <si>
    <t>01.10.2001</t>
  </si>
  <si>
    <t>01.07.1994</t>
  </si>
  <si>
    <t>07.09.2010</t>
  </si>
  <si>
    <t>29.02.1992</t>
  </si>
  <si>
    <t>14.07.1997</t>
  </si>
  <si>
    <t>12.05.2005</t>
  </si>
  <si>
    <t>12.06.2008</t>
  </si>
  <si>
    <t>01.03.2003</t>
  </si>
  <si>
    <t>23.05.2000</t>
  </si>
  <si>
    <t>22.11.1973</t>
  </si>
  <si>
    <t>13.02.2016</t>
  </si>
  <si>
    <t>1995</t>
  </si>
  <si>
    <t>08.10.1980</t>
  </si>
  <si>
    <t>20.08.1980</t>
  </si>
  <si>
    <t>22.07.1980</t>
  </si>
  <si>
    <t>30.09.2004</t>
  </si>
  <si>
    <t>2003</t>
  </si>
  <si>
    <t>09.12.2014</t>
  </si>
  <si>
    <t>14.12.2005</t>
  </si>
  <si>
    <t>16.05.1997</t>
  </si>
  <si>
    <t>1992</t>
  </si>
  <si>
    <t>24.01.1996</t>
  </si>
  <si>
    <t>05.01.2005</t>
  </si>
  <si>
    <t>01.01.1993</t>
  </si>
  <si>
    <t>01.01.1995</t>
  </si>
  <si>
    <t>20.01.1971</t>
  </si>
  <si>
    <t>01.10.1920</t>
  </si>
  <si>
    <t>14.11.1980</t>
  </si>
  <si>
    <t>20.04.2010</t>
  </si>
  <si>
    <t>01.02.2001</t>
  </si>
  <si>
    <t>29.10.2012</t>
  </si>
  <si>
    <t>20.08.2016</t>
  </si>
  <si>
    <t>01.06.2000</t>
  </si>
  <si>
    <t>21.02.2011</t>
  </si>
  <si>
    <t>1975</t>
  </si>
  <si>
    <t>13.08.1979</t>
  </si>
  <si>
    <t>01.08.2011</t>
  </si>
  <si>
    <t>10.04.2013</t>
  </si>
  <si>
    <t>20.12.2012</t>
  </si>
  <si>
    <t>13.06.1996</t>
  </si>
  <si>
    <t>01.08.1936</t>
  </si>
  <si>
    <t>10.09.1999</t>
  </si>
  <si>
    <t>01.06.2005</t>
  </si>
  <si>
    <t>01.04.2012</t>
  </si>
  <si>
    <t>2016</t>
  </si>
  <si>
    <t>20.12.2014</t>
  </si>
  <si>
    <t>01.12.1994</t>
  </si>
  <si>
    <t>21.11.2013</t>
  </si>
  <si>
    <t>21.01.2014</t>
  </si>
  <si>
    <t>01.01.2015</t>
  </si>
  <si>
    <t>01.05.2012</t>
  </si>
  <si>
    <t>01.10.2015</t>
  </si>
  <si>
    <t>01.01.1999</t>
  </si>
  <si>
    <t>04.10.1994</t>
  </si>
  <si>
    <t>01.07.1988</t>
  </si>
  <si>
    <t>01.07.1969</t>
  </si>
  <si>
    <t>01.07.1968</t>
  </si>
  <si>
    <t>02.12.1995</t>
  </si>
  <si>
    <t>18.04.2000</t>
  </si>
  <si>
    <t>1989</t>
  </si>
  <si>
    <t>01.01.2010</t>
  </si>
  <si>
    <t>01.01.2011</t>
  </si>
  <si>
    <t>14.05.1997</t>
  </si>
  <si>
    <t>03.07.1996</t>
  </si>
  <si>
    <t>26.06.2006</t>
  </si>
  <si>
    <t>01.01.1990</t>
  </si>
  <si>
    <t>20.02.2013</t>
  </si>
  <si>
    <t>25.03.1997</t>
  </si>
  <si>
    <t>27.07.2014</t>
  </si>
  <si>
    <t>27.08.1991</t>
  </si>
  <si>
    <t>30.11.2007</t>
  </si>
  <si>
    <t>01.04.1996</t>
  </si>
  <si>
    <t>29.08.2018</t>
  </si>
  <si>
    <t>22.12.1986</t>
  </si>
  <si>
    <t>01.02.1985</t>
  </si>
  <si>
    <t>09.04.1988</t>
  </si>
  <si>
    <t>02.11.1984</t>
  </si>
  <si>
    <t>19.04.1988</t>
  </si>
  <si>
    <t>15.04.1989</t>
  </si>
  <si>
    <t>18.04.1985</t>
  </si>
  <si>
    <t>1991</t>
  </si>
  <si>
    <t>30.09.1971</t>
  </si>
  <si>
    <t>03.08.1972</t>
  </si>
  <si>
    <t>16.10.1995</t>
  </si>
  <si>
    <t>03.01.1994</t>
  </si>
  <si>
    <t>23.09.1962</t>
  </si>
  <si>
    <t>01.04.1997</t>
  </si>
  <si>
    <t>17.06.1995</t>
  </si>
  <si>
    <t>2004</t>
  </si>
  <si>
    <t>17.11.1988</t>
  </si>
  <si>
    <t>01.01.1972</t>
  </si>
  <si>
    <t>27.01.1972</t>
  </si>
  <si>
    <t>10.01.1994</t>
  </si>
  <si>
    <t>04.06.1998</t>
  </si>
  <si>
    <t>23.07.1998</t>
  </si>
  <si>
    <t>04.09.2011</t>
  </si>
  <si>
    <t>05.12.1978</t>
  </si>
  <si>
    <t>17.07.1988</t>
  </si>
  <si>
    <t>01.09.1978</t>
  </si>
  <si>
    <t>1972</t>
  </si>
  <si>
    <t>03.07.1962</t>
  </si>
  <si>
    <t>2008</t>
  </si>
  <si>
    <t>20.10.2010</t>
  </si>
  <si>
    <t>17.01.1976</t>
  </si>
  <si>
    <t>27.03.1977</t>
  </si>
  <si>
    <t>10.02.2011</t>
  </si>
  <si>
    <t>15.01.1964</t>
  </si>
  <si>
    <t>14.04.1964</t>
  </si>
  <si>
    <t>30.10.1963</t>
  </si>
  <si>
    <t>15.06.1966</t>
  </si>
  <si>
    <t>21.03.1967</t>
  </si>
  <si>
    <t>14.02.2000</t>
  </si>
  <si>
    <t>30.04.2010</t>
  </si>
  <si>
    <t>11.05.1964</t>
  </si>
  <si>
    <t>03.05.1974</t>
  </si>
  <si>
    <t>01.07.1939</t>
  </si>
  <si>
    <t>15.06.2010</t>
  </si>
  <si>
    <t>15.08.2010</t>
  </si>
  <si>
    <t>21.01.1989</t>
  </si>
  <si>
    <t>24.06.2009</t>
  </si>
  <si>
    <t>14.01.2008</t>
  </si>
  <si>
    <t>16.09.1994</t>
  </si>
  <si>
    <t>30.10.1998</t>
  </si>
  <si>
    <t>16.10.2009</t>
  </si>
  <si>
    <t>01.07.1981</t>
  </si>
  <si>
    <t>03.05.1999</t>
  </si>
  <si>
    <t>01.07.1990</t>
  </si>
  <si>
    <t>18.03.1977</t>
  </si>
  <si>
    <t>15.01.1994</t>
  </si>
  <si>
    <t>17.04.2000</t>
  </si>
  <si>
    <t>15.07.2005</t>
  </si>
  <si>
    <t>16.03.1987</t>
  </si>
  <si>
    <t>27.09.2010</t>
  </si>
  <si>
    <t>01.07.1975</t>
  </si>
  <si>
    <t>01.12.2007</t>
  </si>
  <si>
    <t>12.08.1999</t>
  </si>
  <si>
    <t>07.10.1913</t>
  </si>
  <si>
    <t>13.02.1986</t>
  </si>
  <si>
    <t>31.03.1999</t>
  </si>
  <si>
    <t>06.01.1982</t>
  </si>
  <si>
    <t>07.01.2009</t>
  </si>
  <si>
    <t>26.10.1984</t>
  </si>
  <si>
    <t>01.04.1981</t>
  </si>
  <si>
    <t>17.12.1985</t>
  </si>
  <si>
    <t>01.02.1998</t>
  </si>
  <si>
    <t>01.05.2017</t>
  </si>
  <si>
    <t>21.07.2004</t>
  </si>
  <si>
    <t>26.08.2005</t>
  </si>
  <si>
    <t>19.06.2007</t>
  </si>
  <si>
    <t>01.08.1967</t>
  </si>
  <si>
    <t>22.06.2005</t>
  </si>
  <si>
    <t>17.07.2005</t>
  </si>
  <si>
    <t>08.09.2006</t>
  </si>
  <si>
    <t>01.12.2009</t>
  </si>
  <si>
    <t>13.10.2006</t>
  </si>
  <si>
    <t>07.01.2010</t>
  </si>
  <si>
    <t>13.08.2012</t>
  </si>
  <si>
    <t>14.06.2012</t>
  </si>
  <si>
    <t>02.06.1977</t>
  </si>
  <si>
    <t>01.09.1996</t>
  </si>
  <si>
    <t>17.10.1991</t>
  </si>
  <si>
    <t>06.04.2006</t>
  </si>
  <si>
    <t>08.01.2004</t>
  </si>
  <si>
    <t>09.06.2009</t>
  </si>
  <si>
    <t>15.12.2009</t>
  </si>
  <si>
    <t>07.08.1997</t>
  </si>
  <si>
    <t>31.08.1982</t>
  </si>
  <si>
    <t>01.04.2011</t>
  </si>
  <si>
    <t>01.06.1990</t>
  </si>
  <si>
    <t>21.04.2008</t>
  </si>
  <si>
    <t>15.09.1991</t>
  </si>
  <si>
    <t>17.05.1984</t>
  </si>
  <si>
    <t>22.10.1996</t>
  </si>
  <si>
    <t>01.01.2014</t>
  </si>
  <si>
    <t>04.06.1984</t>
  </si>
  <si>
    <t>09.11.1998</t>
  </si>
  <si>
    <t>13.11.2007</t>
  </si>
  <si>
    <t>Effizienz</t>
  </si>
  <si>
    <t>https://blockheizkraftwerk24.com/annweiler-am-trifels-bhkw/</t>
  </si>
  <si>
    <t>https://www.engie-deutschland.de/de/media/pressemitteilungen/details/Richtfest-im-Heizkraftwerk-Gera-Tinz/</t>
  </si>
  <si>
    <t>https://www.energieversorgung-gera.de/privatkunden/unternehmen/aktuelles/mitteilung/vorbereitungen-fuer-neues-heizkraftwerk-gera-lusan.html</t>
  </si>
  <si>
    <t>https://www.avea.info/klimaschutz/strom/</t>
  </si>
  <si>
    <t>Transportkosten</t>
  </si>
  <si>
    <t>Power</t>
  </si>
  <si>
    <t>Brennstoff</t>
  </si>
  <si>
    <t>Grenzkosten</t>
  </si>
  <si>
    <t>%</t>
  </si>
  <si>
    <t>Quelle Standardwert</t>
  </si>
  <si>
    <t>Brennstoffkosten</t>
  </si>
  <si>
    <t>Kosten</t>
  </si>
  <si>
    <t>Emissionszertifikatspreis</t>
  </si>
  <si>
    <t>sonstige variable Kosten</t>
  </si>
  <si>
    <t>Kraftwerkstyp</t>
  </si>
  <si>
    <t>Nicht Verfügbarkeit</t>
  </si>
  <si>
    <t>Emissionsfaktoren</t>
  </si>
  <si>
    <t>EE-Erzeugung</t>
  </si>
  <si>
    <t>Minimalwert</t>
  </si>
  <si>
    <t>erstes Quartil</t>
  </si>
  <si>
    <t>Median</t>
  </si>
  <si>
    <t>Drittes Quartil</t>
  </si>
  <si>
    <t>Maximalwert</t>
  </si>
  <si>
    <t>Q1-Minimum</t>
  </si>
  <si>
    <t>Median-Q1</t>
  </si>
  <si>
    <t>Q3-Median</t>
  </si>
  <si>
    <t>Maximum-Q3</t>
  </si>
  <si>
    <t>Q1</t>
  </si>
  <si>
    <t>Erneuerbare Energien</t>
  </si>
  <si>
    <t>MWh</t>
  </si>
  <si>
    <t>Kraftwerksnummer der Bundesnetzagentur</t>
  </si>
  <si>
    <t>Aufnahme der kommerziellen Stromerzeugung</t>
  </si>
  <si>
    <t>Abkürzung</t>
  </si>
  <si>
    <t>Kurze Erläuterung der Liste und der grundsätzlichen Datenquellen</t>
  </si>
  <si>
    <r>
      <t>EUR/MWh</t>
    </r>
    <r>
      <rPr>
        <vertAlign val="subscript"/>
        <sz val="11"/>
        <color theme="1" tint="0.14999847407452621"/>
        <rFont val="Trebuchet MS"/>
        <family val="2"/>
      </rPr>
      <t>th</t>
    </r>
  </si>
  <si>
    <r>
      <t>EUR/tCO</t>
    </r>
    <r>
      <rPr>
        <vertAlign val="subscript"/>
        <sz val="11"/>
        <color theme="1" tint="0.14999847407452621"/>
        <rFont val="Trebuchet MS"/>
        <family val="2"/>
      </rPr>
      <t>2</t>
    </r>
  </si>
  <si>
    <r>
      <t>EUR/Mwh</t>
    </r>
    <r>
      <rPr>
        <vertAlign val="subscript"/>
        <sz val="11"/>
        <color theme="1" tint="0.14999847407452621"/>
        <rFont val="Trebuchet MS"/>
        <family val="2"/>
      </rPr>
      <t>el</t>
    </r>
  </si>
  <si>
    <r>
      <t>tCO</t>
    </r>
    <r>
      <rPr>
        <vertAlign val="subscript"/>
        <sz val="11"/>
        <color theme="1" tint="0.14999847407452621"/>
        <rFont val="Trebuchet MS"/>
        <family val="2"/>
      </rPr>
      <t>2</t>
    </r>
    <r>
      <rPr>
        <sz val="11"/>
        <color theme="1" tint="0.14999847407452621"/>
        <rFont val="Trebuchet MS"/>
        <family val="2"/>
      </rPr>
      <t>/MWh</t>
    </r>
    <r>
      <rPr>
        <vertAlign val="subscript"/>
        <sz val="11"/>
        <color theme="1" tint="0.14999847407452621"/>
        <rFont val="Trebuchet MS"/>
        <family val="2"/>
      </rPr>
      <t>th</t>
    </r>
  </si>
  <si>
    <t>Index</t>
  </si>
  <si>
    <t>Kraftwerktyp</t>
  </si>
  <si>
    <t>Leistung</t>
  </si>
  <si>
    <t>kumulierte Leistung</t>
  </si>
  <si>
    <t>Straße und Hausnummer
(Standort Kraftwerk)</t>
  </si>
  <si>
    <t xml:space="preserve">Aufnahme der kommerziellen Stromerzeugung </t>
  </si>
  <si>
    <t>Kraftwerkstechnologie</t>
  </si>
  <si>
    <t xml:space="preserve">Angenommener Hauptenergieträger </t>
  </si>
  <si>
    <t>Netto-Nennleistung
(elektrische Wirkleistung) [MW]</t>
  </si>
  <si>
    <t>Mittlere verfügbare
Netto-Nennleistung [MW]</t>
  </si>
  <si>
    <t>Quelle Effizienz</t>
  </si>
  <si>
    <t>Zuordnung Kraftwerkstyp</t>
  </si>
  <si>
    <t>Quelle Kraftwerkstechnologie</t>
  </si>
  <si>
    <t>12.03.2012</t>
  </si>
  <si>
    <t>03.05.2011</t>
  </si>
  <si>
    <t>20.11.1990</t>
  </si>
  <si>
    <t>01.10.1979</t>
  </si>
  <si>
    <t>15.01.2005</t>
  </si>
  <si>
    <t>01.12.1986</t>
  </si>
  <si>
    <t>04.12.2018</t>
  </si>
  <si>
    <t>13.02.2014</t>
  </si>
  <si>
    <t>03.03.2014</t>
  </si>
  <si>
    <t>15.01.1976</t>
  </si>
  <si>
    <t>20.03.2007</t>
  </si>
  <si>
    <t>Durchschnittliche verfügbare Nettonennleistung [MW]</t>
  </si>
  <si>
    <r>
      <t>Grenzkosten [EUR/MWh</t>
    </r>
    <r>
      <rPr>
        <b/>
        <vertAlign val="subscript"/>
        <sz val="11"/>
        <color theme="1" tint="0.14996795556505021"/>
        <rFont val="Trebuchet MS"/>
        <family val="2"/>
      </rPr>
      <t>el</t>
    </r>
    <r>
      <rPr>
        <b/>
        <sz val="11"/>
        <color theme="1" tint="0.14993743705557422"/>
        <rFont val="Trebuchet MS"/>
        <family val="2"/>
      </rPr>
      <t>]</t>
    </r>
  </si>
  <si>
    <t>07.12.2018</t>
  </si>
  <si>
    <t>24.08.2012</t>
  </si>
  <si>
    <t>31.07.2014</t>
  </si>
  <si>
    <t>09.05.2014</t>
  </si>
  <si>
    <t>01.04.2005</t>
  </si>
  <si>
    <t>OPSD (2018)</t>
  </si>
  <si>
    <t>Open Power System Data. 2018. Data Package Conventional power plants. Version 2018-12-20.</t>
  </si>
  <si>
    <t>eigene Annahme</t>
  </si>
  <si>
    <t>Annahme basierend auf DIW (2014)</t>
  </si>
  <si>
    <t>Jonas Egerer &amp; Clemens Gerbaulet &amp; Richard Ihlenburg &amp; Friedrich Kunz &amp; Benjamin Reinhard &amp; Christian von Hirschhausen &amp; Alexander Weber &amp; Jens Weibezahn, 2014. "Electricity Sector Data for Policy-Relevant Modeling: Data Documentation and Applications to the German and European Electricity Markets," Data Documentation 72, DIW Berlin, German Institute for Economic Research.</t>
  </si>
  <si>
    <t>DIW (2014)</t>
  </si>
  <si>
    <t>https://www.thueringerenergie.de/einblicke/waerme/ein_echt_dickes_ding</t>
  </si>
  <si>
    <t>http://autogramm.volkswagen.de/01-02_14/standorte/standorte_09.html</t>
  </si>
  <si>
    <t>https://www.bmwgroup-werke.com/landshut/de/aktuelles/pressemitteilungen/2018/kwk-zentrale.html</t>
  </si>
  <si>
    <t>https://www.muellergroup.com/medien/pressemitteilungen/sachsenmilch-leppersdorf-nimmt-eigenstromanlage-in-betrieb/</t>
  </si>
  <si>
    <t>https://www.stadtwerke-kempen.de/nachhaltige-fernwaerme</t>
  </si>
  <si>
    <t>https://www.salzgitter-flachstahl.de/de/news/artikel-der-salzgitter-flachstahl-gmbh/2018-06-27/energie-der-zukunft.html</t>
  </si>
  <si>
    <r>
      <t>Brennstoffkosten (inkl. Transport) [EUR/MWH</t>
    </r>
    <r>
      <rPr>
        <b/>
        <vertAlign val="subscript"/>
        <sz val="11"/>
        <color theme="1" tint="0.14996795556505021"/>
        <rFont val="Trebuchet MS"/>
        <family val="2"/>
      </rPr>
      <t>th</t>
    </r>
    <r>
      <rPr>
        <b/>
        <sz val="11"/>
        <color theme="1" tint="0.14999847407452621"/>
        <rFont val="Trebuchet MS"/>
        <family val="2"/>
      </rPr>
      <t>]</t>
    </r>
  </si>
  <si>
    <r>
      <t>Grenzkosten [EUR/MWH</t>
    </r>
    <r>
      <rPr>
        <b/>
        <vertAlign val="subscript"/>
        <sz val="11"/>
        <color theme="1" tint="0.14996795556505021"/>
        <rFont val="Trebuchet MS"/>
        <family val="2"/>
      </rPr>
      <t>el</t>
    </r>
    <r>
      <rPr>
        <b/>
        <sz val="11"/>
        <color theme="1" tint="0.14999847407452621"/>
        <rFont val="Trebuchet MS"/>
        <family val="2"/>
      </rPr>
      <t>]</t>
    </r>
  </si>
  <si>
    <t>Übersicht über die Grenzkosten der Kraftwerke</t>
  </si>
  <si>
    <t xml:space="preserve">   Das Boxplot-Diagramm gibt einen ersten Überblick über die Grenzkosten der Kraftwerke. In der Abbildung rechts</t>
  </si>
  <si>
    <t xml:space="preserve">   werden die einzelnen Elemente des Diagramms erläutert. Veränderungen an den Annahmen gibt das Diagramm</t>
  </si>
  <si>
    <r>
      <t xml:space="preserve">   augenblicklich wieder. Um die Annahmen in die Merit-Order (Tabellenblatt: </t>
    </r>
    <r>
      <rPr>
        <i/>
        <sz val="11"/>
        <color theme="1" tint="0.14999847407452621"/>
        <rFont val="Trebuchet MS"/>
        <family val="2"/>
      </rPr>
      <t>Merit-Order</t>
    </r>
    <r>
      <rPr>
        <sz val="11"/>
        <color theme="1" tint="0.14999847407452621"/>
        <rFont val="Trebuchet MS"/>
        <family val="2"/>
      </rPr>
      <t>) zu übernehmen, muss die</t>
    </r>
  </si>
  <si>
    <r>
      <t xml:space="preserve">   Schaltfläche </t>
    </r>
    <r>
      <rPr>
        <i/>
        <sz val="11"/>
        <color theme="1" tint="0.14999847407452621"/>
        <rFont val="Trebuchet MS"/>
        <family val="2"/>
      </rPr>
      <t>Aktualisiere Merit-Order</t>
    </r>
    <r>
      <rPr>
        <sz val="11"/>
        <color theme="1" tint="0.14999847407452621"/>
        <rFont val="Trebuchet MS"/>
        <family val="2"/>
      </rPr>
      <t xml:space="preserve"> aktiviert werden.</t>
    </r>
  </si>
  <si>
    <t xml:space="preserve"> Start</t>
  </si>
  <si>
    <t xml:space="preserve"> Merit-Order</t>
  </si>
  <si>
    <t>Grafische Darstellung der Merit-Order</t>
  </si>
  <si>
    <t xml:space="preserve"> Quellen</t>
  </si>
  <si>
    <t xml:space="preserve"> Kraftwerksliste</t>
  </si>
  <si>
    <t>VDKi (2019)</t>
  </si>
  <si>
    <t>Kumulierte verfügbare Nettonennleistung [MW]</t>
  </si>
  <si>
    <t>Teil der Merit-Order?</t>
  </si>
  <si>
    <t>Ja</t>
  </si>
  <si>
    <t>Teil der Merit Order?</t>
  </si>
  <si>
    <t>Angenommener Hauptenergieträger</t>
  </si>
  <si>
    <t>Merit-Order in tabellarischer Form</t>
  </si>
  <si>
    <t xml:space="preserve"> EWI Merit-Order Tool 2019</t>
  </si>
  <si>
    <t>Spot TTF</t>
  </si>
  <si>
    <t>SDKW (2019)</t>
  </si>
  <si>
    <t>Sandbag (2019)</t>
  </si>
  <si>
    <t>ÜNB (2019)</t>
  </si>
  <si>
    <t>ENTSO-E (2019)</t>
  </si>
  <si>
    <t>R2B (2019)</t>
  </si>
  <si>
    <t>EWI (2019)</t>
  </si>
  <si>
    <t>R2b energy consulting GmbH, Consentec GmbH, Fraunhofer ISI, TEP Energy GmbH; Definition und Monitoring der Versorgungssicherheit an den europäischen Strommärkten, Projekt Nr. 047/16, Januar 2019.</t>
  </si>
  <si>
    <t>Sandbag; Carbon Price Viewer, URL: https://sandbag.org.uk/carbon-price-viewer/ (abgerufen am: 07.09.2019)</t>
  </si>
  <si>
    <t>Statistik der Kohlewirtschaft e.V.; Entwicklung ausgewählter Energiepreise, Stand 26.08.2019.</t>
  </si>
  <si>
    <t>Energiewirtschaftliches Institut an der Universität zu Köln gGmbH; Auswirkungen einer Beendigung der Kohleverstromung bis 2038 auf den Strommarkt, CO2-Emissionen und ausgewählte Industrien - Eine Analyse des Abschlussberichts der WSB-Kommission, August 2019.</t>
  </si>
  <si>
    <t>ENTSO-E; Transparency Platform, URL: https://transparency.entsoe.eu/ (abgerufen am: 30.08.2019)</t>
  </si>
  <si>
    <t>50Hertz Transmission GmbH, Amprio GmbH, TenneT TSO GmbH und TransnetBW GmbH; Netzentwicklungsplan Strom 2030, Version 2019, 2. Entwurf. April 2019.</t>
  </si>
  <si>
    <t>BNetzA (2019)</t>
  </si>
  <si>
    <t xml:space="preserve"> Kurzanleitung</t>
  </si>
  <si>
    <t xml:space="preserve"> Impressum</t>
  </si>
  <si>
    <t xml:space="preserve"> </t>
  </si>
  <si>
    <t>Energiewirtschaftliches Institut an der Universität zu Köln gGmbH (EWI)</t>
  </si>
  <si>
    <t>Alte Wagenfabrik</t>
  </si>
  <si>
    <t>Vogelsanger Straße 321a</t>
  </si>
  <si>
    <t>50827 Köln</t>
  </si>
  <si>
    <t>Tel.: +49 (0)221 277 29-100</t>
  </si>
  <si>
    <t>Fax:  +49 (0)221 277 29-400</t>
  </si>
  <si>
    <t>www.ewi.uni-koeln.de</t>
  </si>
  <si>
    <t>Fabian Arnold</t>
  </si>
  <si>
    <t>Autoren:</t>
  </si>
  <si>
    <t>Letzte Aktualisierung:</t>
  </si>
  <si>
    <t>Modellversion:</t>
  </si>
  <si>
    <t xml:space="preserve">© Energiewirtschaftliches Institut an der Universität zu Köln gGmbH (EWI). </t>
  </si>
  <si>
    <t>Kontakt bei Fragen, Anmerkungen und Kritik:</t>
  </si>
  <si>
    <t>fabian.arnold@ewi.uni-koeln.de</t>
  </si>
  <si>
    <t>Tel.: +49 (0)221 277 29-232</t>
  </si>
  <si>
    <t>EWI Merit-Order Tool 2019</t>
  </si>
  <si>
    <t>Bedienung:</t>
  </si>
  <si>
    <t xml:space="preserve"> Start:</t>
  </si>
  <si>
    <t xml:space="preserve"> Merit-Order:</t>
  </si>
  <si>
    <t xml:space="preserve"> Kraftwerksliste:</t>
  </si>
  <si>
    <t>Die Merit-Order</t>
  </si>
  <si>
    <t>(optional)</t>
  </si>
  <si>
    <t>Energieträger (BNetzA, 2019)</t>
  </si>
  <si>
    <t>(notwendig)</t>
  </si>
  <si>
    <t>David Schlund</t>
  </si>
  <si>
    <t>Das EWI Merit-Order Tool 2019</t>
  </si>
  <si>
    <t>Eine ausführliche Dokumentation gibt es auf unserer Website:</t>
  </si>
  <si>
    <t>siehe Dokumentation</t>
  </si>
  <si>
    <t>Als Merit-Order wird die Einsatzreihenfolge der an der Strombörse anbietenden Kraftwerke bezeichnet. Sie orientiert sich an den Grenzkosten der Kraftwerke, diese werden aufsteigend sortiert. Es handelt sich dabei um eine Annäherung an die tatsächlichen Angebotskurven bspw. der Day-Ahead-Auktion an der Strombörse. Die jährlich mittlere Merit-Order des deutschen Kraftwerksparks gibt einen guten Überblick über die Verhältnisse der Grenzkosten der Kraftwerke entsprechend aktueller Bedingungen. Die Merit-Order wird dabei insbesondere vom Kraftwerkspark und den zugrundeliegenden Brennstoffpreisen und Emissionszertifikatspreisen beeinflusst.</t>
  </si>
  <si>
    <r>
      <t>Im Tabellenblatt</t>
    </r>
    <r>
      <rPr>
        <i/>
        <sz val="12"/>
        <color theme="1" tint="0.14999847407452621"/>
        <rFont val="Trebuchet MS"/>
        <family val="2"/>
      </rPr>
      <t xml:space="preserve"> Start</t>
    </r>
    <r>
      <rPr>
        <sz val="12"/>
        <color theme="1" tint="0.14999847407452621"/>
        <rFont val="Trebuchet MS"/>
        <family val="2"/>
      </rPr>
      <t xml:space="preserve"> können die der Merit-Order zugrundeliegenden Annahmen angepasst werden. Die Standardannahmen
bilden die Merit-Order konventioneller Kraftwerke des Jahres  2018 ab. Um einen Überblick über die Auswirkungen veränderter Annahmen auf die Merit-Order zu geben, wird die Verteilung der Grenzkosten der Kraftwerke als Boxplot-Diagramm visualisiert. Außerdem kann eine Annahme zur EE-Erzeugung getroffen werden.</t>
    </r>
  </si>
  <si>
    <r>
      <t xml:space="preserve">In der </t>
    </r>
    <r>
      <rPr>
        <i/>
        <sz val="12"/>
        <color theme="1" tint="0.14999847407452621"/>
        <rFont val="Trebuchet MS"/>
        <family val="2"/>
      </rPr>
      <t>Kraftwerksliste</t>
    </r>
    <r>
      <rPr>
        <sz val="12"/>
        <color theme="1" tint="0.14999847407452621"/>
        <rFont val="Trebuchet MS"/>
        <family val="2"/>
      </rPr>
      <t xml:space="preserve"> werden alle Kraftwerksblöcke und die dazugehörigen Annahmen dargestellt. Einzelne Annahmen
können verändert werden. Zusätzlich können Kraftwerke aus der Merit-Order entfernt oder hinzugefügt werden.</t>
    </r>
  </si>
  <si>
    <r>
      <t xml:space="preserve">Im Tabellenblatt </t>
    </r>
    <r>
      <rPr>
        <i/>
        <sz val="12"/>
        <color theme="1" tint="0.14999847407452621"/>
        <rFont val="Trebuchet MS"/>
        <family val="2"/>
      </rPr>
      <t>Merit-Order</t>
    </r>
    <r>
      <rPr>
        <sz val="12"/>
        <color theme="1" tint="0.14999847407452621"/>
        <rFont val="Trebuchet MS"/>
        <family val="2"/>
      </rPr>
      <t xml:space="preserve"> wird die Merit-Order visualisiert. Die Darstellung gibt die Merit-Order blockscharf wieder. 
Dabei werden die einzelnen Kraftwerkstypen farblich kenntlich gemacht. Zusätzlich wird die Merit-Order als nach
Grenzkosten sortierte Liste der Kraftwerksblöcke dargestellt. Die Merit-Order wird bei Aktivierung der Schaltfläche 
</t>
    </r>
    <r>
      <rPr>
        <i/>
        <sz val="12"/>
        <color theme="1" tint="0.14999847407452621"/>
        <rFont val="Trebuchet MS"/>
        <family val="2"/>
      </rPr>
      <t>Merit-Order aktualisieren</t>
    </r>
    <r>
      <rPr>
        <sz val="12"/>
        <color theme="1" tint="0.14999847407452621"/>
        <rFont val="Trebuchet MS"/>
        <family val="2"/>
      </rPr>
      <t xml:space="preserve"> neu berechnet.</t>
    </r>
  </si>
  <si>
    <r>
      <t xml:space="preserve">Bei Aktivierung des Schalters </t>
    </r>
    <r>
      <rPr>
        <i/>
        <sz val="12"/>
        <color theme="1" tint="0.14999847407452621"/>
        <rFont val="Trebuchet MS"/>
        <family val="2"/>
      </rPr>
      <t>Merit-Order aktualisieren</t>
    </r>
    <r>
      <rPr>
        <sz val="12"/>
        <color theme="1" tint="0.14999847407452621"/>
        <rFont val="Trebuchet MS"/>
        <family val="2"/>
      </rPr>
      <t xml:space="preserve"> wird die Merit-Order im Tabellenblatt </t>
    </r>
    <r>
      <rPr>
        <i/>
        <sz val="12"/>
        <color theme="1" tint="0.14999847407452621"/>
        <rFont val="Trebuchet MS"/>
        <family val="2"/>
      </rPr>
      <t>Merit-Order,</t>
    </r>
    <r>
      <rPr>
        <sz val="12"/>
        <color theme="1" tint="0.14999847407452621"/>
        <rFont val="Trebuchet MS"/>
        <family val="2"/>
      </rPr>
      <t xml:space="preserve"> basierend
auf den gewählten Annahmen, neu aufgestellt.</t>
    </r>
  </si>
  <si>
    <r>
      <t xml:space="preserve">Über die Schaltfläche </t>
    </r>
    <r>
      <rPr>
        <i/>
        <sz val="12"/>
        <color theme="1" tint="0.14999847407452621"/>
        <rFont val="Trebuchet MS"/>
        <family val="2"/>
      </rPr>
      <t>Annahmen</t>
    </r>
    <r>
      <rPr>
        <sz val="12"/>
        <color theme="1" tint="0.14999847407452621"/>
        <rFont val="Trebuchet MS"/>
        <family val="2"/>
      </rPr>
      <t xml:space="preserve"> z</t>
    </r>
    <r>
      <rPr>
        <i/>
        <sz val="12"/>
        <color theme="1" tint="0.14999847407452621"/>
        <rFont val="Trebuchet MS"/>
        <family val="2"/>
      </rPr>
      <t>urücksetzen</t>
    </r>
    <r>
      <rPr>
        <sz val="12"/>
        <color theme="1" tint="0.14999847407452621"/>
        <rFont val="Trebuchet MS"/>
        <family val="2"/>
      </rPr>
      <t xml:space="preserve"> können die Annahmen auf die Standardwerte zurückgesetzt werden.</t>
    </r>
  </si>
  <si>
    <t>www.ewi.uni-koeln.de/de/news/ewi-merit-order-tool-2019/</t>
  </si>
  <si>
    <t xml:space="preserve">   werden die einzelnen Elemente des Diagramms erläutert. Veränderungen der Annahmen gibt das Diagramm</t>
  </si>
  <si>
    <t>Sonstige variable Kosten</t>
  </si>
  <si>
    <t>Nicht-Verfügbarkeit</t>
  </si>
  <si>
    <t>Dr. Simon Schulte</t>
  </si>
  <si>
    <t>Um alle Funktionen des EWI Merit-Order Tools 2019 nutzen zu können, müssen Makros aktiviert werden.</t>
  </si>
  <si>
    <t>MW</t>
  </si>
  <si>
    <t>Das EWI Merit-Order Tool 2019 ermöglicht die Ermittlung und grafische Repräsentation der jährlichen mittleren Merit-Order basierend auf dem konventionellen Kraftwerkspark 2018. Benutzer*innen können die der Merit-Order zugrundeliegenden Annahmen variieren, um den Effekt veränderter Brennstoffpreise oder anderer Annahmen auf die Merit-Order zu untersuchen. Zusätzlich besteht die Möglichkeit, Kraftwerke aus der Merit-Order zu entfernen oder hinzuzufügen. Nutzer*innen können also auch den Einfluss von Kraftwerksstilllegungen oder -zubauten auf die Merit-Order analysieren und visualisieren. Als Standardeinstellung wird nur die Merit-Order der konventionellen Kraftwerke ausgegeben. Um die Merit-Order in Abhängigkeit konkreter Einspeisesituationen erneuerbarer-Energien-Anlagen (EE-Anlagen) abzubilden, kann außerdem eine Annahme zur verfügbaren EE-Leistung getroffen werden.</t>
  </si>
  <si>
    <t>Verfügbare EE-Leistung</t>
  </si>
  <si>
    <t>Verein der Kohlenimporteure; DEUTSCHLAND / Importpreise für Steinkohlen / Wechselkurse - Spotpreise für Kraftwerkskohle in US-$/t SKE (umgerechnet auf 7000 kcal/kg) frei nordwesteuropäische Häfen, URL: https://www.kohlenimporteure.de/marktinformationen.html (abgerufen am: 07.09.2019)</t>
  </si>
  <si>
    <t>Bundesnetzagentur; Kraftwerksliste der Bundesnetzagentur, Stand: 07.03.2019. Lizensiert unter "dl-de/by-2-0": www.govdata.de/dl-de/by-2-0; URL: https://www.bundesnetzagentur.de/DE/Sachgebiete/ElektrizitaetundGas/Unternehmen_Institutionen/Versorgungssicherheit/Erzeugungskapazitaeten/Kraftwerksliste/kraftwerksliste-node.html (abgerufen am 30.08.2019)</t>
  </si>
  <si>
    <t>Alle Rechte vorbehalten. Nutzung des Tools und Ergebnisse nur mit Verweis auf</t>
  </si>
  <si>
    <t>die Autoren und das Energiewirtschaftliche Institut an der Universität zu Köln</t>
  </si>
  <si>
    <t xml:space="preserve">gGmbH (EWI) gestattet. Die Haftung für Folgeschäden ist ausgeschlossen. Dies </t>
  </si>
  <si>
    <t>betrifft auch und insbesondere Schäden oder entgangene Gewinne, die dem/der</t>
  </si>
  <si>
    <t>Informationen entstehen.</t>
  </si>
  <si>
    <t>Nutzer*in infolge der Verwendung der in diesem Dokument gegebenen</t>
  </si>
  <si>
    <t>03.01.2020</t>
  </si>
  <si>
    <t>2019.1.4</t>
  </si>
  <si>
    <r>
      <t xml:space="preserve"> Die Kraftwerksliste basiert auf der Kraftwerksliste der Bundesnetzagentur (BNetzA, 2019). In die Kraftwerksliste eingegangen sind alle konventionellen Kraftwerke, die am 
 31.12.2018 </t>
    </r>
    <r>
      <rPr>
        <i/>
        <sz val="12"/>
        <color theme="1" tint="0.14999847407452621"/>
        <rFont val="Trebuchet MS"/>
        <family val="2"/>
      </rPr>
      <t>in Betrieb</t>
    </r>
    <r>
      <rPr>
        <sz val="12"/>
        <color theme="1" tint="0.14999847407452621"/>
        <rFont val="Trebuchet MS"/>
        <family val="2"/>
      </rPr>
      <t xml:space="preserve"> waren. Die in dunkelgelb eingefärben Spalten sind unverändert aus BNetzA (2019) übernommen. Die hellgelben Spalten enthalten zusätzliche Informationen,
 basierend auf eigenen Annahmen, Berechnungen und weiteren Quellen. Die Annahmen zur Effizienz der Kraftwerke sind beispielsweise größtenteils aus OPSD (2018) entnommen.
 Die weiß hinterlegten Felder können von den Nutzer*innen angepasst werden. So können Kraftwerke aus der Merit-Order entfernt und bis zu 10 neue Kraftwerke hinzugefügt werden.</t>
    </r>
  </si>
  <si>
    <t>Nuclear</t>
  </si>
  <si>
    <t>Lignite</t>
  </si>
  <si>
    <t>HardCoal</t>
  </si>
  <si>
    <t>CombinedCycleGas</t>
  </si>
  <si>
    <t>Oil</t>
  </si>
  <si>
    <t>Garbage</t>
  </si>
  <si>
    <t>Special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</si>
</sst>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quot;€&quot;_-;\-* #,##0.00\ &quot;€&quot;_-;_-* &quot;-&quot;??\ &quot;€&quot;_-;_-@_-"/>
    <numFmt numFmtId="165" formatCode="_-* #,##0.00\ _€_-;\-* #,##0.00\ _€_-;_-* &quot;-&quot;??\ _€_-;_-@_-"/>
    <numFmt numFmtId="166" formatCode="00000"/>
    <numFmt numFmtId="167" formatCode="#,##0.0"/>
    <numFmt numFmtId="168" formatCode="\A\-00000"/>
    <numFmt numFmtId="169" formatCode="0.0"/>
  </numFmts>
  <fonts count="22" x14ac:knownFonts="1">
    <font>
      <sz val="11"/>
      <color theme="1"/>
      <name val="Calibri"/>
      <family val="2"/>
      <scheme val="minor"/>
    </font>
    <font>
      <sz val="10"/>
      <color rgb="FF000000"/>
      <name val="Arial"/>
      <family val="2"/>
    </font>
    <font>
      <sz val="10"/>
      <name val="Arial"/>
      <family val="2"/>
    </font>
    <font>
      <sz val="11"/>
      <color rgb="FF000000"/>
      <name val="Calibri"/>
      <family val="2"/>
      <scheme val="minor"/>
    </font>
    <font>
      <sz val="11"/>
      <color theme="1"/>
      <name val="Calibri"/>
      <family val="2"/>
      <scheme val="minor"/>
    </font>
    <font>
      <sz val="14"/>
      <color rgb="FF333333"/>
      <name val="Trebuchet MS"/>
      <family val="2"/>
    </font>
    <font>
      <sz val="11"/>
      <color theme="1" tint="0.14999847407452621"/>
      <name val="Calibri"/>
      <family val="2"/>
      <scheme val="minor"/>
    </font>
    <font>
      <sz val="11"/>
      <color theme="1" tint="0.14999847407452621"/>
      <name val="Trebuchet MS"/>
      <family val="2"/>
    </font>
    <font>
      <sz val="16"/>
      <color theme="1" tint="0.14999847407452621"/>
      <name val="Trebuchet MS"/>
      <family val="2"/>
    </font>
    <font>
      <b/>
      <sz val="12"/>
      <color theme="1" tint="0.14999847407452621"/>
      <name val="Trebuchet MS"/>
      <family val="2"/>
    </font>
    <font>
      <sz val="12"/>
      <color theme="1" tint="0.14999847407452621"/>
      <name val="Trebuchet MS"/>
      <family val="2"/>
    </font>
    <font>
      <b/>
      <sz val="11"/>
      <color theme="1" tint="0.14999847407452621"/>
      <name val="Trebuchet MS"/>
      <family val="2"/>
    </font>
    <font>
      <vertAlign val="subscript"/>
      <sz val="11"/>
      <color theme="1" tint="0.14999847407452621"/>
      <name val="Trebuchet MS"/>
      <family val="2"/>
    </font>
    <font>
      <sz val="10"/>
      <color theme="1" tint="0.14999847407452621"/>
      <name val="Arial"/>
      <family val="2"/>
    </font>
    <font>
      <b/>
      <vertAlign val="subscript"/>
      <sz val="11"/>
      <color theme="1" tint="0.14996795556505021"/>
      <name val="Trebuchet MS"/>
      <family val="2"/>
    </font>
    <font>
      <b/>
      <sz val="11"/>
      <color theme="1" tint="0.14993743705557422"/>
      <name val="Trebuchet MS"/>
      <family val="2"/>
    </font>
    <font>
      <i/>
      <sz val="11"/>
      <color theme="1" tint="0.14999847407452621"/>
      <name val="Trebuchet MS"/>
      <family val="2"/>
    </font>
    <font>
      <b/>
      <sz val="11"/>
      <color theme="1" tint="0.14999847407452621"/>
      <name val="Calibri"/>
      <family val="2"/>
      <scheme val="minor"/>
    </font>
    <font>
      <u/>
      <sz val="11"/>
      <color theme="10"/>
      <name val="Calibri"/>
      <family val="2"/>
      <scheme val="minor"/>
    </font>
    <font>
      <i/>
      <sz val="12"/>
      <color theme="1" tint="0.14999847407452621"/>
      <name val="Trebuchet MS"/>
      <family val="2"/>
    </font>
    <font>
      <u/>
      <sz val="11"/>
      <color theme="10"/>
      <name val="Trebuchet MS"/>
      <family val="2"/>
    </font>
    <font>
      <sz val="14"/>
      <color rgb="FF000000"/>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BF27"/>
        <bgColor indexed="64"/>
      </patternFill>
    </fill>
    <fill>
      <patternFill patternType="solid">
        <fgColor rgb="FFFFD97D"/>
        <bgColor indexed="64"/>
      </patternFill>
    </fill>
    <fill>
      <patternFill patternType="solid">
        <fgColor rgb="FFDFE1E1"/>
        <bgColor indexed="64"/>
      </patternFill>
    </fill>
    <fill>
      <patternFill patternType="solid">
        <fgColor rgb="FFFFF2D4"/>
        <bgColor indexed="64"/>
      </patternFill>
    </fill>
  </fills>
  <borders count="43">
    <border>
      <left/>
      <right/>
      <top/>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medium">
        <color theme="1" tint="0.34998626667073579"/>
      </right>
      <top style="thin">
        <color theme="1" tint="0.34998626667073579"/>
      </top>
      <bottom style="medium">
        <color theme="1" tint="0.34998626667073579"/>
      </bottom>
      <diagonal/>
    </border>
    <border>
      <left/>
      <right/>
      <top style="medium">
        <color theme="1" tint="0.34998626667073579"/>
      </top>
      <bottom style="thin">
        <color theme="1" tint="0.34998626667073579"/>
      </bottom>
      <diagonal/>
    </border>
    <border>
      <left/>
      <right style="medium">
        <color theme="1" tint="0.34998626667073579"/>
      </right>
      <top style="medium">
        <color theme="1" tint="0.34998626667073579"/>
      </top>
      <bottom style="thin">
        <color theme="1" tint="0.34998626667073579"/>
      </bottom>
      <diagonal/>
    </border>
    <border>
      <left style="medium">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style="thin">
        <color theme="1" tint="0.34998626667073579"/>
      </left>
      <right style="medium">
        <color theme="1" tint="0.34998626667073579"/>
      </right>
      <top style="medium">
        <color theme="1" tint="0.34998626667073579"/>
      </top>
      <bottom style="medium">
        <color theme="1" tint="0.34998626667073579"/>
      </bottom>
      <diagonal/>
    </border>
    <border>
      <left/>
      <right style="thin">
        <color theme="1" tint="0.34998626667073579"/>
      </right>
      <top style="medium">
        <color theme="1" tint="0.34998626667073579"/>
      </top>
      <bottom style="medium">
        <color theme="1" tint="0.34998626667073579"/>
      </bottom>
      <diagonal/>
    </border>
    <border>
      <left style="medium">
        <color theme="1" tint="0.34998626667073579"/>
      </left>
      <right/>
      <top style="medium">
        <color theme="1" tint="0.34998626667073579"/>
      </top>
      <bottom style="thin">
        <color theme="1" tint="0.34998626667073579"/>
      </bottom>
      <diagonal/>
    </border>
    <border>
      <left style="medium">
        <color theme="1" tint="0.34998626667073579"/>
      </left>
      <right/>
      <top style="medium">
        <color theme="1" tint="0.34998626667073579"/>
      </top>
      <bottom style="medium">
        <color theme="1" tint="0.34998626667073579"/>
      </bottom>
      <diagonal/>
    </border>
    <border>
      <left/>
      <right/>
      <top style="medium">
        <color theme="1" tint="0.34998626667073579"/>
      </top>
      <bottom style="medium">
        <color theme="1" tint="0.34998626667073579"/>
      </bottom>
      <diagonal/>
    </border>
    <border>
      <left/>
      <right style="medium">
        <color theme="1" tint="0.34998626667073579"/>
      </right>
      <top style="medium">
        <color theme="1" tint="0.34998626667073579"/>
      </top>
      <bottom style="medium">
        <color theme="1" tint="0.34998626667073579"/>
      </bottom>
      <diagonal/>
    </border>
    <border>
      <left style="medium">
        <color theme="1" tint="0.34998626667073579"/>
      </left>
      <right style="medium">
        <color theme="1" tint="0.34998626667073579"/>
      </right>
      <top/>
      <bottom/>
      <diagonal/>
    </border>
    <border>
      <left style="medium">
        <color theme="1" tint="0.34998626667073579"/>
      </left>
      <right style="medium">
        <color theme="1" tint="0.34998626667073579"/>
      </right>
      <top/>
      <bottom style="medium">
        <color theme="1" tint="0.34998626667073579"/>
      </bottom>
      <diagonal/>
    </border>
    <border>
      <left style="medium">
        <color theme="1" tint="0.34998626667073579"/>
      </left>
      <right style="medium">
        <color theme="1" tint="0.34998626667073579"/>
      </right>
      <top style="medium">
        <color theme="1" tint="0.34998626667073579"/>
      </top>
      <bottom/>
      <diagonal/>
    </border>
    <border>
      <left/>
      <right style="medium">
        <color auto="1"/>
      </right>
      <top style="medium">
        <color theme="1" tint="0.34998626667073579"/>
      </top>
      <bottom/>
      <diagonal/>
    </border>
    <border>
      <left style="medium">
        <color theme="1" tint="0.34998626667073579"/>
      </left>
      <right/>
      <top style="thin">
        <color theme="1" tint="0.34998626667073579"/>
      </top>
      <bottom/>
      <diagonal/>
    </border>
    <border>
      <left/>
      <right/>
      <top style="thin">
        <color theme="1" tint="0.34998626667073579"/>
      </top>
      <bottom/>
      <diagonal/>
    </border>
    <border>
      <left/>
      <right style="medium">
        <color theme="1" tint="0.34998626667073579"/>
      </right>
      <top style="thin">
        <color theme="1" tint="0.34998626667073579"/>
      </top>
      <bottom/>
      <diagonal/>
    </border>
    <border>
      <left style="medium">
        <color theme="1" tint="0.34998626667073579"/>
      </left>
      <right/>
      <top style="thin">
        <color theme="1" tint="0.34998626667073579"/>
      </top>
      <bottom style="medium">
        <color theme="1" tint="0.34998626667073579"/>
      </bottom>
      <diagonal/>
    </border>
    <border>
      <left/>
      <right/>
      <top style="thin">
        <color theme="1" tint="0.34998626667073579"/>
      </top>
      <bottom style="medium">
        <color theme="1" tint="0.34998626667073579"/>
      </bottom>
      <diagonal/>
    </border>
    <border>
      <left/>
      <right style="medium">
        <color theme="1" tint="0.34998626667073579"/>
      </right>
      <top style="thin">
        <color theme="1" tint="0.34998626667073579"/>
      </top>
      <bottom style="medium">
        <color theme="1" tint="0.34998626667073579"/>
      </bottom>
      <diagonal/>
    </border>
    <border>
      <left style="thin">
        <color theme="1" tint="0.34998626667073579"/>
      </left>
      <right/>
      <top style="medium">
        <color theme="1" tint="0.34998626667073579"/>
      </top>
      <bottom/>
      <diagonal/>
    </border>
    <border>
      <left/>
      <right style="thin">
        <color theme="1" tint="0.34998626667073579"/>
      </right>
      <top style="thin">
        <color theme="1" tint="0.34998626667073579"/>
      </top>
      <bottom style="medium">
        <color theme="1" tint="0.34998626667073579"/>
      </bottom>
      <diagonal/>
    </border>
    <border>
      <left/>
      <right style="thin">
        <color theme="1" tint="0.34998626667073579"/>
      </right>
      <top style="medium">
        <color theme="1" tint="0.34998626667073579"/>
      </top>
      <bottom style="thin">
        <color theme="1" tint="0.34998626667073579"/>
      </bottom>
      <diagonal/>
    </border>
  </borders>
  <cellStyleXfs count="12">
    <xf numFmtId="0" fontId="0" fillId="0" borderId="0"/>
    <xf numFmtId="0" fontId="1" fillId="0" borderId="0"/>
    <xf numFmtId="0" fontId="1" fillId="0" borderId="0"/>
    <xf numFmtId="0" fontId="2" fillId="0" borderId="0"/>
    <xf numFmtId="0" fontId="3" fillId="0" borderId="0"/>
    <xf numFmtId="0" fontId="2" fillId="0" borderId="0">
      <alignment wrapText="1"/>
    </xf>
    <xf numFmtId="0" fontId="2" fillId="0" borderId="0"/>
    <xf numFmtId="165" fontId="2" fillId="0" borderId="0" applyFont="0" applyFill="0" applyBorder="0" applyAlignment="0" applyProtection="0"/>
    <xf numFmtId="0" fontId="2" fillId="0" borderId="0">
      <alignment wrapText="1"/>
    </xf>
    <xf numFmtId="165" fontId="4" fillId="0" borderId="0" applyFont="0" applyFill="0" applyBorder="0" applyAlignment="0" applyProtection="0"/>
    <xf numFmtId="164" fontId="4" fillId="0" borderId="0" applyFont="0" applyFill="0" applyBorder="0" applyAlignment="0" applyProtection="0"/>
    <xf numFmtId="0" fontId="18" fillId="0" borderId="0" applyNumberFormat="0" applyFill="0" applyBorder="0" applyAlignment="0" applyProtection="0"/>
  </cellStyleXfs>
  <cellXfs count="392">
    <xf numFmtId="0" fontId="0" fillId="0" borderId="0" xfId="0"/>
    <xf numFmtId="0" fontId="0" fillId="2" borderId="0" xfId="0" applyFill="1"/>
    <xf numFmtId="165" fontId="0" fillId="2" borderId="0" xfId="9" applyFont="1" applyFill="1"/>
    <xf numFmtId="164" fontId="0" fillId="2" borderId="0" xfId="10" applyFont="1" applyFill="1"/>
    <xf numFmtId="165" fontId="0" fillId="2" borderId="0" xfId="9" applyNumberFormat="1" applyFont="1" applyFill="1"/>
    <xf numFmtId="0" fontId="6" fillId="2" borderId="0" xfId="0" applyFont="1" applyFill="1"/>
    <xf numFmtId="0" fontId="7" fillId="6" borderId="1" xfId="0" applyFont="1" applyFill="1" applyBorder="1"/>
    <xf numFmtId="0" fontId="7" fillId="6" borderId="2" xfId="0" applyFont="1" applyFill="1" applyBorder="1"/>
    <xf numFmtId="0" fontId="7" fillId="6" borderId="2" xfId="0" applyFont="1" applyFill="1" applyBorder="1" applyAlignment="1">
      <alignment horizontal="right"/>
    </xf>
    <xf numFmtId="0" fontId="7" fillId="6" borderId="3" xfId="0" applyFont="1" applyFill="1" applyBorder="1"/>
    <xf numFmtId="0" fontId="7" fillId="6" borderId="4" xfId="0" applyFont="1" applyFill="1" applyBorder="1"/>
    <xf numFmtId="0" fontId="8" fillId="2" borderId="10" xfId="0" applyFont="1" applyFill="1" applyBorder="1" applyAlignment="1">
      <alignment horizontal="left" vertical="center"/>
    </xf>
    <xf numFmtId="0" fontId="7" fillId="2" borderId="11" xfId="0" applyFont="1" applyFill="1" applyBorder="1" applyAlignment="1">
      <alignment horizontal="right"/>
    </xf>
    <xf numFmtId="0" fontId="7" fillId="2" borderId="11" xfId="0" applyFont="1" applyFill="1" applyBorder="1"/>
    <xf numFmtId="0" fontId="7" fillId="2" borderId="12" xfId="0" applyFont="1" applyFill="1" applyBorder="1"/>
    <xf numFmtId="0" fontId="7" fillId="6" borderId="5" xfId="0" applyFont="1" applyFill="1" applyBorder="1"/>
    <xf numFmtId="0" fontId="7" fillId="6" borderId="0" xfId="0" applyFont="1" applyFill="1" applyBorder="1"/>
    <xf numFmtId="0" fontId="7" fillId="6" borderId="0" xfId="0" applyFont="1" applyFill="1" applyBorder="1" applyAlignment="1">
      <alignment horizontal="right"/>
    </xf>
    <xf numFmtId="0" fontId="9" fillId="2" borderId="10" xfId="0" applyFont="1" applyFill="1" applyBorder="1"/>
    <xf numFmtId="0" fontId="10" fillId="2" borderId="12" xfId="0" applyFont="1" applyFill="1" applyBorder="1" applyAlignment="1">
      <alignment horizontal="center"/>
    </xf>
    <xf numFmtId="0" fontId="10" fillId="6" borderId="0" xfId="0" applyFont="1" applyFill="1" applyBorder="1"/>
    <xf numFmtId="0" fontId="7" fillId="6" borderId="6" xfId="0" applyFont="1" applyFill="1" applyBorder="1"/>
    <xf numFmtId="0" fontId="10" fillId="6" borderId="7" xfId="0" applyFont="1" applyFill="1" applyBorder="1"/>
    <xf numFmtId="0" fontId="7" fillId="6" borderId="7" xfId="0" applyFont="1" applyFill="1" applyBorder="1" applyAlignment="1">
      <alignment horizontal="right"/>
    </xf>
    <xf numFmtId="0" fontId="7" fillId="6" borderId="7" xfId="0" applyFont="1" applyFill="1" applyBorder="1"/>
    <xf numFmtId="0" fontId="7" fillId="6" borderId="8" xfId="0" applyFont="1" applyFill="1" applyBorder="1"/>
    <xf numFmtId="0" fontId="7" fillId="2" borderId="0" xfId="0" applyFont="1" applyFill="1"/>
    <xf numFmtId="0" fontId="7" fillId="2" borderId="0" xfId="0" applyFont="1" applyFill="1" applyAlignment="1">
      <alignment horizontal="right"/>
    </xf>
    <xf numFmtId="0" fontId="11" fillId="5" borderId="15" xfId="0" applyFont="1" applyFill="1" applyBorder="1"/>
    <xf numFmtId="0" fontId="11" fillId="5" borderId="16" xfId="0" applyFont="1" applyFill="1" applyBorder="1" applyAlignment="1">
      <alignment horizontal="center"/>
    </xf>
    <xf numFmtId="0" fontId="11" fillId="5" borderId="17" xfId="0" applyFont="1" applyFill="1" applyBorder="1" applyAlignment="1">
      <alignment horizontal="center"/>
    </xf>
    <xf numFmtId="0" fontId="7" fillId="5" borderId="20" xfId="0" applyFont="1" applyFill="1" applyBorder="1"/>
    <xf numFmtId="2" fontId="7" fillId="2" borderId="21" xfId="9" applyNumberFormat="1" applyFont="1" applyFill="1" applyBorder="1" applyAlignment="1">
      <alignment horizontal="right"/>
    </xf>
    <xf numFmtId="0" fontId="7" fillId="3" borderId="21" xfId="0" applyFont="1" applyFill="1" applyBorder="1" applyAlignment="1">
      <alignment horizontal="center"/>
    </xf>
    <xf numFmtId="0" fontId="7" fillId="5" borderId="13" xfId="0" applyFont="1" applyFill="1" applyBorder="1"/>
    <xf numFmtId="2" fontId="7" fillId="2" borderId="9" xfId="9" applyNumberFormat="1" applyFont="1" applyFill="1" applyBorder="1" applyAlignment="1">
      <alignment horizontal="right"/>
    </xf>
    <xf numFmtId="0" fontId="7" fillId="3" borderId="9" xfId="0" applyFont="1" applyFill="1" applyBorder="1" applyAlignment="1">
      <alignment horizontal="center"/>
    </xf>
    <xf numFmtId="0" fontId="7" fillId="5" borderId="15" xfId="0" applyFont="1" applyFill="1" applyBorder="1"/>
    <xf numFmtId="2" fontId="7" fillId="2" borderId="16" xfId="9" applyNumberFormat="1" applyFont="1" applyFill="1" applyBorder="1" applyAlignment="1">
      <alignment horizontal="right"/>
    </xf>
    <xf numFmtId="0" fontId="7" fillId="3" borderId="16" xfId="0" applyFont="1" applyFill="1" applyBorder="1" applyAlignment="1">
      <alignment horizontal="center"/>
    </xf>
    <xf numFmtId="0" fontId="11" fillId="4" borderId="23" xfId="0" applyFont="1" applyFill="1" applyBorder="1"/>
    <xf numFmtId="0" fontId="7" fillId="2" borderId="25" xfId="0" applyFont="1" applyFill="1" applyBorder="1" applyAlignment="1">
      <alignment horizontal="right"/>
    </xf>
    <xf numFmtId="0" fontId="7" fillId="3" borderId="24" xfId="0" applyFont="1" applyFill="1" applyBorder="1" applyAlignment="1">
      <alignment horizontal="center"/>
    </xf>
    <xf numFmtId="0" fontId="7" fillId="6" borderId="0" xfId="0" applyFont="1" applyFill="1" applyBorder="1" applyAlignment="1">
      <alignment horizontal="center"/>
    </xf>
    <xf numFmtId="0" fontId="13" fillId="2" borderId="0" xfId="0" applyFont="1" applyFill="1" applyBorder="1"/>
    <xf numFmtId="0" fontId="13" fillId="2" borderId="0" xfId="0" applyNumberFormat="1" applyFont="1" applyFill="1" applyBorder="1"/>
    <xf numFmtId="0" fontId="11" fillId="4" borderId="1" xfId="0" applyFont="1" applyFill="1" applyBorder="1"/>
    <xf numFmtId="0" fontId="11" fillId="4" borderId="2" xfId="0" applyFont="1" applyFill="1" applyBorder="1" applyAlignment="1">
      <alignment horizontal="right"/>
    </xf>
    <xf numFmtId="0" fontId="11" fillId="4" borderId="2" xfId="0" applyFont="1" applyFill="1" applyBorder="1"/>
    <xf numFmtId="0" fontId="11" fillId="4" borderId="3" xfId="0" applyFont="1" applyFill="1" applyBorder="1"/>
    <xf numFmtId="0" fontId="11" fillId="5" borderId="16" xfId="0" applyNumberFormat="1" applyFont="1" applyFill="1" applyBorder="1" applyAlignment="1" applyProtection="1">
      <alignment horizontal="left" vertical="center" wrapText="1"/>
    </xf>
    <xf numFmtId="0" fontId="11" fillId="7" borderId="16" xfId="0" applyNumberFormat="1" applyFont="1" applyFill="1" applyBorder="1" applyAlignment="1" applyProtection="1">
      <alignment horizontal="left" vertical="center" wrapText="1"/>
    </xf>
    <xf numFmtId="0" fontId="11" fillId="5" borderId="16" xfId="0" applyNumberFormat="1" applyFont="1" applyFill="1" applyBorder="1" applyAlignment="1">
      <alignment horizontal="center" vertical="center"/>
    </xf>
    <xf numFmtId="0" fontId="11" fillId="5" borderId="16" xfId="0" applyNumberFormat="1" applyFont="1" applyFill="1" applyBorder="1" applyAlignment="1" applyProtection="1">
      <alignment horizontal="center" vertical="center" wrapText="1"/>
    </xf>
    <xf numFmtId="0" fontId="11" fillId="7" borderId="17" xfId="0" applyNumberFormat="1" applyFont="1" applyFill="1" applyBorder="1" applyAlignment="1" applyProtection="1">
      <alignment horizontal="left" vertical="center" wrapText="1"/>
    </xf>
    <xf numFmtId="0" fontId="11" fillId="5" borderId="15" xfId="0" applyFont="1" applyFill="1" applyBorder="1" applyAlignment="1">
      <alignment horizontal="center" vertical="center" wrapText="1"/>
    </xf>
    <xf numFmtId="0" fontId="11" fillId="5" borderId="16" xfId="0" applyFont="1" applyFill="1" applyBorder="1" applyAlignment="1">
      <alignment horizontal="center" vertical="center"/>
    </xf>
    <xf numFmtId="0" fontId="11" fillId="5" borderId="16" xfId="0" applyFont="1" applyFill="1" applyBorder="1" applyAlignment="1">
      <alignment horizontal="center" vertical="center" wrapText="1"/>
    </xf>
    <xf numFmtId="0" fontId="13" fillId="2" borderId="0" xfId="0" applyNumberFormat="1" applyFont="1" applyFill="1" applyBorder="1" applyAlignment="1">
      <alignment horizontal="right"/>
    </xf>
    <xf numFmtId="0" fontId="0" fillId="4" borderId="2" xfId="0" applyFill="1" applyBorder="1" applyAlignment="1">
      <alignment horizontal="center"/>
    </xf>
    <xf numFmtId="0" fontId="0" fillId="4" borderId="28" xfId="0" applyFill="1" applyBorder="1" applyAlignment="1">
      <alignment horizontal="center"/>
    </xf>
    <xf numFmtId="0" fontId="0" fillId="4" borderId="29" xfId="0" applyFill="1" applyBorder="1" applyAlignment="1">
      <alignment horizontal="center"/>
    </xf>
    <xf numFmtId="0" fontId="0" fillId="4" borderId="23" xfId="0" applyFill="1" applyBorder="1" applyAlignment="1">
      <alignment horizontal="center"/>
    </xf>
    <xf numFmtId="0" fontId="0" fillId="5" borderId="30" xfId="0" applyFill="1" applyBorder="1"/>
    <xf numFmtId="0" fontId="0" fillId="5" borderId="31" xfId="0" applyFill="1" applyBorder="1"/>
    <xf numFmtId="0" fontId="0" fillId="4" borderId="32" xfId="0" applyFill="1" applyBorder="1" applyAlignment="1">
      <alignment horizontal="center"/>
    </xf>
    <xf numFmtId="0" fontId="0" fillId="4" borderId="33" xfId="0" applyFill="1" applyBorder="1" applyAlignment="1">
      <alignment horizontal="center"/>
    </xf>
    <xf numFmtId="0" fontId="0" fillId="5" borderId="32" xfId="0" applyFill="1" applyBorder="1"/>
    <xf numFmtId="169" fontId="0" fillId="2" borderId="2" xfId="0" applyNumberFormat="1" applyFill="1" applyBorder="1" applyAlignment="1">
      <alignment horizontal="center"/>
    </xf>
    <xf numFmtId="169" fontId="0" fillId="2" borderId="3" xfId="0" applyNumberFormat="1" applyFill="1" applyBorder="1" applyAlignment="1">
      <alignment horizontal="center"/>
    </xf>
    <xf numFmtId="169" fontId="0" fillId="2" borderId="0" xfId="0" applyNumberFormat="1" applyFill="1" applyBorder="1" applyAlignment="1">
      <alignment horizontal="center"/>
    </xf>
    <xf numFmtId="169" fontId="0" fillId="2" borderId="5" xfId="0" applyNumberFormat="1" applyFill="1" applyBorder="1" applyAlignment="1">
      <alignment horizontal="center"/>
    </xf>
    <xf numFmtId="169" fontId="0" fillId="2" borderId="7" xfId="0" applyNumberFormat="1" applyFill="1" applyBorder="1" applyAlignment="1">
      <alignment horizontal="center"/>
    </xf>
    <xf numFmtId="169" fontId="0" fillId="2" borderId="8" xfId="0" applyNumberFormat="1" applyFill="1" applyBorder="1" applyAlignment="1">
      <alignment horizontal="center"/>
    </xf>
    <xf numFmtId="0" fontId="0" fillId="2" borderId="0" xfId="0" applyFill="1" applyAlignment="1">
      <alignment horizontal="center"/>
    </xf>
    <xf numFmtId="0" fontId="7" fillId="5" borderId="35" xfId="0" applyFont="1" applyFill="1" applyBorder="1"/>
    <xf numFmtId="0" fontId="7" fillId="5" borderId="36" xfId="0" applyFont="1" applyFill="1" applyBorder="1"/>
    <xf numFmtId="0" fontId="7" fillId="5" borderId="0" xfId="0" applyFont="1" applyFill="1" applyBorder="1"/>
    <xf numFmtId="0" fontId="7" fillId="5" borderId="5" xfId="0" applyFont="1" applyFill="1" applyBorder="1"/>
    <xf numFmtId="0" fontId="7" fillId="3" borderId="4" xfId="0" applyFont="1" applyFill="1" applyBorder="1"/>
    <xf numFmtId="0" fontId="7" fillId="3" borderId="0" xfId="0" applyFont="1" applyFill="1" applyBorder="1"/>
    <xf numFmtId="0" fontId="7" fillId="3" borderId="5" xfId="0" applyFont="1" applyFill="1" applyBorder="1"/>
    <xf numFmtId="0" fontId="7" fillId="3" borderId="0" xfId="0" quotePrefix="1" applyFont="1" applyFill="1" applyBorder="1"/>
    <xf numFmtId="0" fontId="7" fillId="3" borderId="6" xfId="0" applyFont="1" applyFill="1" applyBorder="1"/>
    <xf numFmtId="0" fontId="7" fillId="3" borderId="7" xfId="0" applyFont="1" applyFill="1" applyBorder="1"/>
    <xf numFmtId="0" fontId="7" fillId="3" borderId="8" xfId="0" applyFont="1" applyFill="1" applyBorder="1"/>
    <xf numFmtId="0" fontId="9" fillId="2" borderId="10" xfId="0" applyFont="1" applyFill="1" applyBorder="1" applyAlignment="1">
      <alignment horizontal="left"/>
    </xf>
    <xf numFmtId="0" fontId="11" fillId="5" borderId="17" xfId="0" applyFont="1" applyFill="1" applyBorder="1" applyAlignment="1">
      <alignment horizontal="center" vertical="center" wrapText="1"/>
    </xf>
    <xf numFmtId="0" fontId="7" fillId="3" borderId="34" xfId="0" applyFont="1" applyFill="1" applyBorder="1" applyAlignment="1"/>
    <xf numFmtId="0" fontId="7" fillId="3" borderId="35" xfId="0" applyFont="1" applyFill="1" applyBorder="1" applyAlignment="1"/>
    <xf numFmtId="0" fontId="7" fillId="3" borderId="36" xfId="0" applyFont="1" applyFill="1" applyBorder="1" applyAlignment="1"/>
    <xf numFmtId="0" fontId="10" fillId="3" borderId="37" xfId="0" applyFont="1" applyFill="1" applyBorder="1"/>
    <xf numFmtId="0" fontId="7" fillId="3" borderId="38" xfId="0" applyFont="1" applyFill="1" applyBorder="1" applyAlignment="1">
      <alignment horizontal="right"/>
    </xf>
    <xf numFmtId="0" fontId="7" fillId="3" borderId="38" xfId="0" applyFont="1" applyFill="1" applyBorder="1"/>
    <xf numFmtId="0" fontId="7" fillId="3" borderId="39" xfId="0" applyFont="1" applyFill="1" applyBorder="1"/>
    <xf numFmtId="0" fontId="10" fillId="2" borderId="12" xfId="0" applyFont="1" applyFill="1" applyBorder="1" applyAlignment="1">
      <alignment horizontal="right"/>
    </xf>
    <xf numFmtId="0" fontId="7" fillId="4" borderId="27" xfId="0" applyFont="1" applyFill="1" applyBorder="1" applyAlignment="1">
      <alignment horizontal="center"/>
    </xf>
    <xf numFmtId="0" fontId="7" fillId="2" borderId="12" xfId="0" applyFont="1" applyFill="1" applyBorder="1" applyAlignment="1">
      <alignment horizontal="right"/>
    </xf>
    <xf numFmtId="0" fontId="7" fillId="4" borderId="25" xfId="0" applyFont="1" applyFill="1" applyBorder="1" applyAlignment="1">
      <alignment horizontal="center"/>
    </xf>
    <xf numFmtId="0" fontId="7" fillId="2" borderId="5" xfId="0" applyFont="1" applyFill="1" applyBorder="1" applyAlignment="1">
      <alignment horizontal="left" vertical="center" wrapText="1"/>
    </xf>
    <xf numFmtId="0" fontId="7" fillId="2" borderId="1" xfId="0" applyFont="1" applyFill="1" applyBorder="1" applyAlignment="1">
      <alignment horizontal="center" vertical="center"/>
    </xf>
    <xf numFmtId="0" fontId="7" fillId="2" borderId="4" xfId="0" applyFont="1" applyFill="1" applyBorder="1" applyAlignment="1">
      <alignment horizontal="center" vertical="center"/>
    </xf>
    <xf numFmtId="0" fontId="11" fillId="2" borderId="0" xfId="0" applyFont="1" applyFill="1"/>
    <xf numFmtId="0" fontId="17" fillId="2" borderId="0" xfId="0" applyFont="1" applyFill="1"/>
    <xf numFmtId="0" fontId="11" fillId="5" borderId="37" xfId="0" applyNumberFormat="1" applyFont="1" applyFill="1" applyBorder="1" applyAlignment="1" applyProtection="1">
      <alignment horizontal="center" vertical="center" wrapText="1"/>
    </xf>
    <xf numFmtId="0" fontId="11" fillId="4" borderId="40" xfId="0" applyFont="1" applyFill="1" applyBorder="1"/>
    <xf numFmtId="0" fontId="7" fillId="3" borderId="12" xfId="0" applyFont="1" applyFill="1" applyBorder="1" applyAlignment="1">
      <alignment horizontal="left"/>
    </xf>
    <xf numFmtId="0" fontId="7" fillId="3" borderId="9" xfId="0" applyNumberFormat="1" applyFont="1" applyFill="1" applyBorder="1" applyAlignment="1">
      <alignment horizontal="left"/>
    </xf>
    <xf numFmtId="49" fontId="7" fillId="3" borderId="9" xfId="0" applyNumberFormat="1" applyFont="1" applyFill="1" applyBorder="1" applyAlignment="1">
      <alignment horizontal="right"/>
    </xf>
    <xf numFmtId="0" fontId="7" fillId="3" borderId="9" xfId="0" applyFont="1" applyFill="1" applyBorder="1" applyAlignment="1">
      <alignment horizontal="left" wrapText="1"/>
    </xf>
    <xf numFmtId="0" fontId="7" fillId="3" borderId="9" xfId="0" applyNumberFormat="1" applyFont="1" applyFill="1" applyBorder="1"/>
    <xf numFmtId="167" fontId="7" fillId="3" borderId="9" xfId="0" applyNumberFormat="1" applyFont="1" applyFill="1" applyBorder="1"/>
    <xf numFmtId="169" fontId="7" fillId="3" borderId="14" xfId="0" applyNumberFormat="1" applyFont="1" applyFill="1" applyBorder="1"/>
    <xf numFmtId="0" fontId="7" fillId="3" borderId="12" xfId="3" applyFont="1" applyFill="1" applyBorder="1" applyAlignment="1">
      <alignment horizontal="left"/>
    </xf>
    <xf numFmtId="0" fontId="7" fillId="3" borderId="9" xfId="3" applyNumberFormat="1" applyFont="1" applyFill="1" applyBorder="1" applyAlignment="1">
      <alignment horizontal="left"/>
    </xf>
    <xf numFmtId="0" fontId="7" fillId="3" borderId="9" xfId="4" applyFont="1" applyFill="1" applyBorder="1"/>
    <xf numFmtId="0" fontId="7" fillId="3" borderId="9" xfId="3" applyNumberFormat="1" applyFont="1" applyFill="1" applyBorder="1" applyAlignment="1">
      <alignment horizontal="left" wrapText="1"/>
    </xf>
    <xf numFmtId="0" fontId="7" fillId="3" borderId="9" xfId="0" applyNumberFormat="1" applyFont="1" applyFill="1" applyBorder="1" applyAlignment="1"/>
    <xf numFmtId="0" fontId="7" fillId="3" borderId="12" xfId="0" applyNumberFormat="1" applyFont="1" applyFill="1" applyBorder="1" applyAlignment="1">
      <alignment horizontal="left"/>
    </xf>
    <xf numFmtId="0" fontId="7" fillId="3" borderId="9" xfId="0" applyFont="1" applyFill="1" applyBorder="1"/>
    <xf numFmtId="0" fontId="7" fillId="3" borderId="9" xfId="0" applyNumberFormat="1" applyFont="1" applyFill="1" applyBorder="1" applyAlignment="1">
      <alignment horizontal="left" wrapText="1"/>
    </xf>
    <xf numFmtId="0" fontId="7" fillId="3" borderId="9" xfId="0" applyFont="1" applyFill="1" applyBorder="1" applyAlignment="1">
      <alignment horizontal="left"/>
    </xf>
    <xf numFmtId="166" fontId="7" fillId="3" borderId="9" xfId="0" applyNumberFormat="1" applyFont="1" applyFill="1" applyBorder="1" applyAlignment="1">
      <alignment horizontal="left"/>
    </xf>
    <xf numFmtId="0" fontId="7" fillId="3" borderId="9" xfId="0" applyNumberFormat="1" applyFont="1" applyFill="1" applyBorder="1" applyAlignment="1">
      <alignment horizontal="right"/>
    </xf>
    <xf numFmtId="0" fontId="7" fillId="3" borderId="9" xfId="0" applyFont="1" applyFill="1" applyBorder="1" applyAlignment="1">
      <alignment wrapText="1"/>
    </xf>
    <xf numFmtId="0" fontId="7" fillId="3" borderId="9" xfId="6" applyFont="1" applyFill="1" applyBorder="1" applyAlignment="1">
      <alignment horizontal="left"/>
    </xf>
    <xf numFmtId="1" fontId="7" fillId="3" borderId="9" xfId="0" applyNumberFormat="1" applyFont="1" applyFill="1" applyBorder="1" applyAlignment="1">
      <alignment horizontal="right"/>
    </xf>
    <xf numFmtId="0" fontId="7" fillId="3" borderId="12" xfId="0" applyNumberFormat="1" applyFont="1" applyFill="1" applyBorder="1" applyAlignment="1"/>
    <xf numFmtId="49" fontId="7" fillId="3" borderId="9" xfId="0" applyNumberFormat="1" applyFont="1" applyFill="1" applyBorder="1" applyAlignment="1">
      <alignment horizontal="left"/>
    </xf>
    <xf numFmtId="0" fontId="7" fillId="3" borderId="9" xfId="0" applyNumberFormat="1" applyFont="1" applyFill="1" applyBorder="1" applyAlignment="1">
      <alignment wrapText="1"/>
    </xf>
    <xf numFmtId="12" fontId="7" fillId="3" borderId="9" xfId="1" applyNumberFormat="1" applyFont="1" applyFill="1" applyBorder="1" applyAlignment="1">
      <alignment horizontal="left"/>
    </xf>
    <xf numFmtId="166" fontId="7" fillId="3" borderId="9" xfId="0" applyNumberFormat="1" applyFont="1" applyFill="1" applyBorder="1" applyAlignment="1" applyProtection="1">
      <alignment horizontal="left" wrapText="1"/>
      <protection locked="0"/>
    </xf>
    <xf numFmtId="0" fontId="7" fillId="3" borderId="9" xfId="0" applyNumberFormat="1" applyFont="1" applyFill="1" applyBorder="1" applyAlignment="1" applyProtection="1">
      <alignment horizontal="left" wrapText="1"/>
      <protection locked="0"/>
    </xf>
    <xf numFmtId="0" fontId="7" fillId="3" borderId="12" xfId="4" applyFont="1" applyFill="1" applyBorder="1" applyAlignment="1">
      <alignment horizontal="left"/>
    </xf>
    <xf numFmtId="0" fontId="7" fillId="3" borderId="9" xfId="4" applyNumberFormat="1" applyFont="1" applyFill="1" applyBorder="1" applyAlignment="1">
      <alignment horizontal="left"/>
    </xf>
    <xf numFmtId="0" fontId="7" fillId="3" borderId="9" xfId="0" applyFont="1" applyFill="1" applyBorder="1" applyAlignment="1">
      <alignment horizontal="right"/>
    </xf>
    <xf numFmtId="0" fontId="7" fillId="3" borderId="16" xfId="0" applyNumberFormat="1" applyFont="1" applyFill="1" applyBorder="1" applyAlignment="1">
      <alignment horizontal="left"/>
    </xf>
    <xf numFmtId="49" fontId="7" fillId="3" borderId="16" xfId="0" applyNumberFormat="1" applyFont="1" applyFill="1" applyBorder="1" applyAlignment="1">
      <alignment horizontal="right"/>
    </xf>
    <xf numFmtId="0" fontId="7" fillId="3" borderId="16" xfId="0" applyNumberFormat="1" applyFont="1" applyFill="1" applyBorder="1"/>
    <xf numFmtId="167" fontId="7" fillId="3" borderId="16" xfId="0" applyNumberFormat="1" applyFont="1" applyFill="1" applyBorder="1"/>
    <xf numFmtId="169" fontId="7" fillId="3" borderId="17" xfId="0" applyNumberFormat="1" applyFont="1" applyFill="1" applyBorder="1"/>
    <xf numFmtId="0" fontId="7" fillId="3" borderId="20" xfId="0" applyFont="1" applyFill="1" applyBorder="1" applyAlignment="1">
      <alignment horizontal="left" vertical="center"/>
    </xf>
    <xf numFmtId="0" fontId="7" fillId="3" borderId="21" xfId="0" applyFont="1" applyFill="1" applyBorder="1" applyAlignment="1">
      <alignment horizontal="left" vertical="center"/>
    </xf>
    <xf numFmtId="0" fontId="7" fillId="3" borderId="21" xfId="0" applyFont="1" applyFill="1" applyBorder="1" applyAlignment="1">
      <alignment horizontal="right"/>
    </xf>
    <xf numFmtId="1" fontId="7" fillId="3" borderId="21" xfId="0" applyNumberFormat="1" applyFont="1" applyFill="1" applyBorder="1" applyAlignment="1">
      <alignment horizontal="right"/>
    </xf>
    <xf numFmtId="2" fontId="7" fillId="3" borderId="22" xfId="0" applyNumberFormat="1" applyFont="1" applyFill="1" applyBorder="1" applyAlignment="1">
      <alignment horizontal="right"/>
    </xf>
    <xf numFmtId="0" fontId="7" fillId="3" borderId="13" xfId="0" applyFont="1" applyFill="1" applyBorder="1" applyAlignment="1">
      <alignment horizontal="left" vertical="center"/>
    </xf>
    <xf numFmtId="0" fontId="7" fillId="3" borderId="9" xfId="0" applyFont="1" applyFill="1" applyBorder="1" applyAlignment="1">
      <alignment horizontal="left" vertical="center"/>
    </xf>
    <xf numFmtId="2" fontId="7" fillId="3" borderId="14" xfId="0" applyNumberFormat="1" applyFont="1" applyFill="1" applyBorder="1" applyAlignment="1">
      <alignment horizontal="right"/>
    </xf>
    <xf numFmtId="0" fontId="6" fillId="2" borderId="0" xfId="0" applyFont="1" applyFill="1" applyProtection="1">
      <protection locked="0"/>
    </xf>
    <xf numFmtId="0" fontId="0" fillId="2" borderId="0" xfId="0" applyFill="1" applyProtection="1">
      <protection locked="0"/>
    </xf>
    <xf numFmtId="0" fontId="7" fillId="6" borderId="1" xfId="0" applyFont="1" applyFill="1" applyBorder="1" applyProtection="1">
      <protection locked="0"/>
    </xf>
    <xf numFmtId="0" fontId="7" fillId="6" borderId="2" xfId="0" applyFont="1" applyFill="1" applyBorder="1" applyProtection="1">
      <protection locked="0"/>
    </xf>
    <xf numFmtId="0" fontId="7" fillId="6" borderId="2" xfId="0" applyFont="1" applyFill="1" applyBorder="1" applyAlignment="1" applyProtection="1">
      <alignment horizontal="right"/>
      <protection locked="0"/>
    </xf>
    <xf numFmtId="0" fontId="7" fillId="6" borderId="3" xfId="0" applyFont="1" applyFill="1" applyBorder="1" applyProtection="1">
      <protection locked="0"/>
    </xf>
    <xf numFmtId="0" fontId="7" fillId="6" borderId="4" xfId="0" applyFont="1" applyFill="1" applyBorder="1" applyProtection="1">
      <protection locked="0"/>
    </xf>
    <xf numFmtId="0" fontId="7" fillId="2" borderId="11" xfId="0" applyFont="1" applyFill="1" applyBorder="1" applyAlignment="1" applyProtection="1">
      <alignment horizontal="right"/>
      <protection locked="0"/>
    </xf>
    <xf numFmtId="0" fontId="7" fillId="2" borderId="11" xfId="0" applyFont="1" applyFill="1" applyBorder="1" applyProtection="1">
      <protection locked="0"/>
    </xf>
    <xf numFmtId="0" fontId="7" fillId="2" borderId="12" xfId="0" applyFont="1" applyFill="1" applyBorder="1" applyProtection="1">
      <protection locked="0"/>
    </xf>
    <xf numFmtId="0" fontId="7" fillId="6" borderId="5" xfId="0" applyFont="1" applyFill="1" applyBorder="1" applyProtection="1">
      <protection locked="0"/>
    </xf>
    <xf numFmtId="0" fontId="7" fillId="6" borderId="0" xfId="0" applyFont="1" applyFill="1" applyBorder="1" applyProtection="1">
      <protection locked="0"/>
    </xf>
    <xf numFmtId="0" fontId="7" fillId="6" borderId="0" xfId="0" applyFont="1" applyFill="1" applyBorder="1" applyAlignment="1" applyProtection="1">
      <alignment horizontal="right"/>
      <protection locked="0"/>
    </xf>
    <xf numFmtId="0" fontId="13" fillId="2" borderId="0" xfId="0" applyFont="1" applyFill="1" applyBorder="1" applyProtection="1">
      <protection locked="0"/>
    </xf>
    <xf numFmtId="0" fontId="9" fillId="2" borderId="10" xfId="0" applyFont="1" applyFill="1" applyBorder="1" applyProtection="1">
      <protection locked="0"/>
    </xf>
    <xf numFmtId="0" fontId="7" fillId="2" borderId="12" xfId="0" applyFont="1" applyFill="1" applyBorder="1" applyAlignment="1" applyProtection="1">
      <alignment horizontal="right"/>
      <protection locked="0"/>
    </xf>
    <xf numFmtId="0" fontId="9" fillId="2" borderId="10" xfId="0" applyFont="1" applyFill="1" applyBorder="1" applyAlignment="1" applyProtection="1">
      <alignment horizontal="left" vertical="top"/>
      <protection locked="0"/>
    </xf>
    <xf numFmtId="0" fontId="10" fillId="2" borderId="12" xfId="0" applyFont="1" applyFill="1" applyBorder="1" applyAlignment="1" applyProtection="1">
      <alignment horizontal="center"/>
      <protection locked="0"/>
    </xf>
    <xf numFmtId="169" fontId="0" fillId="2" borderId="1" xfId="0" applyNumberFormat="1" applyFill="1" applyBorder="1" applyAlignment="1">
      <alignment horizontal="center"/>
    </xf>
    <xf numFmtId="169" fontId="0" fillId="2" borderId="4" xfId="0" applyNumberFormat="1" applyFill="1" applyBorder="1" applyAlignment="1">
      <alignment horizontal="center"/>
    </xf>
    <xf numFmtId="169" fontId="0" fillId="2" borderId="6" xfId="0" applyNumberFormat="1" applyFill="1" applyBorder="1" applyAlignment="1">
      <alignment horizontal="center"/>
    </xf>
    <xf numFmtId="0" fontId="0" fillId="2" borderId="32" xfId="0" applyFill="1" applyBorder="1"/>
    <xf numFmtId="0" fontId="0" fillId="2" borderId="31" xfId="0" applyFill="1" applyBorder="1"/>
    <xf numFmtId="0" fontId="0" fillId="2" borderId="0" xfId="0" applyFill="1" applyAlignment="1">
      <alignment horizontal="center" wrapText="1"/>
    </xf>
    <xf numFmtId="0" fontId="7" fillId="3" borderId="9" xfId="4" applyNumberFormat="1" applyFont="1" applyFill="1" applyBorder="1" applyAlignment="1">
      <alignment horizontal="left" wrapText="1"/>
    </xf>
    <xf numFmtId="0" fontId="8" fillId="2" borderId="11" xfId="0" applyFont="1" applyFill="1" applyBorder="1" applyAlignment="1">
      <alignment horizontal="left" vertical="center"/>
    </xf>
    <xf numFmtId="0" fontId="9" fillId="2" borderId="11" xfId="0" applyFont="1" applyFill="1" applyBorder="1" applyAlignment="1">
      <alignment horizontal="left"/>
    </xf>
    <xf numFmtId="0" fontId="10" fillId="3" borderId="38" xfId="0" applyFont="1" applyFill="1" applyBorder="1"/>
    <xf numFmtId="0" fontId="11" fillId="5" borderId="41" xfId="0" applyFont="1" applyFill="1" applyBorder="1" applyAlignment="1">
      <alignment horizontal="center" vertical="center" wrapText="1"/>
    </xf>
    <xf numFmtId="0" fontId="7" fillId="3" borderId="42" xfId="0" applyFont="1" applyFill="1" applyBorder="1" applyAlignment="1">
      <alignment horizontal="left" vertical="center"/>
    </xf>
    <xf numFmtId="0" fontId="7" fillId="3" borderId="12" xfId="0" applyFont="1" applyFill="1" applyBorder="1" applyAlignment="1">
      <alignment horizontal="left" vertical="center"/>
    </xf>
    <xf numFmtId="0" fontId="7" fillId="3" borderId="9" xfId="0" applyFont="1" applyFill="1" applyBorder="1" applyAlignment="1">
      <alignment horizontal="left" vertical="center" wrapText="1"/>
    </xf>
    <xf numFmtId="0" fontId="7" fillId="3" borderId="20" xfId="4" applyFont="1" applyFill="1" applyBorder="1" applyAlignment="1">
      <alignment horizontal="center"/>
    </xf>
    <xf numFmtId="0" fontId="7" fillId="3" borderId="13" xfId="4" applyFont="1" applyFill="1" applyBorder="1" applyAlignment="1">
      <alignment horizontal="center"/>
    </xf>
    <xf numFmtId="0" fontId="7" fillId="2" borderId="6" xfId="0" applyFont="1" applyFill="1" applyBorder="1" applyAlignment="1">
      <alignment horizontal="center" vertical="center"/>
    </xf>
    <xf numFmtId="0" fontId="7" fillId="2" borderId="8" xfId="0" applyFont="1" applyFill="1" applyBorder="1" applyAlignment="1">
      <alignment horizontal="left" vertical="center" wrapText="1"/>
    </xf>
    <xf numFmtId="0" fontId="7" fillId="2" borderId="5" xfId="0" applyFont="1" applyFill="1" applyBorder="1" applyAlignment="1">
      <alignment horizontal="left" vertical="center"/>
    </xf>
    <xf numFmtId="0" fontId="10" fillId="7" borderId="1" xfId="0" applyFont="1" applyFill="1" applyBorder="1"/>
    <xf numFmtId="0" fontId="7" fillId="7" borderId="3" xfId="0" applyFont="1" applyFill="1" applyBorder="1"/>
    <xf numFmtId="0" fontId="10" fillId="7" borderId="4" xfId="0" applyFont="1" applyFill="1" applyBorder="1"/>
    <xf numFmtId="0" fontId="7" fillId="7" borderId="5" xfId="0" applyFont="1" applyFill="1" applyBorder="1"/>
    <xf numFmtId="0" fontId="10" fillId="7" borderId="6" xfId="0" applyFont="1" applyFill="1" applyBorder="1"/>
    <xf numFmtId="0" fontId="7" fillId="7" borderId="8" xfId="0" applyFont="1" applyFill="1" applyBorder="1"/>
    <xf numFmtId="0" fontId="7" fillId="7" borderId="1" xfId="0" applyFont="1" applyFill="1" applyBorder="1"/>
    <xf numFmtId="0" fontId="7" fillId="7" borderId="2" xfId="0" applyFont="1" applyFill="1" applyBorder="1" applyAlignment="1">
      <alignment horizontal="right"/>
    </xf>
    <xf numFmtId="0" fontId="7" fillId="7" borderId="2" xfId="0" applyFont="1" applyFill="1" applyBorder="1"/>
    <xf numFmtId="0" fontId="7" fillId="7" borderId="4" xfId="0" applyFont="1" applyFill="1" applyBorder="1"/>
    <xf numFmtId="0" fontId="7" fillId="7" borderId="0" xfId="0" applyFont="1" applyFill="1" applyBorder="1" applyAlignment="1">
      <alignment horizontal="right"/>
    </xf>
    <xf numFmtId="0" fontId="7" fillId="7" borderId="0" xfId="0" applyFont="1" applyFill="1" applyBorder="1"/>
    <xf numFmtId="0" fontId="7" fillId="7" borderId="0" xfId="0" applyFont="1" applyFill="1" applyBorder="1" applyAlignment="1">
      <alignment horizontal="left" vertical="center"/>
    </xf>
    <xf numFmtId="0" fontId="7" fillId="7" borderId="4" xfId="0" applyFont="1" applyFill="1" applyBorder="1" applyAlignment="1">
      <alignment horizontal="left" vertical="center"/>
    </xf>
    <xf numFmtId="0" fontId="7" fillId="7" borderId="5" xfId="0" applyFont="1" applyFill="1" applyBorder="1" applyAlignment="1">
      <alignment horizontal="left" vertical="center"/>
    </xf>
    <xf numFmtId="0" fontId="10" fillId="7" borderId="4" xfId="0" applyFont="1" applyFill="1" applyBorder="1" applyAlignment="1">
      <alignment horizontal="left" vertical="center"/>
    </xf>
    <xf numFmtId="0" fontId="10" fillId="7" borderId="6" xfId="0" applyFont="1" applyFill="1" applyBorder="1" applyAlignment="1">
      <alignment horizontal="left" vertical="center"/>
    </xf>
    <xf numFmtId="0" fontId="7" fillId="7" borderId="7" xfId="0" applyFont="1" applyFill="1" applyBorder="1" applyAlignment="1">
      <alignment horizontal="left" vertical="center"/>
    </xf>
    <xf numFmtId="0" fontId="7" fillId="7" borderId="8" xfId="0" applyFont="1" applyFill="1" applyBorder="1" applyAlignment="1">
      <alignment horizontal="left" vertical="center"/>
    </xf>
    <xf numFmtId="0" fontId="9" fillId="7" borderId="0" xfId="0" applyFont="1" applyFill="1" applyBorder="1" applyAlignment="1">
      <alignment horizontal="left" vertical="center"/>
    </xf>
    <xf numFmtId="0" fontId="11" fillId="7" borderId="0" xfId="0" applyFont="1" applyFill="1" applyBorder="1" applyAlignment="1">
      <alignment horizontal="left" vertical="center"/>
    </xf>
    <xf numFmtId="49" fontId="7" fillId="7" borderId="5" xfId="0" applyNumberFormat="1" applyFont="1" applyFill="1" applyBorder="1" applyAlignment="1">
      <alignment horizontal="left" vertical="center"/>
    </xf>
    <xf numFmtId="0" fontId="6" fillId="2" borderId="0" xfId="0" quotePrefix="1" applyFont="1" applyFill="1"/>
    <xf numFmtId="0" fontId="9" fillId="2" borderId="11" xfId="0" applyFont="1" applyFill="1" applyBorder="1"/>
    <xf numFmtId="0" fontId="10" fillId="7" borderId="2" xfId="0" applyFont="1" applyFill="1" applyBorder="1"/>
    <xf numFmtId="0" fontId="10" fillId="7" borderId="0" xfId="0" applyFont="1" applyFill="1" applyBorder="1"/>
    <xf numFmtId="0" fontId="10" fillId="7" borderId="7" xfId="0" applyFont="1" applyFill="1" applyBorder="1"/>
    <xf numFmtId="0" fontId="9" fillId="7" borderId="0" xfId="0" applyFont="1" applyFill="1" applyBorder="1"/>
    <xf numFmtId="0" fontId="6" fillId="2" borderId="0" xfId="0" applyFont="1" applyFill="1" applyAlignment="1"/>
    <xf numFmtId="0" fontId="19" fillId="7" borderId="0" xfId="0" applyFont="1" applyFill="1" applyBorder="1"/>
    <xf numFmtId="0" fontId="18" fillId="7" borderId="0" xfId="11" applyFill="1" applyBorder="1"/>
    <xf numFmtId="0" fontId="20" fillId="7" borderId="0" xfId="11" applyFont="1" applyFill="1" applyBorder="1" applyAlignment="1">
      <alignment horizontal="left" vertical="center"/>
    </xf>
    <xf numFmtId="0" fontId="10" fillId="7" borderId="0" xfId="0" applyFont="1" applyFill="1" applyBorder="1" applyAlignment="1">
      <alignment wrapText="1"/>
    </xf>
    <xf numFmtId="0" fontId="7" fillId="3" borderId="16" xfId="0" applyFont="1" applyFill="1" applyBorder="1" applyAlignment="1">
      <alignment horizontal="left" vertical="center"/>
    </xf>
    <xf numFmtId="0" fontId="7" fillId="3" borderId="16" xfId="0" applyFont="1" applyFill="1" applyBorder="1" applyAlignment="1">
      <alignment horizontal="right"/>
    </xf>
    <xf numFmtId="1" fontId="7" fillId="3" borderId="16" xfId="0" applyNumberFormat="1" applyFont="1" applyFill="1" applyBorder="1" applyAlignment="1">
      <alignment horizontal="right"/>
    </xf>
    <xf numFmtId="2" fontId="7" fillId="3" borderId="17" xfId="0" applyNumberFormat="1" applyFont="1" applyFill="1" applyBorder="1" applyAlignment="1">
      <alignment horizontal="right"/>
    </xf>
    <xf numFmtId="0" fontId="7" fillId="2" borderId="0" xfId="0" applyFont="1" applyFill="1" applyProtection="1"/>
    <xf numFmtId="0" fontId="7" fillId="2" borderId="0" xfId="0" applyFont="1" applyFill="1" applyAlignment="1" applyProtection="1">
      <alignment horizontal="right"/>
    </xf>
    <xf numFmtId="0" fontId="7" fillId="6" borderId="1" xfId="0" applyFont="1" applyFill="1" applyBorder="1" applyProtection="1"/>
    <xf numFmtId="0" fontId="7" fillId="6" borderId="2" xfId="0" applyFont="1" applyFill="1" applyBorder="1" applyProtection="1"/>
    <xf numFmtId="0" fontId="7" fillId="6" borderId="2" xfId="0" applyFont="1" applyFill="1" applyBorder="1" applyAlignment="1" applyProtection="1">
      <alignment horizontal="right"/>
    </xf>
    <xf numFmtId="0" fontId="7" fillId="6" borderId="3" xfId="0" applyFont="1" applyFill="1" applyBorder="1" applyProtection="1"/>
    <xf numFmtId="0" fontId="7" fillId="6" borderId="4" xfId="0" applyFont="1" applyFill="1" applyBorder="1" applyProtection="1"/>
    <xf numFmtId="0" fontId="8" fillId="2" borderId="10" xfId="0" applyFont="1" applyFill="1" applyBorder="1" applyAlignment="1" applyProtection="1">
      <alignment horizontal="left" vertical="center"/>
    </xf>
    <xf numFmtId="0" fontId="7" fillId="2" borderId="11" xfId="0" applyFont="1" applyFill="1" applyBorder="1" applyAlignment="1" applyProtection="1">
      <alignment horizontal="right"/>
    </xf>
    <xf numFmtId="0" fontId="7" fillId="2" borderId="11" xfId="0" applyFont="1" applyFill="1" applyBorder="1" applyProtection="1"/>
    <xf numFmtId="0" fontId="7" fillId="2" borderId="12" xfId="0" applyFont="1" applyFill="1" applyBorder="1" applyProtection="1"/>
    <xf numFmtId="0" fontId="7" fillId="6" borderId="5" xfId="0" applyFont="1" applyFill="1" applyBorder="1" applyProtection="1"/>
    <xf numFmtId="0" fontId="7" fillId="6" borderId="0" xfId="0" applyFont="1" applyFill="1" applyBorder="1" applyProtection="1"/>
    <xf numFmtId="0" fontId="7" fillId="6" borderId="0" xfId="0" applyFont="1" applyFill="1" applyBorder="1" applyAlignment="1" applyProtection="1">
      <alignment horizontal="right"/>
    </xf>
    <xf numFmtId="0" fontId="9" fillId="2" borderId="10" xfId="0" applyFont="1" applyFill="1" applyBorder="1" applyProtection="1"/>
    <xf numFmtId="0" fontId="10" fillId="2" borderId="12" xfId="0" applyFont="1" applyFill="1" applyBorder="1" applyAlignment="1" applyProtection="1">
      <alignment horizontal="right"/>
    </xf>
    <xf numFmtId="0" fontId="10" fillId="6" borderId="0" xfId="0" applyFont="1" applyFill="1" applyBorder="1" applyProtection="1"/>
    <xf numFmtId="0" fontId="11" fillId="5" borderId="15" xfId="0" applyFont="1" applyFill="1" applyBorder="1" applyProtection="1"/>
    <xf numFmtId="0" fontId="11" fillId="5" borderId="16" xfId="0" applyFont="1" applyFill="1" applyBorder="1" applyAlignment="1" applyProtection="1">
      <alignment horizontal="center"/>
    </xf>
    <xf numFmtId="0" fontId="11" fillId="5" borderId="17" xfId="0" applyFont="1" applyFill="1" applyBorder="1" applyAlignment="1" applyProtection="1">
      <alignment horizontal="center"/>
    </xf>
    <xf numFmtId="0" fontId="7" fillId="5" borderId="35" xfId="0" applyFont="1" applyFill="1" applyBorder="1" applyProtection="1"/>
    <xf numFmtId="0" fontId="7" fillId="5" borderId="36" xfId="0" applyFont="1" applyFill="1" applyBorder="1" applyProtection="1"/>
    <xf numFmtId="0" fontId="7" fillId="5" borderId="20" xfId="0" applyFont="1" applyFill="1" applyBorder="1" applyProtection="1"/>
    <xf numFmtId="0" fontId="7" fillId="3" borderId="21" xfId="0" applyFont="1" applyFill="1" applyBorder="1" applyAlignment="1" applyProtection="1">
      <alignment horizontal="center"/>
    </xf>
    <xf numFmtId="0" fontId="7" fillId="5" borderId="0" xfId="0" applyFont="1" applyFill="1" applyBorder="1" applyProtection="1"/>
    <xf numFmtId="0" fontId="7" fillId="5" borderId="5" xfId="0" applyFont="1" applyFill="1" applyBorder="1" applyProtection="1"/>
    <xf numFmtId="0" fontId="7" fillId="5" borderId="13" xfId="0" applyFont="1" applyFill="1" applyBorder="1" applyProtection="1"/>
    <xf numFmtId="0" fontId="7" fillId="3" borderId="9" xfId="0" applyFont="1" applyFill="1" applyBorder="1" applyAlignment="1" applyProtection="1">
      <alignment horizontal="center"/>
    </xf>
    <xf numFmtId="0" fontId="7" fillId="3" borderId="34" xfId="0" applyFont="1" applyFill="1" applyBorder="1" applyAlignment="1" applyProtection="1"/>
    <xf numFmtId="0" fontId="7" fillId="3" borderId="35" xfId="0" applyFont="1" applyFill="1" applyBorder="1" applyAlignment="1" applyProtection="1"/>
    <xf numFmtId="0" fontId="7" fillId="3" borderId="36" xfId="0" applyFont="1" applyFill="1" applyBorder="1" applyAlignment="1" applyProtection="1"/>
    <xf numFmtId="0" fontId="7" fillId="3" borderId="4" xfId="0" applyFont="1" applyFill="1" applyBorder="1" applyProtection="1"/>
    <xf numFmtId="0" fontId="7" fillId="3" borderId="0" xfId="0" applyFont="1" applyFill="1" applyBorder="1" applyProtection="1"/>
    <xf numFmtId="0" fontId="7" fillId="3" borderId="5" xfId="0" applyFont="1" applyFill="1" applyBorder="1" applyProtection="1"/>
    <xf numFmtId="0" fontId="7" fillId="5" borderId="15" xfId="0" applyFont="1" applyFill="1" applyBorder="1" applyProtection="1"/>
    <xf numFmtId="0" fontId="7" fillId="3" borderId="16" xfId="0" applyFont="1" applyFill="1" applyBorder="1" applyAlignment="1" applyProtection="1">
      <alignment horizontal="center"/>
    </xf>
    <xf numFmtId="0" fontId="7" fillId="3" borderId="0" xfId="0" quotePrefix="1" applyFont="1" applyFill="1" applyBorder="1" applyProtection="1"/>
    <xf numFmtId="0" fontId="7" fillId="3" borderId="6" xfId="0" applyFont="1" applyFill="1" applyBorder="1" applyProtection="1"/>
    <xf numFmtId="0" fontId="7" fillId="3" borderId="7" xfId="0" applyFont="1" applyFill="1" applyBorder="1" applyProtection="1"/>
    <xf numFmtId="0" fontId="7" fillId="3" borderId="8" xfId="0" applyFont="1" applyFill="1" applyBorder="1" applyProtection="1"/>
    <xf numFmtId="0" fontId="11" fillId="4" borderId="23" xfId="0" applyFont="1" applyFill="1" applyBorder="1" applyProtection="1"/>
    <xf numFmtId="0" fontId="7" fillId="3" borderId="24" xfId="0" applyFont="1" applyFill="1" applyBorder="1" applyAlignment="1" applyProtection="1">
      <alignment horizontal="center"/>
    </xf>
    <xf numFmtId="0" fontId="7" fillId="6" borderId="0" xfId="0" applyFont="1" applyFill="1" applyBorder="1" applyAlignment="1" applyProtection="1">
      <alignment horizontal="center"/>
    </xf>
    <xf numFmtId="2" fontId="7" fillId="6" borderId="0" xfId="9" applyNumberFormat="1" applyFont="1" applyFill="1" applyBorder="1" applyAlignment="1" applyProtection="1">
      <alignment horizontal="right"/>
    </xf>
    <xf numFmtId="0" fontId="7" fillId="6" borderId="6" xfId="0" applyFont="1" applyFill="1" applyBorder="1" applyProtection="1"/>
    <xf numFmtId="0" fontId="7" fillId="6" borderId="7" xfId="0" applyFont="1" applyFill="1" applyBorder="1" applyProtection="1"/>
    <xf numFmtId="0" fontId="7" fillId="6" borderId="7" xfId="0" applyFont="1" applyFill="1" applyBorder="1" applyAlignment="1" applyProtection="1">
      <alignment horizontal="right"/>
    </xf>
    <xf numFmtId="0" fontId="7" fillId="6" borderId="8" xfId="0" applyFont="1" applyFill="1" applyBorder="1" applyProtection="1"/>
    <xf numFmtId="0" fontId="11" fillId="2" borderId="0" xfId="0" applyFont="1" applyFill="1" applyProtection="1"/>
    <xf numFmtId="2" fontId="7" fillId="2" borderId="21" xfId="9" applyNumberFormat="1" applyFont="1" applyFill="1" applyBorder="1" applyAlignment="1" applyProtection="1">
      <alignment horizontal="right"/>
      <protection locked="0"/>
    </xf>
    <xf numFmtId="2" fontId="7" fillId="2" borderId="9" xfId="9" applyNumberFormat="1" applyFont="1" applyFill="1" applyBorder="1" applyAlignment="1" applyProtection="1">
      <alignment horizontal="right"/>
      <protection locked="0"/>
    </xf>
    <xf numFmtId="2" fontId="7" fillId="2" borderId="16" xfId="9" applyNumberFormat="1" applyFont="1" applyFill="1" applyBorder="1" applyAlignment="1" applyProtection="1">
      <alignment horizontal="right"/>
      <protection locked="0"/>
    </xf>
    <xf numFmtId="0" fontId="7" fillId="2" borderId="25" xfId="0" applyFont="1" applyFill="1" applyBorder="1" applyAlignment="1" applyProtection="1">
      <alignment horizontal="right"/>
      <protection locked="0"/>
    </xf>
    <xf numFmtId="0" fontId="6" fillId="2" borderId="0" xfId="0" applyFont="1" applyFill="1" applyProtection="1"/>
    <xf numFmtId="0" fontId="0" fillId="2" borderId="0" xfId="0" applyFill="1" applyProtection="1"/>
    <xf numFmtId="0" fontId="13" fillId="2" borderId="0" xfId="0" applyFont="1" applyFill="1" applyBorder="1" applyProtection="1"/>
    <xf numFmtId="0" fontId="7" fillId="2" borderId="12" xfId="0" applyFont="1" applyFill="1" applyBorder="1" applyAlignment="1" applyProtection="1">
      <alignment horizontal="right"/>
    </xf>
    <xf numFmtId="0" fontId="7" fillId="7" borderId="11" xfId="0" applyFont="1" applyFill="1" applyBorder="1" applyProtection="1"/>
    <xf numFmtId="0" fontId="7" fillId="7" borderId="12" xfId="0" applyFont="1" applyFill="1" applyBorder="1" applyProtection="1"/>
    <xf numFmtId="0" fontId="11" fillId="4" borderId="1" xfId="0" applyFont="1" applyFill="1" applyBorder="1" applyProtection="1"/>
    <xf numFmtId="0" fontId="11" fillId="4" borderId="40" xfId="0" applyFont="1" applyFill="1" applyBorder="1" applyProtection="1"/>
    <xf numFmtId="0" fontId="11" fillId="4" borderId="2" xfId="0" applyFont="1" applyFill="1" applyBorder="1" applyAlignment="1" applyProtection="1">
      <alignment horizontal="right"/>
    </xf>
    <xf numFmtId="0" fontId="11" fillId="4" borderId="2" xfId="0" applyFont="1" applyFill="1" applyBorder="1" applyProtection="1"/>
    <xf numFmtId="0" fontId="11" fillId="4" borderId="3" xfId="0" applyFont="1" applyFill="1" applyBorder="1" applyProtection="1"/>
    <xf numFmtId="0" fontId="13" fillId="2" borderId="0" xfId="0" applyNumberFormat="1" applyFont="1" applyFill="1" applyBorder="1" applyProtection="1"/>
    <xf numFmtId="0" fontId="13" fillId="2" borderId="0" xfId="0" applyNumberFormat="1" applyFont="1" applyFill="1" applyBorder="1" applyAlignment="1" applyProtection="1">
      <alignment horizontal="right"/>
    </xf>
    <xf numFmtId="0" fontId="7" fillId="0" borderId="13" xfId="4" applyFont="1" applyFill="1" applyBorder="1" applyAlignment="1" applyProtection="1">
      <alignment horizontal="center"/>
      <protection locked="0"/>
    </xf>
    <xf numFmtId="0" fontId="7" fillId="2" borderId="13" xfId="4" applyFont="1" applyFill="1" applyBorder="1" applyAlignment="1" applyProtection="1">
      <alignment horizontal="center"/>
      <protection locked="0"/>
    </xf>
    <xf numFmtId="0" fontId="7" fillId="0" borderId="15" xfId="4" applyFont="1" applyFill="1" applyBorder="1" applyAlignment="1" applyProtection="1">
      <alignment horizontal="center"/>
      <protection locked="0"/>
    </xf>
    <xf numFmtId="0" fontId="7" fillId="6" borderId="7" xfId="0" applyFont="1" applyFill="1" applyBorder="1" applyProtection="1">
      <protection locked="0"/>
    </xf>
    <xf numFmtId="0" fontId="7" fillId="0" borderId="12" xfId="0" applyFont="1" applyFill="1" applyBorder="1" applyAlignment="1" applyProtection="1">
      <alignment horizontal="left"/>
      <protection locked="0"/>
    </xf>
    <xf numFmtId="0" fontId="7" fillId="0" borderId="9" xfId="0" applyNumberFormat="1" applyFont="1" applyFill="1" applyBorder="1" applyAlignment="1" applyProtection="1">
      <alignment horizontal="left"/>
      <protection locked="0"/>
    </xf>
    <xf numFmtId="0" fontId="7" fillId="0" borderId="9" xfId="0" applyNumberFormat="1" applyFont="1" applyFill="1" applyBorder="1" applyProtection="1">
      <protection locked="0"/>
    </xf>
    <xf numFmtId="0" fontId="7" fillId="0" borderId="9" xfId="0" applyFont="1" applyFill="1" applyBorder="1" applyAlignment="1" applyProtection="1">
      <alignment horizontal="left" wrapText="1"/>
      <protection locked="0"/>
    </xf>
    <xf numFmtId="167" fontId="7" fillId="3" borderId="9" xfId="0" applyNumberFormat="1" applyFont="1" applyFill="1" applyBorder="1" applyProtection="1">
      <protection locked="0"/>
    </xf>
    <xf numFmtId="169" fontId="7" fillId="3" borderId="14" xfId="0" applyNumberFormat="1" applyFont="1" applyFill="1" applyBorder="1" applyProtection="1">
      <protection locked="0"/>
    </xf>
    <xf numFmtId="0" fontId="7" fillId="3" borderId="12" xfId="0" applyFont="1" applyFill="1" applyBorder="1" applyAlignment="1" applyProtection="1">
      <alignment horizontal="left"/>
      <protection locked="0"/>
    </xf>
    <xf numFmtId="0" fontId="7" fillId="3" borderId="9" xfId="0" applyNumberFormat="1" applyFont="1" applyFill="1" applyBorder="1" applyAlignment="1" applyProtection="1">
      <alignment horizontal="left"/>
      <protection locked="0"/>
    </xf>
    <xf numFmtId="0" fontId="7" fillId="3" borderId="9" xfId="0" applyFont="1" applyFill="1" applyBorder="1" applyProtection="1">
      <protection locked="0"/>
    </xf>
    <xf numFmtId="166" fontId="7" fillId="3" borderId="9" xfId="0" applyNumberFormat="1" applyFont="1" applyFill="1" applyBorder="1" applyAlignment="1" applyProtection="1">
      <alignment horizontal="right"/>
      <protection locked="0"/>
    </xf>
    <xf numFmtId="0" fontId="7" fillId="3" borderId="9" xfId="0" applyNumberFormat="1" applyFont="1" applyFill="1" applyBorder="1" applyProtection="1">
      <protection locked="0"/>
    </xf>
    <xf numFmtId="49" fontId="7" fillId="3" borderId="9" xfId="0" applyNumberFormat="1" applyFont="1" applyFill="1" applyBorder="1" applyAlignment="1" applyProtection="1">
      <alignment horizontal="right"/>
      <protection locked="0"/>
    </xf>
    <xf numFmtId="0" fontId="7" fillId="3" borderId="12" xfId="0" applyNumberFormat="1" applyFont="1" applyFill="1" applyBorder="1" applyAlignment="1" applyProtection="1">
      <alignment horizontal="left"/>
      <protection locked="0"/>
    </xf>
    <xf numFmtId="166" fontId="7" fillId="3" borderId="9" xfId="1" applyNumberFormat="1" applyFont="1" applyFill="1" applyBorder="1" applyAlignment="1" applyProtection="1">
      <alignment horizontal="left"/>
      <protection locked="0"/>
    </xf>
    <xf numFmtId="167" fontId="7" fillId="3" borderId="9" xfId="0" applyNumberFormat="1" applyFont="1" applyFill="1" applyBorder="1" applyAlignment="1" applyProtection="1">
      <alignment horizontal="right"/>
      <protection locked="0"/>
    </xf>
    <xf numFmtId="166" fontId="7" fillId="3" borderId="9" xfId="0" applyNumberFormat="1" applyFont="1" applyFill="1" applyBorder="1" applyProtection="1">
      <protection locked="0"/>
    </xf>
    <xf numFmtId="0" fontId="7" fillId="3" borderId="9" xfId="0" applyNumberFormat="1" applyFont="1" applyFill="1" applyBorder="1" applyAlignment="1" applyProtection="1">
      <alignment wrapText="1"/>
      <protection locked="0"/>
    </xf>
    <xf numFmtId="169" fontId="7" fillId="3" borderId="9" xfId="0" applyNumberFormat="1" applyFont="1" applyFill="1" applyBorder="1" applyProtection="1">
      <protection locked="0"/>
    </xf>
    <xf numFmtId="166" fontId="7" fillId="3" borderId="9" xfId="1" applyNumberFormat="1" applyFont="1" applyFill="1" applyBorder="1" applyAlignment="1" applyProtection="1">
      <alignment horizontal="right"/>
      <protection locked="0"/>
    </xf>
    <xf numFmtId="0" fontId="7" fillId="3" borderId="9" xfId="1" applyFont="1" applyFill="1" applyBorder="1" applyAlignment="1" applyProtection="1">
      <alignment horizontal="left"/>
      <protection locked="0"/>
    </xf>
    <xf numFmtId="0" fontId="7" fillId="3" borderId="9" xfId="0" applyFont="1" applyFill="1" applyBorder="1" applyAlignment="1" applyProtection="1">
      <alignment horizontal="left"/>
      <protection locked="0"/>
    </xf>
    <xf numFmtId="0" fontId="7" fillId="3" borderId="9" xfId="0" applyFont="1" applyFill="1" applyBorder="1" applyAlignment="1" applyProtection="1">
      <alignment horizontal="left" wrapText="1"/>
      <protection locked="0"/>
    </xf>
    <xf numFmtId="167" fontId="7" fillId="3" borderId="9" xfId="1" applyNumberFormat="1" applyFont="1" applyFill="1" applyBorder="1" applyAlignment="1" applyProtection="1">
      <alignment horizontal="right"/>
      <protection locked="0"/>
    </xf>
    <xf numFmtId="0" fontId="7" fillId="3" borderId="12" xfId="0" applyNumberFormat="1" applyFont="1" applyFill="1" applyBorder="1" applyAlignment="1" applyProtection="1">
      <protection locked="0"/>
    </xf>
    <xf numFmtId="0" fontId="7" fillId="3" borderId="9" xfId="0" applyNumberFormat="1" applyFont="1" applyFill="1" applyBorder="1" applyAlignment="1" applyProtection="1">
      <protection locked="0"/>
    </xf>
    <xf numFmtId="0" fontId="7" fillId="3" borderId="12" xfId="3" applyFont="1" applyFill="1" applyBorder="1" applyAlignment="1" applyProtection="1">
      <alignment horizontal="left"/>
      <protection locked="0"/>
    </xf>
    <xf numFmtId="0" fontId="7" fillId="3" borderId="9" xfId="3" applyNumberFormat="1" applyFont="1" applyFill="1" applyBorder="1" applyAlignment="1" applyProtection="1">
      <alignment horizontal="left"/>
      <protection locked="0"/>
    </xf>
    <xf numFmtId="0" fontId="7" fillId="3" borderId="9" xfId="4" applyFont="1" applyFill="1" applyBorder="1" applyProtection="1">
      <protection locked="0"/>
    </xf>
    <xf numFmtId="0" fontId="7" fillId="3" borderId="9" xfId="3" applyNumberFormat="1" applyFont="1" applyFill="1" applyBorder="1" applyAlignment="1" applyProtection="1">
      <alignment horizontal="left" wrapText="1"/>
      <protection locked="0"/>
    </xf>
    <xf numFmtId="0" fontId="7" fillId="3" borderId="9" xfId="4" applyFont="1" applyFill="1" applyBorder="1" applyAlignment="1" applyProtection="1">
      <protection locked="0"/>
    </xf>
    <xf numFmtId="1" fontId="7" fillId="3" borderId="9" xfId="0" applyNumberFormat="1" applyFont="1" applyFill="1" applyBorder="1" applyAlignment="1" applyProtection="1">
      <alignment horizontal="right"/>
      <protection locked="0"/>
    </xf>
    <xf numFmtId="167" fontId="7" fillId="3" borderId="9" xfId="0" applyNumberFormat="1" applyFont="1" applyFill="1" applyBorder="1" applyAlignment="1" applyProtection="1">
      <alignment wrapText="1"/>
      <protection locked="0"/>
    </xf>
    <xf numFmtId="166" fontId="7" fillId="3" borderId="9" xfId="0" applyNumberFormat="1" applyFont="1" applyFill="1" applyBorder="1" applyAlignment="1" applyProtection="1">
      <alignment horizontal="left"/>
      <protection locked="0"/>
    </xf>
    <xf numFmtId="165" fontId="7" fillId="3" borderId="9" xfId="7" applyFont="1" applyFill="1" applyBorder="1" applyAlignment="1" applyProtection="1">
      <alignment horizontal="left"/>
      <protection locked="0"/>
    </xf>
    <xf numFmtId="166" fontId="7" fillId="3" borderId="9" xfId="2" applyNumberFormat="1" applyFont="1" applyFill="1" applyBorder="1" applyAlignment="1" applyProtection="1">
      <alignment horizontal="right"/>
      <protection locked="0"/>
    </xf>
    <xf numFmtId="0" fontId="7" fillId="3" borderId="9" xfId="2" applyFont="1" applyFill="1" applyBorder="1" applyAlignment="1" applyProtection="1">
      <alignment horizontal="left"/>
      <protection locked="0"/>
    </xf>
    <xf numFmtId="168" fontId="7" fillId="3" borderId="9" xfId="0" applyNumberFormat="1" applyFont="1" applyFill="1" applyBorder="1" applyAlignment="1" applyProtection="1">
      <alignment horizontal="right"/>
      <protection locked="0"/>
    </xf>
    <xf numFmtId="0" fontId="7" fillId="3" borderId="9" xfId="0" applyFont="1" applyFill="1" applyBorder="1" applyAlignment="1" applyProtection="1">
      <alignment horizontal="right"/>
      <protection locked="0"/>
    </xf>
    <xf numFmtId="49" fontId="7" fillId="3" borderId="9" xfId="0" applyNumberFormat="1" applyFont="1" applyFill="1" applyBorder="1" applyAlignment="1" applyProtection="1">
      <alignment horizontal="left"/>
      <protection locked="0"/>
    </xf>
    <xf numFmtId="0" fontId="7" fillId="3" borderId="9" xfId="0" applyNumberFormat="1" applyFont="1" applyFill="1" applyBorder="1" applyAlignment="1" applyProtection="1">
      <alignment horizontal="right"/>
      <protection locked="0"/>
    </xf>
    <xf numFmtId="0" fontId="7" fillId="3" borderId="9" xfId="0" quotePrefix="1" applyNumberFormat="1" applyFont="1" applyFill="1" applyBorder="1" applyAlignment="1" applyProtection="1">
      <alignment horizontal="left" wrapText="1"/>
      <protection locked="0"/>
    </xf>
    <xf numFmtId="0" fontId="7" fillId="3" borderId="9" xfId="6" applyFont="1" applyFill="1" applyBorder="1" applyAlignment="1" applyProtection="1">
      <alignment horizontal="left"/>
      <protection locked="0"/>
    </xf>
    <xf numFmtId="12" fontId="7" fillId="3" borderId="9" xfId="1" applyNumberFormat="1" applyFont="1" applyFill="1" applyBorder="1" applyAlignment="1" applyProtection="1">
      <alignment horizontal="left"/>
      <protection locked="0"/>
    </xf>
    <xf numFmtId="167" fontId="7" fillId="3" borderId="9" xfId="0" applyNumberFormat="1" applyFont="1" applyFill="1" applyBorder="1" applyAlignment="1" applyProtection="1">
      <alignment horizontal="left" wrapText="1"/>
      <protection locked="0"/>
    </xf>
    <xf numFmtId="0" fontId="7" fillId="3" borderId="9" xfId="0" applyFont="1" applyFill="1" applyBorder="1" applyAlignment="1" applyProtection="1">
      <alignment wrapText="1"/>
      <protection locked="0"/>
    </xf>
    <xf numFmtId="169" fontId="7" fillId="3" borderId="9" xfId="0" applyNumberFormat="1" applyFont="1" applyFill="1" applyBorder="1" applyAlignment="1" applyProtection="1">
      <alignment horizontal="left"/>
      <protection locked="0"/>
    </xf>
    <xf numFmtId="0" fontId="7" fillId="3" borderId="12" xfId="4" applyFont="1" applyFill="1" applyBorder="1" applyAlignment="1" applyProtection="1">
      <alignment horizontal="left"/>
      <protection locked="0"/>
    </xf>
    <xf numFmtId="0" fontId="7" fillId="3" borderId="9" xfId="4" applyNumberFormat="1" applyFont="1" applyFill="1" applyBorder="1" applyAlignment="1" applyProtection="1">
      <alignment horizontal="left"/>
      <protection locked="0"/>
    </xf>
    <xf numFmtId="0" fontId="7" fillId="3" borderId="9" xfId="0" applyFont="1" applyFill="1" applyBorder="1" applyAlignment="1" applyProtection="1">
      <protection locked="0"/>
    </xf>
    <xf numFmtId="0" fontId="7" fillId="3" borderId="41" xfId="0" applyNumberFormat="1" applyFont="1" applyFill="1" applyBorder="1" applyAlignment="1" applyProtection="1">
      <alignment horizontal="left"/>
      <protection locked="0"/>
    </xf>
    <xf numFmtId="0" fontId="7" fillId="3" borderId="16" xfId="0" applyNumberFormat="1" applyFont="1" applyFill="1" applyBorder="1" applyAlignment="1" applyProtection="1">
      <alignment horizontal="left"/>
      <protection locked="0"/>
    </xf>
    <xf numFmtId="49" fontId="7" fillId="3" borderId="16" xfId="0" applyNumberFormat="1" applyFont="1" applyFill="1" applyBorder="1" applyAlignment="1" applyProtection="1">
      <alignment horizontal="right"/>
      <protection locked="0"/>
    </xf>
    <xf numFmtId="166" fontId="7" fillId="3" borderId="16" xfId="1" applyNumberFormat="1" applyFont="1" applyFill="1" applyBorder="1" applyAlignment="1" applyProtection="1">
      <alignment horizontal="left"/>
      <protection locked="0"/>
    </xf>
    <xf numFmtId="0" fontId="7" fillId="3" borderId="16" xfId="0" applyNumberFormat="1" applyFont="1" applyFill="1" applyBorder="1" applyProtection="1">
      <protection locked="0"/>
    </xf>
    <xf numFmtId="167" fontId="7" fillId="3" borderId="16" xfId="0" applyNumberFormat="1" applyFont="1" applyFill="1" applyBorder="1" applyAlignment="1" applyProtection="1">
      <alignment horizontal="right"/>
      <protection locked="0"/>
    </xf>
    <xf numFmtId="167" fontId="7" fillId="3" borderId="16" xfId="0" applyNumberFormat="1" applyFont="1" applyFill="1" applyBorder="1" applyProtection="1">
      <protection locked="0"/>
    </xf>
    <xf numFmtId="169" fontId="7" fillId="3" borderId="17" xfId="0" applyNumberFormat="1" applyFont="1" applyFill="1" applyBorder="1" applyProtection="1">
      <protection locked="0"/>
    </xf>
    <xf numFmtId="0" fontId="7" fillId="6" borderId="7" xfId="0" applyFont="1" applyFill="1" applyBorder="1" applyAlignment="1" applyProtection="1">
      <alignment horizontal="right"/>
      <protection locked="0"/>
    </xf>
    <xf numFmtId="0" fontId="11" fillId="5" borderId="37" xfId="0" applyNumberFormat="1" applyFont="1" applyFill="1" applyBorder="1" applyAlignment="1" applyProtection="1">
      <alignment horizontal="center" vertical="center" wrapText="1"/>
      <protection locked="0"/>
    </xf>
    <xf numFmtId="0" fontId="11" fillId="5" borderId="16" xfId="0" applyNumberFormat="1" applyFont="1" applyFill="1" applyBorder="1" applyAlignment="1" applyProtection="1">
      <alignment horizontal="center" vertical="center" wrapText="1"/>
      <protection locked="0"/>
    </xf>
    <xf numFmtId="0" fontId="11" fillId="5" borderId="16" xfId="0" applyNumberFormat="1" applyFont="1" applyFill="1" applyBorder="1" applyAlignment="1" applyProtection="1">
      <alignment horizontal="center" vertical="center"/>
      <protection locked="0"/>
    </xf>
    <xf numFmtId="0" fontId="11" fillId="5" borderId="16" xfId="0" applyNumberFormat="1" applyFont="1" applyFill="1" applyBorder="1" applyAlignment="1" applyProtection="1">
      <alignment horizontal="left" vertical="center" wrapText="1"/>
      <protection locked="0"/>
    </xf>
    <xf numFmtId="0" fontId="11" fillId="7" borderId="16" xfId="0" applyNumberFormat="1" applyFont="1" applyFill="1" applyBorder="1" applyAlignment="1" applyProtection="1">
      <alignment horizontal="left" vertical="center" wrapText="1"/>
      <protection locked="0"/>
    </xf>
    <xf numFmtId="0" fontId="11" fillId="7" borderId="17" xfId="0" applyNumberFormat="1" applyFont="1" applyFill="1" applyBorder="1" applyAlignment="1" applyProtection="1">
      <alignment horizontal="left" vertical="center" wrapText="1"/>
      <protection locked="0"/>
    </xf>
    <xf numFmtId="166" fontId="7" fillId="3" borderId="9" xfId="1" applyNumberFormat="1" applyFont="1" applyFill="1" applyBorder="1" applyAlignment="1">
      <alignment horizontal="left" wrapText="1"/>
    </xf>
    <xf numFmtId="0" fontId="7" fillId="3" borderId="12" xfId="0" applyFont="1" applyFill="1" applyBorder="1" applyAlignment="1">
      <alignment horizontal="left" vertical="center" wrapText="1"/>
    </xf>
    <xf numFmtId="0" fontId="7" fillId="3" borderId="15" xfId="0" applyFont="1" applyFill="1" applyBorder="1" applyAlignment="1">
      <alignment horizontal="left" vertical="center"/>
    </xf>
    <xf numFmtId="0" fontId="7" fillId="3" borderId="41" xfId="0" applyFont="1" applyFill="1" applyBorder="1" applyAlignment="1">
      <alignment horizontal="left" vertical="center"/>
    </xf>
    <xf numFmtId="0" fontId="7" fillId="3" borderId="22" xfId="0" applyFont="1" applyFill="1" applyBorder="1" applyProtection="1">
      <protection locked="0"/>
    </xf>
    <xf numFmtId="0" fontId="7" fillId="3" borderId="14" xfId="0" applyFont="1" applyFill="1" applyBorder="1" applyProtection="1">
      <protection locked="0"/>
    </xf>
    <xf numFmtId="0" fontId="7" fillId="3" borderId="17" xfId="0" applyFont="1" applyFill="1" applyBorder="1" applyProtection="1">
      <protection locked="0"/>
    </xf>
    <xf numFmtId="167" fontId="7" fillId="3" borderId="9" xfId="0" applyNumberFormat="1" applyFont="1" applyFill="1" applyBorder="1" applyAlignment="1">
      <alignment wrapText="1"/>
    </xf>
    <xf numFmtId="0" fontId="7" fillId="3" borderId="41" xfId="0" applyFont="1" applyFill="1" applyBorder="1" applyAlignment="1">
      <alignment horizontal="left"/>
    </xf>
    <xf numFmtId="0" fontId="7" fillId="2" borderId="3" xfId="0" applyFont="1" applyFill="1" applyBorder="1" applyAlignment="1">
      <alignment horizontal="left" vertical="center" wrapText="1"/>
    </xf>
    <xf numFmtId="0" fontId="7" fillId="3" borderId="16" xfId="0" applyFont="1" applyFill="1" applyBorder="1" applyAlignment="1">
      <alignment horizontal="left" wrapText="1"/>
    </xf>
    <xf numFmtId="0" fontId="7" fillId="5" borderId="4" xfId="0" applyFont="1" applyFill="1" applyBorder="1" applyAlignment="1" applyProtection="1">
      <alignment horizontal="left"/>
    </xf>
    <xf numFmtId="0" fontId="7" fillId="5" borderId="0" xfId="0" applyFont="1" applyFill="1" applyBorder="1" applyAlignment="1" applyProtection="1">
      <alignment horizontal="left"/>
    </xf>
    <xf numFmtId="0" fontId="11" fillId="4" borderId="1" xfId="0" applyFont="1" applyFill="1" applyBorder="1" applyAlignment="1" applyProtection="1">
      <alignment horizontal="center"/>
    </xf>
    <xf numFmtId="0" fontId="11" fillId="4" borderId="2" xfId="0" applyFont="1" applyFill="1" applyBorder="1" applyAlignment="1" applyProtection="1">
      <alignment horizontal="center"/>
    </xf>
    <xf numFmtId="0" fontId="11" fillId="4" borderId="3" xfId="0" applyFont="1" applyFill="1" applyBorder="1" applyAlignment="1" applyProtection="1">
      <alignment horizontal="center"/>
    </xf>
    <xf numFmtId="0" fontId="11" fillId="4" borderId="18" xfId="0" applyFont="1" applyFill="1" applyBorder="1" applyAlignment="1" applyProtection="1">
      <alignment horizontal="center"/>
    </xf>
    <xf numFmtId="0" fontId="11" fillId="4" borderId="19" xfId="0" applyFont="1" applyFill="1" applyBorder="1" applyAlignment="1" applyProtection="1">
      <alignment horizontal="center"/>
    </xf>
    <xf numFmtId="0" fontId="11" fillId="4" borderId="26" xfId="0" applyFont="1" applyFill="1" applyBorder="1" applyAlignment="1" applyProtection="1">
      <alignment horizontal="center"/>
    </xf>
    <xf numFmtId="0" fontId="7" fillId="5" borderId="34" xfId="0" applyFont="1" applyFill="1" applyBorder="1" applyAlignment="1" applyProtection="1">
      <alignment horizontal="left"/>
    </xf>
    <xf numFmtId="0" fontId="7" fillId="5" borderId="35" xfId="0" applyFont="1" applyFill="1" applyBorder="1" applyAlignment="1" applyProtection="1">
      <alignment horizontal="left"/>
    </xf>
    <xf numFmtId="0" fontId="11" fillId="4" borderId="26" xfId="0" applyFont="1" applyFill="1" applyBorder="1" applyAlignment="1">
      <alignment horizontal="center"/>
    </xf>
    <xf numFmtId="0" fontId="11" fillId="4" borderId="18" xfId="0" applyFont="1" applyFill="1" applyBorder="1" applyAlignment="1">
      <alignment horizontal="center"/>
    </xf>
    <xf numFmtId="0" fontId="11" fillId="4" borderId="19" xfId="0" applyFont="1" applyFill="1" applyBorder="1" applyAlignment="1">
      <alignment horizontal="center"/>
    </xf>
    <xf numFmtId="0" fontId="10" fillId="7" borderId="10" xfId="0" applyFont="1" applyFill="1" applyBorder="1" applyAlignment="1" applyProtection="1">
      <alignment horizontal="left" vertical="center" wrapText="1"/>
    </xf>
    <xf numFmtId="0" fontId="10" fillId="7" borderId="11" xfId="0" applyFont="1" applyFill="1" applyBorder="1" applyAlignment="1" applyProtection="1">
      <alignment horizontal="left" vertical="center" wrapText="1"/>
    </xf>
    <xf numFmtId="0" fontId="7" fillId="7" borderId="0" xfId="0" applyFont="1" applyFill="1" applyBorder="1" applyAlignment="1">
      <alignment horizontal="left" vertical="center" wrapText="1"/>
    </xf>
    <xf numFmtId="0" fontId="7" fillId="7" borderId="5" xfId="0" applyFont="1" applyFill="1" applyBorder="1" applyAlignment="1">
      <alignment horizontal="left" vertical="center" wrapText="1"/>
    </xf>
    <xf numFmtId="0" fontId="11" fillId="4" borderId="1" xfId="0" applyFont="1" applyFill="1" applyBorder="1" applyAlignment="1">
      <alignment horizontal="center"/>
    </xf>
    <xf numFmtId="0" fontId="11" fillId="4" borderId="2" xfId="0" applyFont="1" applyFill="1" applyBorder="1" applyAlignment="1">
      <alignment horizontal="center"/>
    </xf>
    <xf numFmtId="0" fontId="11" fillId="4" borderId="3" xfId="0" applyFont="1" applyFill="1" applyBorder="1" applyAlignment="1">
      <alignment horizontal="center"/>
    </xf>
    <xf numFmtId="0" fontId="7" fillId="5" borderId="4" xfId="0" applyFont="1" applyFill="1" applyBorder="1" applyAlignment="1">
      <alignment horizontal="left"/>
    </xf>
    <xf numFmtId="0" fontId="7" fillId="5" borderId="0" xfId="0" applyFont="1" applyFill="1" applyBorder="1" applyAlignment="1">
      <alignment horizontal="left"/>
    </xf>
    <xf numFmtId="0" fontId="7" fillId="5" borderId="34" xfId="0" applyFont="1" applyFill="1" applyBorder="1" applyAlignment="1">
      <alignment horizontal="left"/>
    </xf>
    <xf numFmtId="0" fontId="7" fillId="5" borderId="35" xfId="0" applyFont="1" applyFill="1" applyBorder="1" applyAlignment="1">
      <alignment horizontal="left"/>
    </xf>
  </cellXfs>
  <cellStyles count="12">
    <cellStyle name="Comma" xfId="9" builtinId="3"/>
    <cellStyle name="Currency" xfId="10" builtinId="4"/>
    <cellStyle name="Hyperlink" xfId="11" builtinId="8"/>
    <cellStyle name="Komma 2" xfId="7" xr:uid="{00000000-0005-0000-0000-000003000000}"/>
    <cellStyle name="Normal" xfId="0" builtinId="0"/>
    <cellStyle name="Standard 10" xfId="4" xr:uid="{00000000-0005-0000-0000-000005000000}"/>
    <cellStyle name="Standard 2 2" xfId="5" xr:uid="{00000000-0005-0000-0000-000006000000}"/>
    <cellStyle name="Standard 2 4" xfId="3" xr:uid="{00000000-0005-0000-0000-000007000000}"/>
    <cellStyle name="Standard 3" xfId="6" xr:uid="{00000000-0005-0000-0000-000008000000}"/>
    <cellStyle name="Standard 6 2" xfId="8" xr:uid="{00000000-0005-0000-0000-000009000000}"/>
    <cellStyle name="Standard_Tabelle1 3" xfId="1" xr:uid="{00000000-0005-0000-0000-00000A000000}"/>
    <cellStyle name="Standard_Tabelle2" xfId="2" xr:uid="{00000000-0005-0000-0000-00000B000000}"/>
  </cellStyles>
  <dxfs count="10">
    <dxf>
      <fill>
        <patternFill>
          <bgColor theme="0" tint="-4.9989318521683403E-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colors>
    <mruColors>
      <color rgb="FFDFE1E1"/>
      <color rgb="FF9B0000"/>
      <color rgb="FFFFD97D"/>
      <color rgb="FFFFBF27"/>
      <color rgb="FFFFF2D4"/>
      <color rgb="FF3C4146"/>
      <color rgb="FFBE8600"/>
      <color rgb="FF6F4F00"/>
      <color rgb="FFFF8327"/>
      <color rgb="FFFF8B2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300"/>
            </a:pPr>
            <a:r>
              <a:rPr lang="de-DE" sz="1300"/>
              <a:t>Übersicht über die Grenzkosten der Kraftwerke</a:t>
            </a:r>
          </a:p>
        </c:rich>
      </c:tx>
      <c:layout>
        <c:manualLayout>
          <c:xMode val="edge"/>
          <c:yMode val="edge"/>
          <c:x val="0.28325542259686864"/>
          <c:y val="2.6107222273777542E-2"/>
        </c:manualLayout>
      </c:layout>
      <c:overlay val="0"/>
      <c:spPr>
        <a:solidFill>
          <a:sysClr val="window" lastClr="FFFFFF"/>
        </a:solidFill>
        <a:ln>
          <a:noFill/>
        </a:ln>
        <a:effectLst/>
      </c:spPr>
    </c:title>
    <c:autoTitleDeleted val="0"/>
    <c:plotArea>
      <c:layout>
        <c:manualLayout>
          <c:layoutTarget val="inner"/>
          <c:xMode val="edge"/>
          <c:yMode val="edge"/>
          <c:x val="9.5746953168022911E-2"/>
          <c:y val="0.18046698155872745"/>
          <c:w val="0.89001347420055799"/>
          <c:h val="0.71461516955892013"/>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f>'Hilfssheet Abbildung'!$C$11:$I$11</c:f>
                <c:numCache>
                  <c:formatCode>General</c:formatCode>
                  <c:ptCount val="7"/>
                  <c:pt idx="2">
                    <c:v>2.722645838128404</c:v>
                  </c:pt>
                  <c:pt idx="3">
                    <c:v>5.2156659572581319</c:v>
                  </c:pt>
                  <c:pt idx="4">
                    <c:v>7.9486702727067851</c:v>
                  </c:pt>
                  <c:pt idx="5">
                    <c:v>7.2631802767636628</c:v>
                  </c:pt>
                  <c:pt idx="6">
                    <c:v>4.6846107232604908</c:v>
                  </c:pt>
                </c:numCache>
              </c:numRef>
            </c:minus>
            <c:spPr>
              <a:noFill/>
              <a:ln w="25400" cap="flat" cmpd="sng" algn="ctr">
                <a:solidFill>
                  <a:schemeClr val="tx1">
                    <a:lumMod val="50000"/>
                    <a:lumOff val="50000"/>
                  </a:schemeClr>
                </a:solidFill>
                <a:prstDash val="solid"/>
              </a:ln>
              <a:effectLst/>
            </c:spPr>
          </c:errBars>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Abbildung'!$C$12:$I$12</c:f>
              <c:numCache>
                <c:formatCode>0.0</c:formatCode>
                <c:ptCount val="7"/>
                <c:pt idx="0">
                  <c:v>1</c:v>
                </c:pt>
                <c:pt idx="1">
                  <c:v>17.866666666666664</c:v>
                </c:pt>
                <c:pt idx="2">
                  <c:v>34.492756539235415</c:v>
                </c:pt>
                <c:pt idx="3">
                  <c:v>47.825586592178766</c:v>
                </c:pt>
                <c:pt idx="4">
                  <c:v>55.550957854406128</c:v>
                </c:pt>
                <c:pt idx="5">
                  <c:v>76.021585656206511</c:v>
                </c:pt>
                <c:pt idx="6">
                  <c:v>106.69652944356494</c:v>
                </c:pt>
              </c:numCache>
            </c:numRef>
          </c:val>
          <c:extLst>
            <c:ext xmlns:c16="http://schemas.microsoft.com/office/drawing/2014/chart" uri="{C3380CC4-5D6E-409C-BE32-E72D297353CC}">
              <c16:uniqueId val="{00000000-C1B7-4A39-901E-0E4271D678D4}"/>
            </c:ext>
          </c:extLst>
        </c:ser>
        <c:ser>
          <c:idx val="1"/>
          <c:order val="1"/>
          <c:tx>
            <c:strRef>
              <c:f>'Hilfssheet Abbildung'!$B$13</c:f>
              <c:strCache>
                <c:ptCount val="1"/>
                <c:pt idx="0">
                  <c:v>Median-Q1</c:v>
                </c:pt>
              </c:strCache>
            </c:strRef>
          </c:tx>
          <c:spPr>
            <a:ln w="19050" cap="sq">
              <a:solidFill>
                <a:schemeClr val="tx1">
                  <a:lumMod val="50000"/>
                  <a:lumOff val="50000"/>
                </a:schemeClr>
              </a:solidFill>
              <a:miter lim="800000"/>
            </a:ln>
          </c:spPr>
          <c:invertIfNegative val="0"/>
          <c:dPt>
            <c:idx val="0"/>
            <c:invertIfNegative val="0"/>
            <c:bubble3D val="0"/>
            <c:spPr>
              <a:solidFill>
                <a:srgbClr val="9B0000"/>
              </a:solidFill>
              <a:ln w="19050" cap="sq">
                <a:solidFill>
                  <a:srgbClr val="9B0000"/>
                </a:solidFill>
                <a:miter lim="800000"/>
              </a:ln>
            </c:spPr>
            <c:extLst>
              <c:ext xmlns:c16="http://schemas.microsoft.com/office/drawing/2014/chart" uri="{C3380CC4-5D6E-409C-BE32-E72D297353CC}">
                <c16:uniqueId val="{00000002-C1B7-4A39-901E-0E4271D678D4}"/>
              </c:ext>
            </c:extLst>
          </c:dPt>
          <c:dPt>
            <c:idx val="1"/>
            <c:invertIfNegative val="0"/>
            <c:bubble3D val="0"/>
            <c:spPr>
              <a:solidFill>
                <a:srgbClr val="FFFF00"/>
              </a:solidFill>
              <a:ln w="19050" cap="sq">
                <a:solidFill>
                  <a:srgbClr val="FFFF00"/>
                </a:solidFill>
                <a:miter lim="800000"/>
              </a:ln>
            </c:spPr>
            <c:extLst>
              <c:ext xmlns:c16="http://schemas.microsoft.com/office/drawing/2014/chart" uri="{C3380CC4-5D6E-409C-BE32-E72D297353CC}">
                <c16:uniqueId val="{00000004-C1B7-4A39-901E-0E4271D678D4}"/>
              </c:ext>
            </c:extLst>
          </c:dPt>
          <c:dPt>
            <c:idx val="2"/>
            <c:invertIfNegative val="0"/>
            <c:bubble3D val="0"/>
            <c:spPr>
              <a:solidFill>
                <a:srgbClr val="6F4F00"/>
              </a:solidFill>
              <a:ln w="19050" cap="sq">
                <a:solidFill>
                  <a:schemeClr val="tx1">
                    <a:lumMod val="50000"/>
                    <a:lumOff val="50000"/>
                  </a:schemeClr>
                </a:solidFill>
                <a:miter lim="800000"/>
              </a:ln>
            </c:spPr>
            <c:extLst>
              <c:ext xmlns:c16="http://schemas.microsoft.com/office/drawing/2014/chart" uri="{C3380CC4-5D6E-409C-BE32-E72D297353CC}">
                <c16:uniqueId val="{00000006-C1B7-4A39-901E-0E4271D678D4}"/>
              </c:ext>
            </c:extLst>
          </c:dPt>
          <c:dPt>
            <c:idx val="3"/>
            <c:invertIfNegative val="0"/>
            <c:bubble3D val="0"/>
            <c:spPr>
              <a:solidFill>
                <a:schemeClr val="tx1"/>
              </a:solidFill>
              <a:ln w="19050" cap="sq">
                <a:solidFill>
                  <a:schemeClr val="tx1">
                    <a:lumMod val="50000"/>
                    <a:lumOff val="50000"/>
                  </a:schemeClr>
                </a:solidFill>
                <a:miter lim="800000"/>
              </a:ln>
            </c:spPr>
            <c:extLst>
              <c:ext xmlns:c16="http://schemas.microsoft.com/office/drawing/2014/chart" uri="{C3380CC4-5D6E-409C-BE32-E72D297353CC}">
                <c16:uniqueId val="{00000008-C1B7-4A39-901E-0E4271D678D4}"/>
              </c:ext>
            </c:extLst>
          </c:dPt>
          <c:dPt>
            <c:idx val="4"/>
            <c:invertIfNegative val="0"/>
            <c:bubble3D val="0"/>
            <c:spPr>
              <a:solidFill>
                <a:srgbClr val="BE8600"/>
              </a:solidFill>
              <a:ln w="19050" cap="sq">
                <a:solidFill>
                  <a:schemeClr val="tx1">
                    <a:lumMod val="50000"/>
                    <a:lumOff val="50000"/>
                  </a:schemeClr>
                </a:solidFill>
                <a:miter lim="800000"/>
              </a:ln>
            </c:spPr>
            <c:extLst>
              <c:ext xmlns:c16="http://schemas.microsoft.com/office/drawing/2014/chart" uri="{C3380CC4-5D6E-409C-BE32-E72D297353CC}">
                <c16:uniqueId val="{0000000A-C1B7-4A39-901E-0E4271D678D4}"/>
              </c:ext>
            </c:extLst>
          </c:dPt>
          <c:dPt>
            <c:idx val="5"/>
            <c:invertIfNegative val="0"/>
            <c:bubble3D val="0"/>
            <c:spPr>
              <a:solidFill>
                <a:srgbClr val="FFBF27"/>
              </a:solidFill>
              <a:ln w="19050" cap="sq">
                <a:solidFill>
                  <a:schemeClr val="tx1">
                    <a:lumMod val="50000"/>
                    <a:lumOff val="50000"/>
                  </a:schemeClr>
                </a:solidFill>
                <a:miter lim="800000"/>
              </a:ln>
            </c:spPr>
            <c:extLst>
              <c:ext xmlns:c16="http://schemas.microsoft.com/office/drawing/2014/chart" uri="{C3380CC4-5D6E-409C-BE32-E72D297353CC}">
                <c16:uniqueId val="{0000000C-C1B7-4A39-901E-0E4271D678D4}"/>
              </c:ext>
            </c:extLst>
          </c:dPt>
          <c:dPt>
            <c:idx val="6"/>
            <c:invertIfNegative val="0"/>
            <c:bubble3D val="0"/>
            <c:spPr>
              <a:solidFill>
                <a:srgbClr val="3C4146"/>
              </a:solidFill>
              <a:ln w="19050" cap="sq">
                <a:solidFill>
                  <a:schemeClr val="tx1">
                    <a:lumMod val="50000"/>
                    <a:lumOff val="50000"/>
                  </a:schemeClr>
                </a:solidFill>
                <a:miter lim="800000"/>
              </a:ln>
            </c:spPr>
            <c:extLst>
              <c:ext xmlns:c16="http://schemas.microsoft.com/office/drawing/2014/chart" uri="{C3380CC4-5D6E-409C-BE32-E72D297353CC}">
                <c16:uniqueId val="{0000000E-C1B7-4A39-901E-0E4271D678D4}"/>
              </c:ext>
            </c:extLst>
          </c:dPt>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Abbildung'!$C$13:$I$13</c:f>
              <c:numCache>
                <c:formatCode>0.0</c:formatCode>
                <c:ptCount val="7"/>
                <c:pt idx="0">
                  <c:v>0.1</c:v>
                </c:pt>
                <c:pt idx="1">
                  <c:v>0.1</c:v>
                </c:pt>
                <c:pt idx="2">
                  <c:v>0.81136717210479503</c:v>
                </c:pt>
                <c:pt idx="3">
                  <c:v>4.882314642389133</c:v>
                </c:pt>
                <c:pt idx="4">
                  <c:v>16.030015816731471</c:v>
                </c:pt>
                <c:pt idx="5">
                  <c:v>3.8132069033169245</c:v>
                </c:pt>
                <c:pt idx="6">
                  <c:v>5.8181575840494446</c:v>
                </c:pt>
              </c:numCache>
            </c:numRef>
          </c:val>
          <c:extLst>
            <c:ext xmlns:c16="http://schemas.microsoft.com/office/drawing/2014/chart" uri="{C3380CC4-5D6E-409C-BE32-E72D297353CC}">
              <c16:uniqueId val="{0000000F-C1B7-4A39-901E-0E4271D678D4}"/>
            </c:ext>
          </c:extLst>
        </c:ser>
        <c:ser>
          <c:idx val="2"/>
          <c:order val="2"/>
          <c:tx>
            <c:strRef>
              <c:f>'Hilfssheet Abbildung'!$B$14</c:f>
              <c:strCache>
                <c:ptCount val="1"/>
                <c:pt idx="0">
                  <c:v>Q3-Median</c:v>
                </c:pt>
              </c:strCache>
            </c:strRef>
          </c:tx>
          <c:spPr>
            <a:ln w="19050" cap="sq">
              <a:solidFill>
                <a:schemeClr val="tx1">
                  <a:lumMod val="50000"/>
                  <a:lumOff val="50000"/>
                </a:schemeClr>
              </a:solidFill>
              <a:miter lim="800000"/>
            </a:ln>
          </c:spPr>
          <c:invertIfNegative val="0"/>
          <c:dPt>
            <c:idx val="0"/>
            <c:invertIfNegative val="0"/>
            <c:bubble3D val="0"/>
            <c:spPr>
              <a:solidFill>
                <a:srgbClr val="9B0000"/>
              </a:solidFill>
              <a:ln w="19050" cap="sq">
                <a:solidFill>
                  <a:srgbClr val="9B0000"/>
                </a:solidFill>
                <a:miter lim="800000"/>
              </a:ln>
            </c:spPr>
            <c:extLst>
              <c:ext xmlns:c16="http://schemas.microsoft.com/office/drawing/2014/chart" uri="{C3380CC4-5D6E-409C-BE32-E72D297353CC}">
                <c16:uniqueId val="{00000011-C1B7-4A39-901E-0E4271D678D4}"/>
              </c:ext>
            </c:extLst>
          </c:dPt>
          <c:dPt>
            <c:idx val="1"/>
            <c:invertIfNegative val="0"/>
            <c:bubble3D val="0"/>
            <c:spPr>
              <a:solidFill>
                <a:srgbClr val="FFFF00"/>
              </a:solidFill>
              <a:ln w="19050" cap="sq">
                <a:solidFill>
                  <a:srgbClr val="FFFF00"/>
                </a:solidFill>
                <a:miter lim="800000"/>
              </a:ln>
            </c:spPr>
            <c:extLst>
              <c:ext xmlns:c16="http://schemas.microsoft.com/office/drawing/2014/chart" uri="{C3380CC4-5D6E-409C-BE32-E72D297353CC}">
                <c16:uniqueId val="{00000013-C1B7-4A39-901E-0E4271D678D4}"/>
              </c:ext>
            </c:extLst>
          </c:dPt>
          <c:dPt>
            <c:idx val="2"/>
            <c:invertIfNegative val="0"/>
            <c:bubble3D val="0"/>
            <c:spPr>
              <a:solidFill>
                <a:srgbClr val="6F4F00"/>
              </a:solidFill>
              <a:ln w="19050" cap="sq">
                <a:solidFill>
                  <a:schemeClr val="tx1">
                    <a:lumMod val="50000"/>
                    <a:lumOff val="50000"/>
                  </a:schemeClr>
                </a:solidFill>
                <a:miter lim="800000"/>
              </a:ln>
            </c:spPr>
            <c:extLst>
              <c:ext xmlns:c16="http://schemas.microsoft.com/office/drawing/2014/chart" uri="{C3380CC4-5D6E-409C-BE32-E72D297353CC}">
                <c16:uniqueId val="{00000015-C1B7-4A39-901E-0E4271D678D4}"/>
              </c:ext>
            </c:extLst>
          </c:dPt>
          <c:dPt>
            <c:idx val="3"/>
            <c:invertIfNegative val="0"/>
            <c:bubble3D val="0"/>
            <c:spPr>
              <a:solidFill>
                <a:schemeClr val="tx1"/>
              </a:solidFill>
              <a:ln w="19050" cap="sq">
                <a:solidFill>
                  <a:schemeClr val="tx1">
                    <a:lumMod val="50000"/>
                    <a:lumOff val="50000"/>
                  </a:schemeClr>
                </a:solidFill>
                <a:miter lim="800000"/>
              </a:ln>
            </c:spPr>
            <c:extLst>
              <c:ext xmlns:c16="http://schemas.microsoft.com/office/drawing/2014/chart" uri="{C3380CC4-5D6E-409C-BE32-E72D297353CC}">
                <c16:uniqueId val="{00000017-C1B7-4A39-901E-0E4271D678D4}"/>
              </c:ext>
            </c:extLst>
          </c:dPt>
          <c:dPt>
            <c:idx val="4"/>
            <c:invertIfNegative val="0"/>
            <c:bubble3D val="0"/>
            <c:spPr>
              <a:solidFill>
                <a:srgbClr val="BE8600"/>
              </a:solidFill>
              <a:ln w="19050" cap="sq">
                <a:solidFill>
                  <a:schemeClr val="tx1">
                    <a:lumMod val="50000"/>
                    <a:lumOff val="50000"/>
                  </a:schemeClr>
                </a:solidFill>
                <a:miter lim="800000"/>
              </a:ln>
            </c:spPr>
            <c:extLst>
              <c:ext xmlns:c16="http://schemas.microsoft.com/office/drawing/2014/chart" uri="{C3380CC4-5D6E-409C-BE32-E72D297353CC}">
                <c16:uniqueId val="{00000019-C1B7-4A39-901E-0E4271D678D4}"/>
              </c:ext>
            </c:extLst>
          </c:dPt>
          <c:dPt>
            <c:idx val="5"/>
            <c:invertIfNegative val="0"/>
            <c:bubble3D val="0"/>
            <c:spPr>
              <a:solidFill>
                <a:srgbClr val="FFBF27"/>
              </a:solidFill>
              <a:ln w="19050" cap="sq">
                <a:solidFill>
                  <a:schemeClr val="tx1">
                    <a:lumMod val="50000"/>
                    <a:lumOff val="50000"/>
                  </a:schemeClr>
                </a:solidFill>
                <a:miter lim="800000"/>
              </a:ln>
            </c:spPr>
            <c:extLst>
              <c:ext xmlns:c16="http://schemas.microsoft.com/office/drawing/2014/chart" uri="{C3380CC4-5D6E-409C-BE32-E72D297353CC}">
                <c16:uniqueId val="{0000001B-C1B7-4A39-901E-0E4271D678D4}"/>
              </c:ext>
            </c:extLst>
          </c:dPt>
          <c:dPt>
            <c:idx val="6"/>
            <c:invertIfNegative val="0"/>
            <c:bubble3D val="0"/>
            <c:spPr>
              <a:solidFill>
                <a:srgbClr val="3C4146"/>
              </a:solidFill>
              <a:ln w="19050" cap="sq">
                <a:solidFill>
                  <a:schemeClr val="tx1">
                    <a:lumMod val="50000"/>
                    <a:lumOff val="50000"/>
                  </a:schemeClr>
                </a:solidFill>
                <a:miter lim="800000"/>
              </a:ln>
            </c:spPr>
            <c:extLst>
              <c:ext xmlns:c16="http://schemas.microsoft.com/office/drawing/2014/chart" uri="{C3380CC4-5D6E-409C-BE32-E72D297353CC}">
                <c16:uniqueId val="{0000001D-C1B7-4A39-901E-0E4271D678D4}"/>
              </c:ext>
            </c:extLst>
          </c:dPt>
          <c:errBars>
            <c:errBarType val="plus"/>
            <c:errValType val="cust"/>
            <c:noEndCap val="0"/>
            <c:plus>
              <c:numRef>
                <c:f>'Hilfssheet Abbildung'!$C$15:$I$15</c:f>
                <c:numCache>
                  <c:formatCode>General</c:formatCode>
                  <c:ptCount val="7"/>
                  <c:pt idx="2">
                    <c:v>26.584035622217016</c:v>
                  </c:pt>
                  <c:pt idx="3">
                    <c:v>35.470805753386387</c:v>
                  </c:pt>
                  <c:pt idx="4">
                    <c:v>82.615880773048389</c:v>
                  </c:pt>
                  <c:pt idx="5">
                    <c:v>11.153215725900779</c:v>
                  </c:pt>
                  <c:pt idx="6">
                    <c:v>10.356502334437735</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f>'Hilfssheet Abbildung'!$C$10:$I$10</c:f>
              <c:strCache>
                <c:ptCount val="7"/>
                <c:pt idx="0">
                  <c:v>Abfall</c:v>
                </c:pt>
                <c:pt idx="1">
                  <c:v>Kernenergie</c:v>
                </c:pt>
                <c:pt idx="2">
                  <c:v>Braunkohle</c:v>
                </c:pt>
                <c:pt idx="3">
                  <c:v>Steinkohle</c:v>
                </c:pt>
                <c:pt idx="4">
                  <c:v>GuD</c:v>
                </c:pt>
                <c:pt idx="5">
                  <c:v>Gasturbine</c:v>
                </c:pt>
                <c:pt idx="6">
                  <c:v>Öl</c:v>
                </c:pt>
              </c:strCache>
            </c:strRef>
          </c:cat>
          <c:val>
            <c:numRef>
              <c:f>'Hilfssheet Abbildung'!$C$14:$I$14</c:f>
              <c:numCache>
                <c:formatCode>0.0</c:formatCode>
                <c:ptCount val="7"/>
                <c:pt idx="0">
                  <c:v>0.1</c:v>
                </c:pt>
                <c:pt idx="1">
                  <c:v>0.1</c:v>
                </c:pt>
                <c:pt idx="2">
                  <c:v>4.7441115827774354</c:v>
                </c:pt>
                <c:pt idx="3">
                  <c:v>2.6705403238736523</c:v>
                </c:pt>
                <c:pt idx="4">
                  <c:v>4.0509233335917827</c:v>
                </c:pt>
                <c:pt idx="5">
                  <c:v>12.238803308778685</c:v>
                </c:pt>
                <c:pt idx="6">
                  <c:v>9.8157210904524561</c:v>
                </c:pt>
              </c:numCache>
            </c:numRef>
          </c:val>
          <c:extLst>
            <c:ext xmlns:c16="http://schemas.microsoft.com/office/drawing/2014/chart" uri="{C3380CC4-5D6E-409C-BE32-E72D297353CC}">
              <c16:uniqueId val="{0000001E-C1B7-4A39-901E-0E4271D678D4}"/>
            </c:ext>
          </c:extLst>
        </c:ser>
        <c:dLbls>
          <c:showLegendKey val="0"/>
          <c:showVal val="0"/>
          <c:showCatName val="0"/>
          <c:showSerName val="0"/>
          <c:showPercent val="0"/>
          <c:showBubbleSize val="0"/>
        </c:dLbls>
        <c:gapWidth val="100"/>
        <c:overlap val="100"/>
        <c:axId val="820276608"/>
        <c:axId val="820282592"/>
      </c:barChart>
      <c:catAx>
        <c:axId val="82027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nl-NL"/>
          </a:p>
        </c:txPr>
        <c:crossAx val="820282592"/>
        <c:crosses val="autoZero"/>
        <c:auto val="1"/>
        <c:lblAlgn val="ctr"/>
        <c:lblOffset val="100"/>
        <c:noMultiLvlLbl val="0"/>
      </c:catAx>
      <c:valAx>
        <c:axId val="820282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vert="horz"/>
              <a:lstStyle/>
              <a:p>
                <a:pPr>
                  <a:defRPr/>
                </a:pPr>
                <a:r>
                  <a:rPr lang="en-US"/>
                  <a:t>EUR/MWh</a:t>
                </a:r>
                <a:r>
                  <a:rPr lang="en-US" baseline="-25000"/>
                  <a:t>el</a:t>
                </a:r>
              </a:p>
            </c:rich>
          </c:tx>
          <c:layout>
            <c:manualLayout>
              <c:xMode val="edge"/>
              <c:yMode val="edge"/>
              <c:x val="2.436372364626091E-2"/>
              <c:y val="8.3474979942370311E-2"/>
            </c:manualLayout>
          </c:layout>
          <c:overlay val="0"/>
          <c:spPr>
            <a:solidFill>
              <a:sysClr val="window" lastClr="FFFFFF"/>
            </a:solidFill>
          </c:spPr>
        </c:title>
        <c:numFmt formatCode="0" sourceLinked="0"/>
        <c:majorTickMark val="out"/>
        <c:minorTickMark val="none"/>
        <c:tickLblPos val="nextTo"/>
        <c:spPr>
          <a:ln w="9525">
            <a:solidFill>
              <a:schemeClr val="bg1">
                <a:lumMod val="85000"/>
              </a:schemeClr>
            </a:solidFill>
          </a:ln>
        </c:spPr>
        <c:txPr>
          <a:bodyPr rot="-60000000" vert="horz"/>
          <a:lstStyle/>
          <a:p>
            <a:pPr>
              <a:defRPr/>
            </a:pPr>
            <a:endParaRPr lang="nl-NL"/>
          </a:p>
        </c:txPr>
        <c:crossAx val="82027660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sz="1200" b="0">
          <a:solidFill>
            <a:schemeClr val="tx1">
              <a:lumMod val="65000"/>
              <a:lumOff val="35000"/>
            </a:schemeClr>
          </a:solidFill>
          <a:latin typeface="Trebuchet MS" panose="020B0603020202020204" pitchFamily="34" charset="0"/>
        </a:defRPr>
      </a:pPr>
      <a:endParaRPr lang="nl-NL"/>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579853712883875E-2"/>
          <c:y val="0.10168517791581037"/>
          <c:w val="0.738364521990442"/>
          <c:h val="0.74136028817512167"/>
        </c:manualLayout>
      </c:layout>
      <c:areaChart>
        <c:grouping val="standard"/>
        <c:varyColors val="0"/>
        <c:ser>
          <c:idx val="1"/>
          <c:order val="0"/>
          <c:tx>
            <c:strRef>
              <c:f>'Backend II'!$C$1</c:f>
              <c:strCache>
                <c:ptCount val="1"/>
                <c:pt idx="0">
                  <c:v> Abfall </c:v>
                </c:pt>
              </c:strCache>
            </c:strRef>
          </c:tx>
          <c:spPr>
            <a:solidFill>
              <a:srgbClr val="9B00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II'!$C$2:$C$461</c:f>
              <c:numCache>
                <c:formatCode>_-* #,##0.00\ "€"_-;\-* #,##0.00\ "€"_-;_-* "-"??\ "€"_-;_-@_-</c:formatCode>
                <c:ptCount val="460"/>
                <c:pt idx="0">
                  <c:v>1</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0-36EA-4B5A-A753-59A5F0DC6440}"/>
            </c:ext>
          </c:extLst>
        </c:ser>
        <c:ser>
          <c:idx val="2"/>
          <c:order val="1"/>
          <c:tx>
            <c:strRef>
              <c:f>'Backend II'!$D$1</c:f>
              <c:strCache>
                <c:ptCount val="1"/>
                <c:pt idx="0">
                  <c:v> Kernenergie </c:v>
                </c:pt>
              </c:strCache>
            </c:strRef>
          </c:tx>
          <c:spPr>
            <a:solidFill>
              <a:srgbClr val="FFFF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II'!$D$2:$D$461</c:f>
              <c:numCache>
                <c:formatCode>_-* #,##0.00\ "€"_-;\-* #,##0.00\ "€"_-;_-* "-"??\ "€"_-;_-@_-</c:formatCode>
                <c:ptCount val="460"/>
                <c:pt idx="0">
                  <c:v>0</c:v>
                </c:pt>
                <c:pt idx="1">
                  <c:v>0</c:v>
                </c:pt>
                <c:pt idx="2">
                  <c:v>17.866700000000002</c:v>
                </c:pt>
                <c:pt idx="3">
                  <c:v>17.866700000000002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1-36EA-4B5A-A753-59A5F0DC6440}"/>
            </c:ext>
          </c:extLst>
        </c:ser>
        <c:ser>
          <c:idx val="3"/>
          <c:order val="2"/>
          <c:tx>
            <c:strRef>
              <c:f>'Backend II'!$E$1</c:f>
              <c:strCache>
                <c:ptCount val="1"/>
                <c:pt idx="0">
                  <c:v> Braunkohle </c:v>
                </c:pt>
              </c:strCache>
            </c:strRef>
          </c:tx>
          <c:spPr>
            <a:solidFill>
              <a:srgbClr val="6F4F00"/>
            </a:solidFill>
            <a:ln>
              <a:noFill/>
              <a:prstDash val="solid"/>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II'!$E$2:$E$461</c:f>
              <c:numCache>
                <c:formatCode>_-* #,##0.00\ "€"_-;\-* #,##0.00\ "€"_-;_-* "-"??\ "€"_-;_-@_-</c:formatCode>
                <c:ptCount val="460"/>
                <c:pt idx="0">
                  <c:v>0</c:v>
                </c:pt>
                <c:pt idx="1">
                  <c:v>0</c:v>
                </c:pt>
                <c:pt idx="2">
                  <c:v>0</c:v>
                </c:pt>
                <c:pt idx="3">
                  <c:v>0</c:v>
                </c:pt>
                <c:pt idx="4">
                  <c:v>31.770099999999999</c:v>
                </c:pt>
                <c:pt idx="5">
                  <c:v>31.770099999999999</c:v>
                </c:pt>
                <c:pt idx="6">
                  <c:v>31.9375</c:v>
                </c:pt>
                <c:pt idx="7">
                  <c:v>31.9375</c:v>
                </c:pt>
                <c:pt idx="8">
                  <c:v>32.106699999999996</c:v>
                </c:pt>
                <c:pt idx="9">
                  <c:v>32.106699999999996</c:v>
                </c:pt>
                <c:pt idx="10">
                  <c:v>32.450899999999997</c:v>
                </c:pt>
                <c:pt idx="11">
                  <c:v>32.450899999999997</c:v>
                </c:pt>
                <c:pt idx="12">
                  <c:v>32.625999999999998</c:v>
                </c:pt>
                <c:pt idx="13">
                  <c:v>32.625999999999998</c:v>
                </c:pt>
                <c:pt idx="14">
                  <c:v>32.803100000000001</c:v>
                </c:pt>
                <c:pt idx="15">
                  <c:v>32.803100000000001</c:v>
                </c:pt>
                <c:pt idx="16">
                  <c:v>33.909500000000001</c:v>
                </c:pt>
                <c:pt idx="17">
                  <c:v>33.909500000000001</c:v>
                </c:pt>
                <c:pt idx="18">
                  <c:v>34.295999999999999</c:v>
                </c:pt>
                <c:pt idx="19">
                  <c:v>34.295999999999999</c:v>
                </c:pt>
                <c:pt idx="20">
                  <c:v>34.492800000000003</c:v>
                </c:pt>
                <c:pt idx="21">
                  <c:v>34.492800000000003</c:v>
                </c:pt>
                <c:pt idx="22">
                  <c:v>34.691899999999997</c:v>
                </c:pt>
                <c:pt idx="23">
                  <c:v>34.691899999999997</c:v>
                </c:pt>
                <c:pt idx="24">
                  <c:v>34.893500000000003</c:v>
                </c:pt>
                <c:pt idx="25">
                  <c:v>34.893500000000003</c:v>
                </c:pt>
                <c:pt idx="26">
                  <c:v>35.097499999999997</c:v>
                </c:pt>
                <c:pt idx="27">
                  <c:v>35.097499999999997</c:v>
                </c:pt>
                <c:pt idx="28">
                  <c:v>35.304099999999998</c:v>
                </c:pt>
                <c:pt idx="29">
                  <c:v>35.304099999999998</c:v>
                </c:pt>
                <c:pt idx="30">
                  <c:v>35.513300000000001</c:v>
                </c:pt>
                <c:pt idx="31">
                  <c:v>35.513300000000001</c:v>
                </c:pt>
                <c:pt idx="32">
                  <c:v>35.725099999999998</c:v>
                </c:pt>
                <c:pt idx="33">
                  <c:v>35.725099999999998</c:v>
                </c:pt>
                <c:pt idx="34">
                  <c:v>36.156700000000001</c:v>
                </c:pt>
                <c:pt idx="35">
                  <c:v>36.156700000000001</c:v>
                </c:pt>
                <c:pt idx="36">
                  <c:v>36.376600000000003</c:v>
                </c:pt>
                <c:pt idx="37">
                  <c:v>36.376600000000003</c:v>
                </c:pt>
                <c:pt idx="38">
                  <c:v>36.599400000000003</c:v>
                </c:pt>
                <c:pt idx="39">
                  <c:v>36.599400000000003</c:v>
                </c:pt>
                <c:pt idx="40">
                  <c:v>36.825000000000003</c:v>
                </c:pt>
                <c:pt idx="41">
                  <c:v>36.825000000000003</c:v>
                </c:pt>
                <c:pt idx="42">
                  <c:v>37.998399999999997</c:v>
                </c:pt>
                <c:pt idx="43">
                  <c:v>37.998399999999997</c:v>
                </c:pt>
                <c:pt idx="44">
                  <c:v>38.995199999999997</c:v>
                </c:pt>
                <c:pt idx="45">
                  <c:v>38.995199999999997</c:v>
                </c:pt>
                <c:pt idx="46">
                  <c:v>39.779400000000003</c:v>
                </c:pt>
                <c:pt idx="47">
                  <c:v>39.779400000000003</c:v>
                </c:pt>
                <c:pt idx="48">
                  <c:v>40.048200000000001</c:v>
                </c:pt>
                <c:pt idx="49">
                  <c:v>40.048200000000001</c:v>
                </c:pt>
                <c:pt idx="50">
                  <c:v>40.320900000000002</c:v>
                </c:pt>
                <c:pt idx="51">
                  <c:v>40.320900000000002</c:v>
                </c:pt>
                <c:pt idx="52">
                  <c:v>40.5974</c:v>
                </c:pt>
                <c:pt idx="53">
                  <c:v>40.5974</c:v>
                </c:pt>
                <c:pt idx="54">
                  <c:v>40.877899999999997</c:v>
                </c:pt>
                <c:pt idx="55">
                  <c:v>40.877899999999997</c:v>
                </c:pt>
                <c:pt idx="56">
                  <c:v>42.041600000000003</c:v>
                </c:pt>
                <c:pt idx="57">
                  <c:v>42.041600000000003</c:v>
                </c:pt>
                <c:pt idx="58">
                  <c:v>42.343400000000003</c:v>
                </c:pt>
                <c:pt idx="59">
                  <c:v>42.343400000000003</c:v>
                </c:pt>
                <c:pt idx="60">
                  <c:v>0</c:v>
                </c:pt>
                <c:pt idx="61">
                  <c:v>0</c:v>
                </c:pt>
                <c:pt idx="62">
                  <c:v>42.960799999999999</c:v>
                </c:pt>
                <c:pt idx="63">
                  <c:v>42.960799999999999</c:v>
                </c:pt>
                <c:pt idx="64">
                  <c:v>43.276499999999999</c:v>
                </c:pt>
                <c:pt idx="65">
                  <c:v>43.276499999999999</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53.113199999999999</c:v>
                </c:pt>
                <c:pt idx="135">
                  <c:v>53.113199999999999</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54.615600000000001</c:v>
                </c:pt>
                <c:pt idx="151">
                  <c:v>54.615600000000001</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66.632300000000001</c:v>
                </c:pt>
                <c:pt idx="211">
                  <c:v>66.632300000000001</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2-36EA-4B5A-A753-59A5F0DC6440}"/>
            </c:ext>
          </c:extLst>
        </c:ser>
        <c:ser>
          <c:idx val="4"/>
          <c:order val="3"/>
          <c:tx>
            <c:strRef>
              <c:f>'Backend II'!$F$1</c:f>
              <c:strCache>
                <c:ptCount val="1"/>
                <c:pt idx="0">
                  <c:v> Steinkohle </c:v>
                </c:pt>
              </c:strCache>
            </c:strRef>
          </c:tx>
          <c:spPr>
            <a:solidFill>
              <a:schemeClr val="tx1"/>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II'!$F$2:$F$461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42.609900000000003</c:v>
                </c:pt>
                <c:pt idx="61">
                  <c:v>42.609900000000003</c:v>
                </c:pt>
                <c:pt idx="62">
                  <c:v>0</c:v>
                </c:pt>
                <c:pt idx="63">
                  <c:v>0</c:v>
                </c:pt>
                <c:pt idx="64">
                  <c:v>0</c:v>
                </c:pt>
                <c:pt idx="65">
                  <c:v>0</c:v>
                </c:pt>
                <c:pt idx="66">
                  <c:v>43.746899999999997</c:v>
                </c:pt>
                <c:pt idx="67">
                  <c:v>43.746899999999997</c:v>
                </c:pt>
                <c:pt idx="68">
                  <c:v>45.363900000000001</c:v>
                </c:pt>
                <c:pt idx="69">
                  <c:v>45.363900000000001</c:v>
                </c:pt>
                <c:pt idx="70">
                  <c:v>45.787599999999998</c:v>
                </c:pt>
                <c:pt idx="71">
                  <c:v>45.787599999999998</c:v>
                </c:pt>
                <c:pt idx="72">
                  <c:v>46.219499999999996</c:v>
                </c:pt>
                <c:pt idx="73">
                  <c:v>46.219499999999996</c:v>
                </c:pt>
                <c:pt idx="74">
                  <c:v>46.316600000000001</c:v>
                </c:pt>
                <c:pt idx="75">
                  <c:v>46.316600000000001</c:v>
                </c:pt>
                <c:pt idx="76">
                  <c:v>46.561300000000003</c:v>
                </c:pt>
                <c:pt idx="77">
                  <c:v>46.561300000000003</c:v>
                </c:pt>
                <c:pt idx="78">
                  <c:v>46.808599999999998</c:v>
                </c:pt>
                <c:pt idx="79">
                  <c:v>46.808599999999998</c:v>
                </c:pt>
                <c:pt idx="80">
                  <c:v>47.311500000000002</c:v>
                </c:pt>
                <c:pt idx="81">
                  <c:v>47.311500000000002</c:v>
                </c:pt>
                <c:pt idx="82">
                  <c:v>0</c:v>
                </c:pt>
                <c:pt idx="83">
                  <c:v>0</c:v>
                </c:pt>
                <c:pt idx="84">
                  <c:v>47.825600000000001</c:v>
                </c:pt>
                <c:pt idx="85">
                  <c:v>47.825600000000001</c:v>
                </c:pt>
                <c:pt idx="86">
                  <c:v>0</c:v>
                </c:pt>
                <c:pt idx="87">
                  <c:v>0</c:v>
                </c:pt>
                <c:pt idx="88">
                  <c:v>0</c:v>
                </c:pt>
                <c:pt idx="89">
                  <c:v>0</c:v>
                </c:pt>
                <c:pt idx="90">
                  <c:v>48.351300000000002</c:v>
                </c:pt>
                <c:pt idx="91">
                  <c:v>48.351300000000002</c:v>
                </c:pt>
                <c:pt idx="92">
                  <c:v>48.618600000000001</c:v>
                </c:pt>
                <c:pt idx="93">
                  <c:v>48.618600000000001</c:v>
                </c:pt>
                <c:pt idx="94">
                  <c:v>0</c:v>
                </c:pt>
                <c:pt idx="95">
                  <c:v>0</c:v>
                </c:pt>
                <c:pt idx="96">
                  <c:v>48.889000000000003</c:v>
                </c:pt>
                <c:pt idx="97">
                  <c:v>48.889000000000003</c:v>
                </c:pt>
                <c:pt idx="98">
                  <c:v>0</c:v>
                </c:pt>
                <c:pt idx="99">
                  <c:v>0</c:v>
                </c:pt>
                <c:pt idx="100">
                  <c:v>49.4392</c:v>
                </c:pt>
                <c:pt idx="101">
                  <c:v>49.4392</c:v>
                </c:pt>
                <c:pt idx="102">
                  <c:v>0</c:v>
                </c:pt>
                <c:pt idx="103">
                  <c:v>0</c:v>
                </c:pt>
                <c:pt idx="104">
                  <c:v>0</c:v>
                </c:pt>
                <c:pt idx="105">
                  <c:v>0</c:v>
                </c:pt>
                <c:pt idx="106">
                  <c:v>50.288699999999999</c:v>
                </c:pt>
                <c:pt idx="107">
                  <c:v>50.288699999999999</c:v>
                </c:pt>
                <c:pt idx="108">
                  <c:v>0</c:v>
                </c:pt>
                <c:pt idx="109">
                  <c:v>0</c:v>
                </c:pt>
                <c:pt idx="110">
                  <c:v>0</c:v>
                </c:pt>
                <c:pt idx="111">
                  <c:v>0</c:v>
                </c:pt>
                <c:pt idx="112">
                  <c:v>0</c:v>
                </c:pt>
                <c:pt idx="113">
                  <c:v>0</c:v>
                </c:pt>
                <c:pt idx="114">
                  <c:v>51.469200000000001</c:v>
                </c:pt>
                <c:pt idx="115">
                  <c:v>51.469200000000001</c:v>
                </c:pt>
                <c:pt idx="116">
                  <c:v>0</c:v>
                </c:pt>
                <c:pt idx="117">
                  <c:v>0</c:v>
                </c:pt>
                <c:pt idx="118">
                  <c:v>0</c:v>
                </c:pt>
                <c:pt idx="119">
                  <c:v>0</c:v>
                </c:pt>
                <c:pt idx="120">
                  <c:v>52.081000000000003</c:v>
                </c:pt>
                <c:pt idx="121">
                  <c:v>52.081000000000003</c:v>
                </c:pt>
                <c:pt idx="122">
                  <c:v>52.143000000000001</c:v>
                </c:pt>
                <c:pt idx="123">
                  <c:v>52.143000000000001</c:v>
                </c:pt>
                <c:pt idx="124">
                  <c:v>52.392499999999998</c:v>
                </c:pt>
                <c:pt idx="125">
                  <c:v>52.392499999999998</c:v>
                </c:pt>
                <c:pt idx="126">
                  <c:v>0</c:v>
                </c:pt>
                <c:pt idx="127">
                  <c:v>0</c:v>
                </c:pt>
                <c:pt idx="128">
                  <c:v>52.707900000000002</c:v>
                </c:pt>
                <c:pt idx="129">
                  <c:v>52.707900000000002</c:v>
                </c:pt>
                <c:pt idx="130">
                  <c:v>0</c:v>
                </c:pt>
                <c:pt idx="131">
                  <c:v>0</c:v>
                </c:pt>
                <c:pt idx="132">
                  <c:v>53.027200000000001</c:v>
                </c:pt>
                <c:pt idx="133">
                  <c:v>53.027200000000001</c:v>
                </c:pt>
                <c:pt idx="134">
                  <c:v>0</c:v>
                </c:pt>
                <c:pt idx="135">
                  <c:v>0</c:v>
                </c:pt>
                <c:pt idx="136">
                  <c:v>0</c:v>
                </c:pt>
                <c:pt idx="137">
                  <c:v>0</c:v>
                </c:pt>
                <c:pt idx="138">
                  <c:v>53.350499999999997</c:v>
                </c:pt>
                <c:pt idx="139">
                  <c:v>53.350499999999997</c:v>
                </c:pt>
                <c:pt idx="140">
                  <c:v>53.677900000000001</c:v>
                </c:pt>
                <c:pt idx="141">
                  <c:v>53.677900000000001</c:v>
                </c:pt>
                <c:pt idx="142">
                  <c:v>0</c:v>
                </c:pt>
                <c:pt idx="143">
                  <c:v>0</c:v>
                </c:pt>
                <c:pt idx="144">
                  <c:v>54.009399999999999</c:v>
                </c:pt>
                <c:pt idx="145">
                  <c:v>54.009399999999999</c:v>
                </c:pt>
                <c:pt idx="146">
                  <c:v>0</c:v>
                </c:pt>
                <c:pt idx="147">
                  <c:v>0</c:v>
                </c:pt>
                <c:pt idx="148">
                  <c:v>54.345100000000002</c:v>
                </c:pt>
                <c:pt idx="149">
                  <c:v>54.345100000000002</c:v>
                </c:pt>
                <c:pt idx="150">
                  <c:v>0</c:v>
                </c:pt>
                <c:pt idx="151">
                  <c:v>0</c:v>
                </c:pt>
                <c:pt idx="152">
                  <c:v>0</c:v>
                </c:pt>
                <c:pt idx="153">
                  <c:v>0</c:v>
                </c:pt>
                <c:pt idx="154">
                  <c:v>55.029499999999999</c:v>
                </c:pt>
                <c:pt idx="155">
                  <c:v>55.029499999999999</c:v>
                </c:pt>
                <c:pt idx="156">
                  <c:v>0</c:v>
                </c:pt>
                <c:pt idx="157">
                  <c:v>0</c:v>
                </c:pt>
                <c:pt idx="158">
                  <c:v>55.378399999999999</c:v>
                </c:pt>
                <c:pt idx="159">
                  <c:v>55.378399999999999</c:v>
                </c:pt>
                <c:pt idx="160">
                  <c:v>0</c:v>
                </c:pt>
                <c:pt idx="161">
                  <c:v>0</c:v>
                </c:pt>
                <c:pt idx="162">
                  <c:v>0</c:v>
                </c:pt>
                <c:pt idx="163">
                  <c:v>0</c:v>
                </c:pt>
                <c:pt idx="164">
                  <c:v>56.09</c:v>
                </c:pt>
                <c:pt idx="165">
                  <c:v>56.09</c:v>
                </c:pt>
                <c:pt idx="166">
                  <c:v>56.452800000000003</c:v>
                </c:pt>
                <c:pt idx="167">
                  <c:v>56.452800000000003</c:v>
                </c:pt>
                <c:pt idx="168">
                  <c:v>0</c:v>
                </c:pt>
                <c:pt idx="169">
                  <c:v>0</c:v>
                </c:pt>
                <c:pt idx="170">
                  <c:v>56.820500000000003</c:v>
                </c:pt>
                <c:pt idx="171">
                  <c:v>56.820500000000003</c:v>
                </c:pt>
                <c:pt idx="172">
                  <c:v>0</c:v>
                </c:pt>
                <c:pt idx="173">
                  <c:v>0</c:v>
                </c:pt>
                <c:pt idx="174">
                  <c:v>57.193199999999997</c:v>
                </c:pt>
                <c:pt idx="175">
                  <c:v>57.193199999999997</c:v>
                </c:pt>
                <c:pt idx="176">
                  <c:v>0</c:v>
                </c:pt>
                <c:pt idx="177">
                  <c:v>0</c:v>
                </c:pt>
                <c:pt idx="178">
                  <c:v>58.3416</c:v>
                </c:pt>
                <c:pt idx="179">
                  <c:v>58.3416</c:v>
                </c:pt>
                <c:pt idx="180">
                  <c:v>0</c:v>
                </c:pt>
                <c:pt idx="181">
                  <c:v>0</c:v>
                </c:pt>
                <c:pt idx="182">
                  <c:v>59.5383</c:v>
                </c:pt>
                <c:pt idx="183">
                  <c:v>59.5383</c:v>
                </c:pt>
                <c:pt idx="184">
                  <c:v>60.364400000000003</c:v>
                </c:pt>
                <c:pt idx="185">
                  <c:v>60.364400000000003</c:v>
                </c:pt>
                <c:pt idx="186">
                  <c:v>60.786299999999997</c:v>
                </c:pt>
                <c:pt idx="187">
                  <c:v>60.786299999999997</c:v>
                </c:pt>
                <c:pt idx="188">
                  <c:v>61.214199999999998</c:v>
                </c:pt>
                <c:pt idx="189">
                  <c:v>61.214199999999998</c:v>
                </c:pt>
                <c:pt idx="190">
                  <c:v>61.648400000000002</c:v>
                </c:pt>
                <c:pt idx="191">
                  <c:v>61.648400000000002</c:v>
                </c:pt>
                <c:pt idx="192">
                  <c:v>0</c:v>
                </c:pt>
                <c:pt idx="193">
                  <c:v>0</c:v>
                </c:pt>
                <c:pt idx="194">
                  <c:v>0</c:v>
                </c:pt>
                <c:pt idx="195">
                  <c:v>0</c:v>
                </c:pt>
                <c:pt idx="196">
                  <c:v>0</c:v>
                </c:pt>
                <c:pt idx="197">
                  <c:v>0</c:v>
                </c:pt>
                <c:pt idx="198">
                  <c:v>0</c:v>
                </c:pt>
                <c:pt idx="199">
                  <c:v>0</c:v>
                </c:pt>
                <c:pt idx="200">
                  <c:v>0</c:v>
                </c:pt>
                <c:pt idx="201">
                  <c:v>0</c:v>
                </c:pt>
                <c:pt idx="202">
                  <c:v>0</c:v>
                </c:pt>
                <c:pt idx="203">
                  <c:v>0</c:v>
                </c:pt>
                <c:pt idx="204">
                  <c:v>64.391499999999994</c:v>
                </c:pt>
                <c:pt idx="205">
                  <c:v>64.391499999999994</c:v>
                </c:pt>
                <c:pt idx="206">
                  <c:v>0</c:v>
                </c:pt>
                <c:pt idx="207">
                  <c:v>0</c:v>
                </c:pt>
                <c:pt idx="208">
                  <c:v>0</c:v>
                </c:pt>
                <c:pt idx="209">
                  <c:v>0</c:v>
                </c:pt>
                <c:pt idx="210">
                  <c:v>0</c:v>
                </c:pt>
                <c:pt idx="211">
                  <c:v>0</c:v>
                </c:pt>
                <c:pt idx="212">
                  <c:v>0</c:v>
                </c:pt>
                <c:pt idx="213">
                  <c:v>0</c:v>
                </c:pt>
                <c:pt idx="214">
                  <c:v>66.875399999999999</c:v>
                </c:pt>
                <c:pt idx="215">
                  <c:v>66.875399999999999</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90.849199999999996</c:v>
                </c:pt>
                <c:pt idx="357">
                  <c:v>90.849199999999996</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3-36EA-4B5A-A753-59A5F0DC6440}"/>
            </c:ext>
          </c:extLst>
        </c:ser>
        <c:ser>
          <c:idx val="5"/>
          <c:order val="4"/>
          <c:tx>
            <c:strRef>
              <c:f>'Backend II'!$G$1</c:f>
              <c:strCache>
                <c:ptCount val="1"/>
                <c:pt idx="0">
                  <c:v> GuD </c:v>
                </c:pt>
              </c:strCache>
            </c:strRef>
          </c:tx>
          <c:spPr>
            <a:solidFill>
              <a:srgbClr val="BE8600"/>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II'!$G$2:$G$461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47.6023</c:v>
                </c:pt>
                <c:pt idx="83">
                  <c:v>47.6023</c:v>
                </c:pt>
                <c:pt idx="84">
                  <c:v>0</c:v>
                </c:pt>
                <c:pt idx="85">
                  <c:v>0</c:v>
                </c:pt>
                <c:pt idx="86">
                  <c:v>47.943800000000003</c:v>
                </c:pt>
                <c:pt idx="87">
                  <c:v>47.943800000000003</c:v>
                </c:pt>
                <c:pt idx="88">
                  <c:v>48.290399999999998</c:v>
                </c:pt>
                <c:pt idx="89">
                  <c:v>48.290399999999998</c:v>
                </c:pt>
                <c:pt idx="90">
                  <c:v>0</c:v>
                </c:pt>
                <c:pt idx="91">
                  <c:v>0</c:v>
                </c:pt>
                <c:pt idx="92">
                  <c:v>0</c:v>
                </c:pt>
                <c:pt idx="93">
                  <c:v>0</c:v>
                </c:pt>
                <c:pt idx="94">
                  <c:v>48.642200000000003</c:v>
                </c:pt>
                <c:pt idx="95">
                  <c:v>48.642200000000003</c:v>
                </c:pt>
                <c:pt idx="96">
                  <c:v>0</c:v>
                </c:pt>
                <c:pt idx="97">
                  <c:v>0</c:v>
                </c:pt>
                <c:pt idx="98">
                  <c:v>49.361899999999999</c:v>
                </c:pt>
                <c:pt idx="99">
                  <c:v>49.361899999999999</c:v>
                </c:pt>
                <c:pt idx="100">
                  <c:v>0</c:v>
                </c:pt>
                <c:pt idx="101">
                  <c:v>0</c:v>
                </c:pt>
                <c:pt idx="102">
                  <c:v>49.7301</c:v>
                </c:pt>
                <c:pt idx="103">
                  <c:v>49.7301</c:v>
                </c:pt>
                <c:pt idx="104">
                  <c:v>50.103999999999999</c:v>
                </c:pt>
                <c:pt idx="105">
                  <c:v>50.103999999999999</c:v>
                </c:pt>
                <c:pt idx="106">
                  <c:v>0</c:v>
                </c:pt>
                <c:pt idx="107">
                  <c:v>0</c:v>
                </c:pt>
                <c:pt idx="108">
                  <c:v>50.483699999999999</c:v>
                </c:pt>
                <c:pt idx="109">
                  <c:v>50.483699999999999</c:v>
                </c:pt>
                <c:pt idx="110">
                  <c:v>50.869399999999999</c:v>
                </c:pt>
                <c:pt idx="111">
                  <c:v>50.869399999999999</c:v>
                </c:pt>
                <c:pt idx="112">
                  <c:v>51.261200000000002</c:v>
                </c:pt>
                <c:pt idx="113">
                  <c:v>51.261200000000002</c:v>
                </c:pt>
                <c:pt idx="114">
                  <c:v>0</c:v>
                </c:pt>
                <c:pt idx="115">
                  <c:v>0</c:v>
                </c:pt>
                <c:pt idx="116">
                  <c:v>51.659300000000002</c:v>
                </c:pt>
                <c:pt idx="117">
                  <c:v>51.659300000000002</c:v>
                </c:pt>
                <c:pt idx="118">
                  <c:v>52.063800000000001</c:v>
                </c:pt>
                <c:pt idx="119">
                  <c:v>52.063800000000001</c:v>
                </c:pt>
                <c:pt idx="120">
                  <c:v>0</c:v>
                </c:pt>
                <c:pt idx="121">
                  <c:v>0</c:v>
                </c:pt>
                <c:pt idx="122">
                  <c:v>0</c:v>
                </c:pt>
                <c:pt idx="123">
                  <c:v>0</c:v>
                </c:pt>
                <c:pt idx="124">
                  <c:v>0</c:v>
                </c:pt>
                <c:pt idx="125">
                  <c:v>0</c:v>
                </c:pt>
                <c:pt idx="126">
                  <c:v>52.474899999999998</c:v>
                </c:pt>
                <c:pt idx="127">
                  <c:v>52.474899999999998</c:v>
                </c:pt>
                <c:pt idx="128">
                  <c:v>0</c:v>
                </c:pt>
                <c:pt idx="129">
                  <c:v>0</c:v>
                </c:pt>
                <c:pt idx="130">
                  <c:v>52.892699999999998</c:v>
                </c:pt>
                <c:pt idx="131">
                  <c:v>52.892699999999998</c:v>
                </c:pt>
                <c:pt idx="132">
                  <c:v>0</c:v>
                </c:pt>
                <c:pt idx="133">
                  <c:v>0</c:v>
                </c:pt>
                <c:pt idx="134">
                  <c:v>0</c:v>
                </c:pt>
                <c:pt idx="135">
                  <c:v>0</c:v>
                </c:pt>
                <c:pt idx="136">
                  <c:v>53.317399999999999</c:v>
                </c:pt>
                <c:pt idx="137">
                  <c:v>53.317399999999999</c:v>
                </c:pt>
                <c:pt idx="138">
                  <c:v>0</c:v>
                </c:pt>
                <c:pt idx="139">
                  <c:v>0</c:v>
                </c:pt>
                <c:pt idx="140">
                  <c:v>0</c:v>
                </c:pt>
                <c:pt idx="141">
                  <c:v>0</c:v>
                </c:pt>
                <c:pt idx="142">
                  <c:v>53.749299999999998</c:v>
                </c:pt>
                <c:pt idx="143">
                  <c:v>53.749299999999998</c:v>
                </c:pt>
                <c:pt idx="144">
                  <c:v>0</c:v>
                </c:pt>
                <c:pt idx="145">
                  <c:v>0</c:v>
                </c:pt>
                <c:pt idx="146">
                  <c:v>54.188299999999998</c:v>
                </c:pt>
                <c:pt idx="147">
                  <c:v>54.188299999999998</c:v>
                </c:pt>
                <c:pt idx="148">
                  <c:v>0</c:v>
                </c:pt>
                <c:pt idx="149">
                  <c:v>0</c:v>
                </c:pt>
                <c:pt idx="150">
                  <c:v>0</c:v>
                </c:pt>
                <c:pt idx="151">
                  <c:v>0</c:v>
                </c:pt>
                <c:pt idx="152">
                  <c:v>54.634799999999998</c:v>
                </c:pt>
                <c:pt idx="153">
                  <c:v>54.634799999999998</c:v>
                </c:pt>
                <c:pt idx="154">
                  <c:v>0</c:v>
                </c:pt>
                <c:pt idx="155">
                  <c:v>0</c:v>
                </c:pt>
                <c:pt idx="156">
                  <c:v>55.088999999999999</c:v>
                </c:pt>
                <c:pt idx="157">
                  <c:v>55.088999999999999</c:v>
                </c:pt>
                <c:pt idx="158">
                  <c:v>0</c:v>
                </c:pt>
                <c:pt idx="159">
                  <c:v>0</c:v>
                </c:pt>
                <c:pt idx="160">
                  <c:v>55.551000000000002</c:v>
                </c:pt>
                <c:pt idx="161">
                  <c:v>55.551000000000002</c:v>
                </c:pt>
                <c:pt idx="162">
                  <c:v>56.021000000000001</c:v>
                </c:pt>
                <c:pt idx="163">
                  <c:v>56.021000000000001</c:v>
                </c:pt>
                <c:pt idx="164">
                  <c:v>0</c:v>
                </c:pt>
                <c:pt idx="165">
                  <c:v>0</c:v>
                </c:pt>
                <c:pt idx="166">
                  <c:v>0</c:v>
                </c:pt>
                <c:pt idx="167">
                  <c:v>0</c:v>
                </c:pt>
                <c:pt idx="168">
                  <c:v>56.499200000000002</c:v>
                </c:pt>
                <c:pt idx="169">
                  <c:v>56.499200000000002</c:v>
                </c:pt>
                <c:pt idx="170">
                  <c:v>0</c:v>
                </c:pt>
                <c:pt idx="171">
                  <c:v>0</c:v>
                </c:pt>
                <c:pt idx="172">
                  <c:v>56.985900000000001</c:v>
                </c:pt>
                <c:pt idx="173">
                  <c:v>56.985900000000001</c:v>
                </c:pt>
                <c:pt idx="174">
                  <c:v>0</c:v>
                </c:pt>
                <c:pt idx="175">
                  <c:v>0</c:v>
                </c:pt>
                <c:pt idx="176">
                  <c:v>57.481299999999997</c:v>
                </c:pt>
                <c:pt idx="177">
                  <c:v>57.481299999999997</c:v>
                </c:pt>
                <c:pt idx="178">
                  <c:v>0</c:v>
                </c:pt>
                <c:pt idx="179">
                  <c:v>0</c:v>
                </c:pt>
                <c:pt idx="180">
                  <c:v>58.499200000000002</c:v>
                </c:pt>
                <c:pt idx="181">
                  <c:v>58.499200000000002</c:v>
                </c:pt>
                <c:pt idx="182">
                  <c:v>0</c:v>
                </c:pt>
                <c:pt idx="183">
                  <c:v>0</c:v>
                </c:pt>
                <c:pt idx="184">
                  <c:v>0</c:v>
                </c:pt>
                <c:pt idx="185">
                  <c:v>0</c:v>
                </c:pt>
                <c:pt idx="186">
                  <c:v>0</c:v>
                </c:pt>
                <c:pt idx="187">
                  <c:v>0</c:v>
                </c:pt>
                <c:pt idx="188">
                  <c:v>0</c:v>
                </c:pt>
                <c:pt idx="189">
                  <c:v>0</c:v>
                </c:pt>
                <c:pt idx="190">
                  <c:v>0</c:v>
                </c:pt>
                <c:pt idx="191">
                  <c:v>0</c:v>
                </c:pt>
                <c:pt idx="192">
                  <c:v>62.809399999999997</c:v>
                </c:pt>
                <c:pt idx="193">
                  <c:v>62.809399999999997</c:v>
                </c:pt>
                <c:pt idx="194">
                  <c:v>62.996499999999997</c:v>
                </c:pt>
                <c:pt idx="195">
                  <c:v>62.996499999999997</c:v>
                </c:pt>
                <c:pt idx="196">
                  <c:v>63.184699999999999</c:v>
                </c:pt>
                <c:pt idx="197">
                  <c:v>63.184699999999999</c:v>
                </c:pt>
                <c:pt idx="198">
                  <c:v>63.374099999999999</c:v>
                </c:pt>
                <c:pt idx="199">
                  <c:v>63.374099999999999</c:v>
                </c:pt>
                <c:pt idx="200">
                  <c:v>63.578299999999999</c:v>
                </c:pt>
                <c:pt idx="201">
                  <c:v>63.578299999999999</c:v>
                </c:pt>
                <c:pt idx="202">
                  <c:v>64.199100000000001</c:v>
                </c:pt>
                <c:pt idx="203">
                  <c:v>64.199100000000001</c:v>
                </c:pt>
                <c:pt idx="204">
                  <c:v>0</c:v>
                </c:pt>
                <c:pt idx="205">
                  <c:v>0</c:v>
                </c:pt>
                <c:pt idx="206">
                  <c:v>65.3339</c:v>
                </c:pt>
                <c:pt idx="207">
                  <c:v>65.3339</c:v>
                </c:pt>
                <c:pt idx="208">
                  <c:v>65.536799999999999</c:v>
                </c:pt>
                <c:pt idx="209">
                  <c:v>65.536799999999999</c:v>
                </c:pt>
                <c:pt idx="210">
                  <c:v>0</c:v>
                </c:pt>
                <c:pt idx="211">
                  <c:v>0</c:v>
                </c:pt>
                <c:pt idx="212">
                  <c:v>66.811599999999999</c:v>
                </c:pt>
                <c:pt idx="213">
                  <c:v>66.811599999999999</c:v>
                </c:pt>
                <c:pt idx="214">
                  <c:v>0</c:v>
                </c:pt>
                <c:pt idx="215">
                  <c:v>0</c:v>
                </c:pt>
                <c:pt idx="216">
                  <c:v>67.421999999999997</c:v>
                </c:pt>
                <c:pt idx="217">
                  <c:v>67.421999999999997</c:v>
                </c:pt>
                <c:pt idx="218">
                  <c:v>68.2012</c:v>
                </c:pt>
                <c:pt idx="219">
                  <c:v>68.2012</c:v>
                </c:pt>
                <c:pt idx="220">
                  <c:v>0</c:v>
                </c:pt>
                <c:pt idx="221">
                  <c:v>0</c:v>
                </c:pt>
                <c:pt idx="222">
                  <c:v>68.918400000000005</c:v>
                </c:pt>
                <c:pt idx="223">
                  <c:v>68.918400000000005</c:v>
                </c:pt>
                <c:pt idx="224">
                  <c:v>0</c:v>
                </c:pt>
                <c:pt idx="225">
                  <c:v>0</c:v>
                </c:pt>
                <c:pt idx="226">
                  <c:v>69.651200000000003</c:v>
                </c:pt>
                <c:pt idx="227">
                  <c:v>69.651200000000003</c:v>
                </c:pt>
                <c:pt idx="228">
                  <c:v>70.400099999999995</c:v>
                </c:pt>
                <c:pt idx="229">
                  <c:v>70.400099999999995</c:v>
                </c:pt>
                <c:pt idx="230">
                  <c:v>71.200100000000006</c:v>
                </c:pt>
                <c:pt idx="231">
                  <c:v>71.200100000000006</c:v>
                </c:pt>
                <c:pt idx="232">
                  <c:v>71.39</c:v>
                </c:pt>
                <c:pt idx="233">
                  <c:v>71.39</c:v>
                </c:pt>
                <c:pt idx="234">
                  <c:v>71.581000000000003</c:v>
                </c:pt>
                <c:pt idx="235">
                  <c:v>71.581000000000003</c:v>
                </c:pt>
                <c:pt idx="236">
                  <c:v>71.965999999999994</c:v>
                </c:pt>
                <c:pt idx="237">
                  <c:v>71.965999999999994</c:v>
                </c:pt>
                <c:pt idx="238">
                  <c:v>72.036500000000004</c:v>
                </c:pt>
                <c:pt idx="239">
                  <c:v>72.036500000000004</c:v>
                </c:pt>
                <c:pt idx="240">
                  <c:v>72.160200000000003</c:v>
                </c:pt>
                <c:pt idx="241">
                  <c:v>72.160200000000003</c:v>
                </c:pt>
                <c:pt idx="242">
                  <c:v>0</c:v>
                </c:pt>
                <c:pt idx="243">
                  <c:v>0</c:v>
                </c:pt>
                <c:pt idx="244">
                  <c:v>72.3553</c:v>
                </c:pt>
                <c:pt idx="245">
                  <c:v>72.3553</c:v>
                </c:pt>
                <c:pt idx="246">
                  <c:v>72.551599999999993</c:v>
                </c:pt>
                <c:pt idx="247">
                  <c:v>72.551599999999993</c:v>
                </c:pt>
                <c:pt idx="248">
                  <c:v>72.748999999999995</c:v>
                </c:pt>
                <c:pt idx="249">
                  <c:v>72.748999999999995</c:v>
                </c:pt>
                <c:pt idx="250">
                  <c:v>73.147000000000006</c:v>
                </c:pt>
                <c:pt idx="251">
                  <c:v>73.147000000000006</c:v>
                </c:pt>
                <c:pt idx="252">
                  <c:v>0</c:v>
                </c:pt>
                <c:pt idx="253">
                  <c:v>0</c:v>
                </c:pt>
                <c:pt idx="254">
                  <c:v>73.347700000000003</c:v>
                </c:pt>
                <c:pt idx="255">
                  <c:v>73.347700000000003</c:v>
                </c:pt>
                <c:pt idx="256">
                  <c:v>73.549499999999995</c:v>
                </c:pt>
                <c:pt idx="257">
                  <c:v>73.549499999999995</c:v>
                </c:pt>
                <c:pt idx="258">
                  <c:v>73.752499999999998</c:v>
                </c:pt>
                <c:pt idx="259">
                  <c:v>73.752499999999998</c:v>
                </c:pt>
                <c:pt idx="260">
                  <c:v>73.956599999999995</c:v>
                </c:pt>
                <c:pt idx="261">
                  <c:v>73.956599999999995</c:v>
                </c:pt>
                <c:pt idx="262">
                  <c:v>74.161900000000003</c:v>
                </c:pt>
                <c:pt idx="263">
                  <c:v>74.161900000000003</c:v>
                </c:pt>
                <c:pt idx="264">
                  <c:v>74.368300000000005</c:v>
                </c:pt>
                <c:pt idx="265">
                  <c:v>74.368300000000005</c:v>
                </c:pt>
                <c:pt idx="266">
                  <c:v>74.575900000000004</c:v>
                </c:pt>
                <c:pt idx="267">
                  <c:v>74.575900000000004</c:v>
                </c:pt>
                <c:pt idx="268">
                  <c:v>74.784700000000001</c:v>
                </c:pt>
                <c:pt idx="269">
                  <c:v>74.784700000000001</c:v>
                </c:pt>
                <c:pt idx="270">
                  <c:v>74.994699999999995</c:v>
                </c:pt>
                <c:pt idx="271">
                  <c:v>74.994699999999995</c:v>
                </c:pt>
                <c:pt idx="272">
                  <c:v>75.2059</c:v>
                </c:pt>
                <c:pt idx="273">
                  <c:v>75.2059</c:v>
                </c:pt>
                <c:pt idx="274">
                  <c:v>0</c:v>
                </c:pt>
                <c:pt idx="275">
                  <c:v>0</c:v>
                </c:pt>
                <c:pt idx="276">
                  <c:v>75.418300000000002</c:v>
                </c:pt>
                <c:pt idx="277">
                  <c:v>75.418300000000002</c:v>
                </c:pt>
                <c:pt idx="278">
                  <c:v>75.631900000000002</c:v>
                </c:pt>
                <c:pt idx="279">
                  <c:v>75.631900000000002</c:v>
                </c:pt>
                <c:pt idx="280">
                  <c:v>0</c:v>
                </c:pt>
                <c:pt idx="281">
                  <c:v>0</c:v>
                </c:pt>
                <c:pt idx="282">
                  <c:v>75.846800000000002</c:v>
                </c:pt>
                <c:pt idx="283">
                  <c:v>75.846800000000002</c:v>
                </c:pt>
                <c:pt idx="284">
                  <c:v>76.062899999999999</c:v>
                </c:pt>
                <c:pt idx="285">
                  <c:v>76.062899999999999</c:v>
                </c:pt>
                <c:pt idx="286">
                  <c:v>76.280299999999997</c:v>
                </c:pt>
                <c:pt idx="287">
                  <c:v>76.280299999999997</c:v>
                </c:pt>
                <c:pt idx="288">
                  <c:v>76.498900000000006</c:v>
                </c:pt>
                <c:pt idx="289">
                  <c:v>76.498900000000006</c:v>
                </c:pt>
                <c:pt idx="290">
                  <c:v>76.718900000000005</c:v>
                </c:pt>
                <c:pt idx="291">
                  <c:v>76.718900000000005</c:v>
                </c:pt>
                <c:pt idx="292">
                  <c:v>0</c:v>
                </c:pt>
                <c:pt idx="293">
                  <c:v>0</c:v>
                </c:pt>
                <c:pt idx="294">
                  <c:v>76.940100000000001</c:v>
                </c:pt>
                <c:pt idx="295">
                  <c:v>76.940100000000001</c:v>
                </c:pt>
                <c:pt idx="296">
                  <c:v>77.162599999999998</c:v>
                </c:pt>
                <c:pt idx="297">
                  <c:v>77.162599999999998</c:v>
                </c:pt>
                <c:pt idx="298">
                  <c:v>0</c:v>
                </c:pt>
                <c:pt idx="299">
                  <c:v>0</c:v>
                </c:pt>
                <c:pt idx="300">
                  <c:v>77.386499999999998</c:v>
                </c:pt>
                <c:pt idx="301">
                  <c:v>77.386499999999998</c:v>
                </c:pt>
                <c:pt idx="302">
                  <c:v>0</c:v>
                </c:pt>
                <c:pt idx="303">
                  <c:v>0</c:v>
                </c:pt>
                <c:pt idx="304">
                  <c:v>78.295299999999997</c:v>
                </c:pt>
                <c:pt idx="305">
                  <c:v>78.295299999999997</c:v>
                </c:pt>
                <c:pt idx="306">
                  <c:v>0</c:v>
                </c:pt>
                <c:pt idx="307">
                  <c:v>0</c:v>
                </c:pt>
                <c:pt idx="308">
                  <c:v>78.757900000000006</c:v>
                </c:pt>
                <c:pt idx="309">
                  <c:v>78.757900000000006</c:v>
                </c:pt>
                <c:pt idx="310">
                  <c:v>0</c:v>
                </c:pt>
                <c:pt idx="311">
                  <c:v>0</c:v>
                </c:pt>
                <c:pt idx="312">
                  <c:v>78.991299999999995</c:v>
                </c:pt>
                <c:pt idx="313">
                  <c:v>78.991299999999995</c:v>
                </c:pt>
                <c:pt idx="314">
                  <c:v>79.226200000000006</c:v>
                </c:pt>
                <c:pt idx="315">
                  <c:v>79.226200000000006</c:v>
                </c:pt>
                <c:pt idx="316">
                  <c:v>79.462400000000002</c:v>
                </c:pt>
                <c:pt idx="317">
                  <c:v>79.462400000000002</c:v>
                </c:pt>
                <c:pt idx="318">
                  <c:v>0</c:v>
                </c:pt>
                <c:pt idx="319">
                  <c:v>0</c:v>
                </c:pt>
                <c:pt idx="320">
                  <c:v>79.939300000000003</c:v>
                </c:pt>
                <c:pt idx="321">
                  <c:v>79.939300000000003</c:v>
                </c:pt>
                <c:pt idx="322">
                  <c:v>0</c:v>
                </c:pt>
                <c:pt idx="323">
                  <c:v>0</c:v>
                </c:pt>
                <c:pt idx="324">
                  <c:v>80.179900000000004</c:v>
                </c:pt>
                <c:pt idx="325">
                  <c:v>80.179900000000004</c:v>
                </c:pt>
                <c:pt idx="326">
                  <c:v>80.665499999999994</c:v>
                </c:pt>
                <c:pt idx="327">
                  <c:v>80.665499999999994</c:v>
                </c:pt>
                <c:pt idx="328">
                  <c:v>0</c:v>
                </c:pt>
                <c:pt idx="329">
                  <c:v>0</c:v>
                </c:pt>
                <c:pt idx="330">
                  <c:v>81.157300000000006</c:v>
                </c:pt>
                <c:pt idx="331">
                  <c:v>81.157300000000006</c:v>
                </c:pt>
                <c:pt idx="332">
                  <c:v>81.4054</c:v>
                </c:pt>
                <c:pt idx="333">
                  <c:v>81.4054</c:v>
                </c:pt>
                <c:pt idx="334">
                  <c:v>81.655100000000004</c:v>
                </c:pt>
                <c:pt idx="335">
                  <c:v>81.655100000000004</c:v>
                </c:pt>
                <c:pt idx="336">
                  <c:v>81.906400000000005</c:v>
                </c:pt>
                <c:pt idx="337">
                  <c:v>81.906400000000005</c:v>
                </c:pt>
                <c:pt idx="338">
                  <c:v>82.159199999999998</c:v>
                </c:pt>
                <c:pt idx="339">
                  <c:v>82.159199999999998</c:v>
                </c:pt>
                <c:pt idx="340">
                  <c:v>83.974699999999999</c:v>
                </c:pt>
                <c:pt idx="341">
                  <c:v>83.974699999999999</c:v>
                </c:pt>
                <c:pt idx="342">
                  <c:v>84.240799999999993</c:v>
                </c:pt>
                <c:pt idx="343">
                  <c:v>84.240799999999993</c:v>
                </c:pt>
                <c:pt idx="344">
                  <c:v>0</c:v>
                </c:pt>
                <c:pt idx="345">
                  <c:v>0</c:v>
                </c:pt>
                <c:pt idx="346">
                  <c:v>86.998800000000003</c:v>
                </c:pt>
                <c:pt idx="347">
                  <c:v>86.998800000000003</c:v>
                </c:pt>
                <c:pt idx="348">
                  <c:v>87.572599999999994</c:v>
                </c:pt>
                <c:pt idx="349">
                  <c:v>87.572599999999994</c:v>
                </c:pt>
                <c:pt idx="350">
                  <c:v>87.862399999999994</c:v>
                </c:pt>
                <c:pt idx="351">
                  <c:v>87.862399999999994</c:v>
                </c:pt>
                <c:pt idx="352">
                  <c:v>89.947000000000003</c:v>
                </c:pt>
                <c:pt idx="353">
                  <c:v>89.947000000000003</c:v>
                </c:pt>
                <c:pt idx="354">
                  <c:v>0</c:v>
                </c:pt>
                <c:pt idx="355">
                  <c:v>0</c:v>
                </c:pt>
                <c:pt idx="356">
                  <c:v>0</c:v>
                </c:pt>
                <c:pt idx="357">
                  <c:v>0</c:v>
                </c:pt>
                <c:pt idx="358">
                  <c:v>91.183999999999997</c:v>
                </c:pt>
                <c:pt idx="359">
                  <c:v>91.183999999999997</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158.24780000000001</c:v>
                </c:pt>
                <c:pt idx="423">
                  <c:v>158.24780000000001</c:v>
                </c:pt>
              </c:numCache>
            </c:numRef>
          </c:val>
          <c:extLst>
            <c:ext xmlns:c16="http://schemas.microsoft.com/office/drawing/2014/chart" uri="{C3380CC4-5D6E-409C-BE32-E72D297353CC}">
              <c16:uniqueId val="{00000004-36EA-4B5A-A753-59A5F0DC6440}"/>
            </c:ext>
          </c:extLst>
        </c:ser>
        <c:ser>
          <c:idx val="10"/>
          <c:order val="5"/>
          <c:tx>
            <c:strRef>
              <c:f>'Backend II'!$H$1</c:f>
              <c:strCache>
                <c:ptCount val="1"/>
                <c:pt idx="0">
                  <c:v> Gasturbine </c:v>
                </c:pt>
              </c:strCache>
            </c:strRef>
          </c:tx>
          <c:spPr>
            <a:solidFill>
              <a:srgbClr val="FFBF27"/>
            </a:solidFill>
            <a:ln>
              <a:noFill/>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II'!$H$2:$H$461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68.758399999999995</c:v>
                </c:pt>
                <c:pt idx="221">
                  <c:v>68.758399999999995</c:v>
                </c:pt>
                <c:pt idx="222">
                  <c:v>0</c:v>
                </c:pt>
                <c:pt idx="223">
                  <c:v>0</c:v>
                </c:pt>
                <c:pt idx="224">
                  <c:v>69.615300000000005</c:v>
                </c:pt>
                <c:pt idx="225">
                  <c:v>69.615300000000005</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72.320999999999998</c:v>
                </c:pt>
                <c:pt idx="243">
                  <c:v>72.320999999999998</c:v>
                </c:pt>
                <c:pt idx="244">
                  <c:v>0</c:v>
                </c:pt>
                <c:pt idx="245">
                  <c:v>0</c:v>
                </c:pt>
                <c:pt idx="246">
                  <c:v>0</c:v>
                </c:pt>
                <c:pt idx="247">
                  <c:v>0</c:v>
                </c:pt>
                <c:pt idx="248">
                  <c:v>0</c:v>
                </c:pt>
                <c:pt idx="249">
                  <c:v>0</c:v>
                </c:pt>
                <c:pt idx="250">
                  <c:v>0</c:v>
                </c:pt>
                <c:pt idx="251">
                  <c:v>0</c:v>
                </c:pt>
                <c:pt idx="252">
                  <c:v>73.271000000000001</c:v>
                </c:pt>
                <c:pt idx="253">
                  <c:v>73.271000000000001</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75.248900000000006</c:v>
                </c:pt>
                <c:pt idx="275">
                  <c:v>75.248900000000006</c:v>
                </c:pt>
                <c:pt idx="276">
                  <c:v>0</c:v>
                </c:pt>
                <c:pt idx="277">
                  <c:v>0</c:v>
                </c:pt>
                <c:pt idx="278">
                  <c:v>0</c:v>
                </c:pt>
                <c:pt idx="279">
                  <c:v>0</c:v>
                </c:pt>
                <c:pt idx="280">
                  <c:v>75.760499999999993</c:v>
                </c:pt>
                <c:pt idx="281">
                  <c:v>75.760499999999993</c:v>
                </c:pt>
                <c:pt idx="282">
                  <c:v>0</c:v>
                </c:pt>
                <c:pt idx="283">
                  <c:v>0</c:v>
                </c:pt>
                <c:pt idx="284">
                  <c:v>0</c:v>
                </c:pt>
                <c:pt idx="285">
                  <c:v>0</c:v>
                </c:pt>
                <c:pt idx="286">
                  <c:v>0</c:v>
                </c:pt>
                <c:pt idx="287">
                  <c:v>0</c:v>
                </c:pt>
                <c:pt idx="288">
                  <c:v>0</c:v>
                </c:pt>
                <c:pt idx="289">
                  <c:v>0</c:v>
                </c:pt>
                <c:pt idx="290">
                  <c:v>0</c:v>
                </c:pt>
                <c:pt idx="291">
                  <c:v>0</c:v>
                </c:pt>
                <c:pt idx="292">
                  <c:v>76.804900000000004</c:v>
                </c:pt>
                <c:pt idx="293">
                  <c:v>76.804900000000004</c:v>
                </c:pt>
                <c:pt idx="294">
                  <c:v>0</c:v>
                </c:pt>
                <c:pt idx="295">
                  <c:v>0</c:v>
                </c:pt>
                <c:pt idx="296">
                  <c:v>0</c:v>
                </c:pt>
                <c:pt idx="297">
                  <c:v>0</c:v>
                </c:pt>
                <c:pt idx="298">
                  <c:v>77.338200000000001</c:v>
                </c:pt>
                <c:pt idx="299">
                  <c:v>77.338200000000001</c:v>
                </c:pt>
                <c:pt idx="300">
                  <c:v>0</c:v>
                </c:pt>
                <c:pt idx="301">
                  <c:v>0</c:v>
                </c:pt>
                <c:pt idx="302">
                  <c:v>77.879000000000005</c:v>
                </c:pt>
                <c:pt idx="303">
                  <c:v>77.879000000000005</c:v>
                </c:pt>
                <c:pt idx="304">
                  <c:v>0</c:v>
                </c:pt>
                <c:pt idx="305">
                  <c:v>0</c:v>
                </c:pt>
                <c:pt idx="306">
                  <c:v>78.427599999999998</c:v>
                </c:pt>
                <c:pt idx="307">
                  <c:v>78.427599999999998</c:v>
                </c:pt>
                <c:pt idx="308">
                  <c:v>0</c:v>
                </c:pt>
                <c:pt idx="309">
                  <c:v>0</c:v>
                </c:pt>
                <c:pt idx="310">
                  <c:v>78.983999999999995</c:v>
                </c:pt>
                <c:pt idx="311">
                  <c:v>78.983999999999995</c:v>
                </c:pt>
                <c:pt idx="312">
                  <c:v>0</c:v>
                </c:pt>
                <c:pt idx="313">
                  <c:v>0</c:v>
                </c:pt>
                <c:pt idx="314">
                  <c:v>0</c:v>
                </c:pt>
                <c:pt idx="315">
                  <c:v>0</c:v>
                </c:pt>
                <c:pt idx="316">
                  <c:v>0</c:v>
                </c:pt>
                <c:pt idx="317">
                  <c:v>0</c:v>
                </c:pt>
                <c:pt idx="318">
                  <c:v>79.548400000000001</c:v>
                </c:pt>
                <c:pt idx="319">
                  <c:v>79.548400000000001</c:v>
                </c:pt>
                <c:pt idx="320">
                  <c:v>0</c:v>
                </c:pt>
                <c:pt idx="321">
                  <c:v>0</c:v>
                </c:pt>
                <c:pt idx="322">
                  <c:v>80.121099999999998</c:v>
                </c:pt>
                <c:pt idx="323">
                  <c:v>80.121099999999998</c:v>
                </c:pt>
                <c:pt idx="324">
                  <c:v>0</c:v>
                </c:pt>
                <c:pt idx="325">
                  <c:v>0</c:v>
                </c:pt>
                <c:pt idx="326">
                  <c:v>0</c:v>
                </c:pt>
                <c:pt idx="327">
                  <c:v>0</c:v>
                </c:pt>
                <c:pt idx="328">
                  <c:v>80.702299999999994</c:v>
                </c:pt>
                <c:pt idx="329">
                  <c:v>80.702299999999994</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84.376499999999993</c:v>
                </c:pt>
                <c:pt idx="345">
                  <c:v>84.376499999999993</c:v>
                </c:pt>
                <c:pt idx="346">
                  <c:v>0</c:v>
                </c:pt>
                <c:pt idx="347">
                  <c:v>0</c:v>
                </c:pt>
                <c:pt idx="348">
                  <c:v>0</c:v>
                </c:pt>
                <c:pt idx="349">
                  <c:v>0</c:v>
                </c:pt>
                <c:pt idx="350">
                  <c:v>0</c:v>
                </c:pt>
                <c:pt idx="351">
                  <c:v>0</c:v>
                </c:pt>
                <c:pt idx="352">
                  <c:v>0</c:v>
                </c:pt>
                <c:pt idx="353">
                  <c:v>0</c:v>
                </c:pt>
                <c:pt idx="354">
                  <c:v>90.5702</c:v>
                </c:pt>
                <c:pt idx="355">
                  <c:v>90.5702</c:v>
                </c:pt>
                <c:pt idx="356">
                  <c:v>0</c:v>
                </c:pt>
                <c:pt idx="357">
                  <c:v>0</c:v>
                </c:pt>
                <c:pt idx="358">
                  <c:v>0</c:v>
                </c:pt>
                <c:pt idx="359">
                  <c:v>0</c:v>
                </c:pt>
                <c:pt idx="360">
                  <c:v>91.315600000000003</c:v>
                </c:pt>
                <c:pt idx="361">
                  <c:v>91.315600000000003</c:v>
                </c:pt>
                <c:pt idx="362">
                  <c:v>92.073599999999999</c:v>
                </c:pt>
                <c:pt idx="363">
                  <c:v>92.073599999999999</c:v>
                </c:pt>
                <c:pt idx="364">
                  <c:v>93.628399999999999</c:v>
                </c:pt>
                <c:pt idx="365">
                  <c:v>93.628399999999999</c:v>
                </c:pt>
                <c:pt idx="366">
                  <c:v>98.628399999999999</c:v>
                </c:pt>
                <c:pt idx="367">
                  <c:v>98.628399999999999</c:v>
                </c:pt>
                <c:pt idx="368">
                  <c:v>0</c:v>
                </c:pt>
                <c:pt idx="369">
                  <c:v>0</c:v>
                </c:pt>
                <c:pt idx="370">
                  <c:v>103.2268</c:v>
                </c:pt>
                <c:pt idx="371">
                  <c:v>103.2268</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5-36EA-4B5A-A753-59A5F0DC6440}"/>
            </c:ext>
          </c:extLst>
        </c:ser>
        <c:ser>
          <c:idx val="12"/>
          <c:order val="6"/>
          <c:tx>
            <c:strRef>
              <c:f>'Backend II'!$I$1</c:f>
              <c:strCache>
                <c:ptCount val="1"/>
                <c:pt idx="0">
                  <c:v> Öl </c:v>
                </c:pt>
              </c:strCache>
            </c:strRef>
          </c:tx>
          <c:spPr>
            <a:solidFill>
              <a:srgbClr val="3C4146"/>
            </a:solidFill>
            <a:ln>
              <a:noFill/>
              <a:prstDash val="sysDot"/>
            </a:ln>
          </c:spPr>
          <c:cat>
            <c:numRef>
              <c:f>'Backend II'!$A$2:$A$461</c:f>
              <c:numCache>
                <c:formatCode>_-* #,##0.00\ _€_-;\-* #,##0.00\ _€_-;_-* "-"??\ _€_-;_-@_-</c:formatCode>
                <c:ptCount val="460"/>
                <c:pt idx="0">
                  <c:v>0</c:v>
                </c:pt>
                <c:pt idx="1">
                  <c:v>1574.8175250000004</c:v>
                </c:pt>
                <c:pt idx="2">
                  <c:v>1574.8175250000004</c:v>
                </c:pt>
                <c:pt idx="3">
                  <c:v>10044.057525000002</c:v>
                </c:pt>
                <c:pt idx="4">
                  <c:v>10044.057525000002</c:v>
                </c:pt>
                <c:pt idx="5">
                  <c:v>10061.718525000002</c:v>
                </c:pt>
                <c:pt idx="6">
                  <c:v>10061.718525000002</c:v>
                </c:pt>
                <c:pt idx="7">
                  <c:v>10081.919925000002</c:v>
                </c:pt>
                <c:pt idx="8">
                  <c:v>10081.919925000002</c:v>
                </c:pt>
                <c:pt idx="9">
                  <c:v>12483.119925000003</c:v>
                </c:pt>
                <c:pt idx="10">
                  <c:v>12483.119925000003</c:v>
                </c:pt>
                <c:pt idx="11">
                  <c:v>12627.626925000002</c:v>
                </c:pt>
                <c:pt idx="12">
                  <c:v>12627.626925000002</c:v>
                </c:pt>
                <c:pt idx="13">
                  <c:v>13191.386925000003</c:v>
                </c:pt>
                <c:pt idx="14">
                  <c:v>13191.386925000003</c:v>
                </c:pt>
                <c:pt idx="15">
                  <c:v>13737.746925000003</c:v>
                </c:pt>
                <c:pt idx="16">
                  <c:v>13737.746925000003</c:v>
                </c:pt>
                <c:pt idx="17">
                  <c:v>14559.026925000004</c:v>
                </c:pt>
                <c:pt idx="18">
                  <c:v>14559.026925000004</c:v>
                </c:pt>
                <c:pt idx="19">
                  <c:v>16081.091925000004</c:v>
                </c:pt>
                <c:pt idx="20">
                  <c:v>16081.091925000004</c:v>
                </c:pt>
                <c:pt idx="21">
                  <c:v>16906.721925000005</c:v>
                </c:pt>
                <c:pt idx="22">
                  <c:v>16906.721925000005</c:v>
                </c:pt>
                <c:pt idx="23">
                  <c:v>17559.221925000005</c:v>
                </c:pt>
                <c:pt idx="24">
                  <c:v>17559.221925000005</c:v>
                </c:pt>
                <c:pt idx="25">
                  <c:v>18250.871925000007</c:v>
                </c:pt>
                <c:pt idx="26">
                  <c:v>18250.871925000007</c:v>
                </c:pt>
                <c:pt idx="27">
                  <c:v>21099.251925000004</c:v>
                </c:pt>
                <c:pt idx="28">
                  <c:v>21099.251925000004</c:v>
                </c:pt>
                <c:pt idx="29">
                  <c:v>21116.651925000006</c:v>
                </c:pt>
                <c:pt idx="30">
                  <c:v>21116.651925000006</c:v>
                </c:pt>
                <c:pt idx="31">
                  <c:v>21548.171925000006</c:v>
                </c:pt>
                <c:pt idx="32">
                  <c:v>21548.171925000006</c:v>
                </c:pt>
                <c:pt idx="33">
                  <c:v>21972.992925000006</c:v>
                </c:pt>
                <c:pt idx="34">
                  <c:v>21972.992925000006</c:v>
                </c:pt>
                <c:pt idx="35">
                  <c:v>21985.607925000008</c:v>
                </c:pt>
                <c:pt idx="36">
                  <c:v>21985.607925000008</c:v>
                </c:pt>
                <c:pt idx="37">
                  <c:v>22005.372585000008</c:v>
                </c:pt>
                <c:pt idx="38">
                  <c:v>22005.372585000008</c:v>
                </c:pt>
                <c:pt idx="39">
                  <c:v>22034.517585000009</c:v>
                </c:pt>
                <c:pt idx="40">
                  <c:v>22034.517585000009</c:v>
                </c:pt>
                <c:pt idx="41">
                  <c:v>22237.053585000009</c:v>
                </c:pt>
                <c:pt idx="42">
                  <c:v>22237.053585000009</c:v>
                </c:pt>
                <c:pt idx="43">
                  <c:v>22245.144585000009</c:v>
                </c:pt>
                <c:pt idx="44">
                  <c:v>22245.144585000009</c:v>
                </c:pt>
                <c:pt idx="45">
                  <c:v>22284.294585000011</c:v>
                </c:pt>
                <c:pt idx="46">
                  <c:v>22284.294585000011</c:v>
                </c:pt>
                <c:pt idx="47">
                  <c:v>22809.77458500001</c:v>
                </c:pt>
                <c:pt idx="48">
                  <c:v>22809.77458500001</c:v>
                </c:pt>
                <c:pt idx="49">
                  <c:v>23908.584585000011</c:v>
                </c:pt>
                <c:pt idx="50">
                  <c:v>23908.584585000011</c:v>
                </c:pt>
                <c:pt idx="51">
                  <c:v>24485.394585000013</c:v>
                </c:pt>
                <c:pt idx="52">
                  <c:v>24485.394585000013</c:v>
                </c:pt>
                <c:pt idx="53">
                  <c:v>24739.434585000014</c:v>
                </c:pt>
                <c:pt idx="54">
                  <c:v>24739.434585000014</c:v>
                </c:pt>
                <c:pt idx="55">
                  <c:v>25250.994585000011</c:v>
                </c:pt>
                <c:pt idx="56">
                  <c:v>25250.994585000011</c:v>
                </c:pt>
                <c:pt idx="57">
                  <c:v>25509.384585000011</c:v>
                </c:pt>
                <c:pt idx="58">
                  <c:v>25509.384585000011</c:v>
                </c:pt>
                <c:pt idx="59">
                  <c:v>25788.654585000011</c:v>
                </c:pt>
                <c:pt idx="60">
                  <c:v>25788.654585000011</c:v>
                </c:pt>
                <c:pt idx="61">
                  <c:v>25812.834585000011</c:v>
                </c:pt>
                <c:pt idx="62">
                  <c:v>25812.834585000011</c:v>
                </c:pt>
                <c:pt idx="63">
                  <c:v>26348.754585000013</c:v>
                </c:pt>
                <c:pt idx="64">
                  <c:v>26348.754585000013</c:v>
                </c:pt>
                <c:pt idx="65">
                  <c:v>26389.644585000013</c:v>
                </c:pt>
                <c:pt idx="66">
                  <c:v>26389.644585000013</c:v>
                </c:pt>
                <c:pt idx="67">
                  <c:v>26466.864585000014</c:v>
                </c:pt>
                <c:pt idx="68">
                  <c:v>26466.864585000014</c:v>
                </c:pt>
                <c:pt idx="69">
                  <c:v>26492.604585000016</c:v>
                </c:pt>
                <c:pt idx="70">
                  <c:v>26492.604585000016</c:v>
                </c:pt>
                <c:pt idx="71">
                  <c:v>26526.378585000017</c:v>
                </c:pt>
                <c:pt idx="72">
                  <c:v>26526.378585000017</c:v>
                </c:pt>
                <c:pt idx="73">
                  <c:v>26579.730585000016</c:v>
                </c:pt>
                <c:pt idx="74">
                  <c:v>26579.730585000016</c:v>
                </c:pt>
                <c:pt idx="75">
                  <c:v>29055.450585000017</c:v>
                </c:pt>
                <c:pt idx="76">
                  <c:v>29055.450585000017</c:v>
                </c:pt>
                <c:pt idx="77">
                  <c:v>30394.476585000019</c:v>
                </c:pt>
                <c:pt idx="78">
                  <c:v>30394.476585000019</c:v>
                </c:pt>
                <c:pt idx="79">
                  <c:v>31883.496585000019</c:v>
                </c:pt>
                <c:pt idx="80">
                  <c:v>31883.496585000019</c:v>
                </c:pt>
                <c:pt idx="81">
                  <c:v>32251.656585000019</c:v>
                </c:pt>
                <c:pt idx="82">
                  <c:v>32251.656585000019</c:v>
                </c:pt>
                <c:pt idx="83">
                  <c:v>33246.231585000023</c:v>
                </c:pt>
                <c:pt idx="84">
                  <c:v>33246.231585000023</c:v>
                </c:pt>
                <c:pt idx="85">
                  <c:v>34490.019585000016</c:v>
                </c:pt>
                <c:pt idx="86">
                  <c:v>34490.019585000016</c:v>
                </c:pt>
                <c:pt idx="87">
                  <c:v>34718.74958500002</c:v>
                </c:pt>
                <c:pt idx="88">
                  <c:v>34718.74958500002</c:v>
                </c:pt>
                <c:pt idx="89">
                  <c:v>34753.726585000026</c:v>
                </c:pt>
                <c:pt idx="90">
                  <c:v>34753.726585000026</c:v>
                </c:pt>
                <c:pt idx="91">
                  <c:v>35026.726585000026</c:v>
                </c:pt>
                <c:pt idx="92">
                  <c:v>35026.726585000026</c:v>
                </c:pt>
                <c:pt idx="93">
                  <c:v>35288.806585000028</c:v>
                </c:pt>
                <c:pt idx="94">
                  <c:v>35288.806585000028</c:v>
                </c:pt>
                <c:pt idx="95">
                  <c:v>35992.387185000021</c:v>
                </c:pt>
                <c:pt idx="96">
                  <c:v>35992.387185000021</c:v>
                </c:pt>
                <c:pt idx="97">
                  <c:v>36633.547185000025</c:v>
                </c:pt>
                <c:pt idx="98">
                  <c:v>36633.547185000025</c:v>
                </c:pt>
                <c:pt idx="99">
                  <c:v>36702.967185000023</c:v>
                </c:pt>
                <c:pt idx="100">
                  <c:v>36702.967185000023</c:v>
                </c:pt>
                <c:pt idx="101">
                  <c:v>37241.16718500002</c:v>
                </c:pt>
                <c:pt idx="102">
                  <c:v>37241.16718500002</c:v>
                </c:pt>
                <c:pt idx="103">
                  <c:v>38368.352185000018</c:v>
                </c:pt>
                <c:pt idx="104">
                  <c:v>38368.352185000018</c:v>
                </c:pt>
                <c:pt idx="105">
                  <c:v>38569.047185000018</c:v>
                </c:pt>
                <c:pt idx="106">
                  <c:v>38569.047185000018</c:v>
                </c:pt>
                <c:pt idx="107">
                  <c:v>38664.98718500002</c:v>
                </c:pt>
                <c:pt idx="108">
                  <c:v>38664.98718500002</c:v>
                </c:pt>
                <c:pt idx="109">
                  <c:v>39778.377185000019</c:v>
                </c:pt>
                <c:pt idx="110">
                  <c:v>39778.377185000019</c:v>
                </c:pt>
                <c:pt idx="111">
                  <c:v>40149.507185000017</c:v>
                </c:pt>
                <c:pt idx="112">
                  <c:v>40149.507185000017</c:v>
                </c:pt>
                <c:pt idx="113">
                  <c:v>40861.507185000017</c:v>
                </c:pt>
                <c:pt idx="114">
                  <c:v>40861.507185000017</c:v>
                </c:pt>
                <c:pt idx="115">
                  <c:v>40871.959185000014</c:v>
                </c:pt>
                <c:pt idx="116">
                  <c:v>40871.959185000014</c:v>
                </c:pt>
                <c:pt idx="117">
                  <c:v>41908.08828500002</c:v>
                </c:pt>
                <c:pt idx="118">
                  <c:v>41908.08828500002</c:v>
                </c:pt>
                <c:pt idx="119">
                  <c:v>42339.204285000022</c:v>
                </c:pt>
                <c:pt idx="120">
                  <c:v>42339.204285000022</c:v>
                </c:pt>
                <c:pt idx="121">
                  <c:v>42740.12428500002</c:v>
                </c:pt>
                <c:pt idx="122">
                  <c:v>42740.12428500002</c:v>
                </c:pt>
                <c:pt idx="123">
                  <c:v>42783.461085000017</c:v>
                </c:pt>
                <c:pt idx="124">
                  <c:v>42783.461085000017</c:v>
                </c:pt>
                <c:pt idx="125">
                  <c:v>43476.881085000023</c:v>
                </c:pt>
                <c:pt idx="126">
                  <c:v>43476.881085000023</c:v>
                </c:pt>
                <c:pt idx="127">
                  <c:v>43687.508485000028</c:v>
                </c:pt>
                <c:pt idx="128">
                  <c:v>43687.508485000028</c:v>
                </c:pt>
                <c:pt idx="129">
                  <c:v>44353.394485000033</c:v>
                </c:pt>
                <c:pt idx="130">
                  <c:v>44353.394485000033</c:v>
                </c:pt>
                <c:pt idx="131">
                  <c:v>44366.566485000032</c:v>
                </c:pt>
                <c:pt idx="132">
                  <c:v>44366.566485000032</c:v>
                </c:pt>
                <c:pt idx="133">
                  <c:v>44626.072485000033</c:v>
                </c:pt>
                <c:pt idx="134">
                  <c:v>44626.072485000033</c:v>
                </c:pt>
                <c:pt idx="135">
                  <c:v>44639.122485000036</c:v>
                </c:pt>
                <c:pt idx="136">
                  <c:v>44639.122485000036</c:v>
                </c:pt>
                <c:pt idx="137">
                  <c:v>44759.984485000037</c:v>
                </c:pt>
                <c:pt idx="138">
                  <c:v>44759.984485000037</c:v>
                </c:pt>
                <c:pt idx="139">
                  <c:v>44892.506485000042</c:v>
                </c:pt>
                <c:pt idx="140">
                  <c:v>44892.506485000042</c:v>
                </c:pt>
                <c:pt idx="141">
                  <c:v>45317.216485000048</c:v>
                </c:pt>
                <c:pt idx="142">
                  <c:v>45317.216485000048</c:v>
                </c:pt>
                <c:pt idx="143">
                  <c:v>46620.354485000047</c:v>
                </c:pt>
                <c:pt idx="144">
                  <c:v>46620.354485000047</c:v>
                </c:pt>
                <c:pt idx="145">
                  <c:v>47176.884485000046</c:v>
                </c:pt>
                <c:pt idx="146">
                  <c:v>47176.884485000046</c:v>
                </c:pt>
                <c:pt idx="147">
                  <c:v>47344.738485000045</c:v>
                </c:pt>
                <c:pt idx="148">
                  <c:v>47344.738485000045</c:v>
                </c:pt>
                <c:pt idx="149">
                  <c:v>48247.198485000044</c:v>
                </c:pt>
                <c:pt idx="150">
                  <c:v>48247.198485000044</c:v>
                </c:pt>
                <c:pt idx="151">
                  <c:v>48305.488485000045</c:v>
                </c:pt>
                <c:pt idx="152">
                  <c:v>48305.488485000045</c:v>
                </c:pt>
                <c:pt idx="153">
                  <c:v>48375.798485000043</c:v>
                </c:pt>
                <c:pt idx="154">
                  <c:v>48375.798485000043</c:v>
                </c:pt>
                <c:pt idx="155">
                  <c:v>48646.458485000039</c:v>
                </c:pt>
                <c:pt idx="156">
                  <c:v>48646.458485000039</c:v>
                </c:pt>
                <c:pt idx="157">
                  <c:v>49078.108485000041</c:v>
                </c:pt>
                <c:pt idx="158">
                  <c:v>49078.108485000041</c:v>
                </c:pt>
                <c:pt idx="159">
                  <c:v>49592.128485000037</c:v>
                </c:pt>
                <c:pt idx="160">
                  <c:v>49592.128485000037</c:v>
                </c:pt>
                <c:pt idx="161">
                  <c:v>50291.579485000046</c:v>
                </c:pt>
                <c:pt idx="162">
                  <c:v>50291.579485000046</c:v>
                </c:pt>
                <c:pt idx="163">
                  <c:v>50579.939485000046</c:v>
                </c:pt>
                <c:pt idx="164">
                  <c:v>50579.939485000046</c:v>
                </c:pt>
                <c:pt idx="165">
                  <c:v>51099.731485000048</c:v>
                </c:pt>
                <c:pt idx="166">
                  <c:v>51099.731485000048</c:v>
                </c:pt>
                <c:pt idx="167">
                  <c:v>51658.99148500005</c:v>
                </c:pt>
                <c:pt idx="168">
                  <c:v>51658.99148500005</c:v>
                </c:pt>
                <c:pt idx="169">
                  <c:v>52130.246485000054</c:v>
                </c:pt>
                <c:pt idx="170">
                  <c:v>52130.246485000054</c:v>
                </c:pt>
                <c:pt idx="171">
                  <c:v>52155.830485000057</c:v>
                </c:pt>
                <c:pt idx="172">
                  <c:v>52155.830485000057</c:v>
                </c:pt>
                <c:pt idx="173">
                  <c:v>52189.748385000057</c:v>
                </c:pt>
                <c:pt idx="174">
                  <c:v>52189.748385000057</c:v>
                </c:pt>
                <c:pt idx="175">
                  <c:v>52426.088385000054</c:v>
                </c:pt>
                <c:pt idx="176">
                  <c:v>52426.088385000054</c:v>
                </c:pt>
                <c:pt idx="177">
                  <c:v>52436.234385000054</c:v>
                </c:pt>
                <c:pt idx="178">
                  <c:v>52436.234385000054</c:v>
                </c:pt>
                <c:pt idx="179">
                  <c:v>53026.694385000053</c:v>
                </c:pt>
                <c:pt idx="180">
                  <c:v>53026.694385000053</c:v>
                </c:pt>
                <c:pt idx="181">
                  <c:v>53034.437385000056</c:v>
                </c:pt>
                <c:pt idx="182">
                  <c:v>53034.437385000056</c:v>
                </c:pt>
                <c:pt idx="183">
                  <c:v>53096.057385000058</c:v>
                </c:pt>
                <c:pt idx="184">
                  <c:v>53096.057385000058</c:v>
                </c:pt>
                <c:pt idx="185">
                  <c:v>53181.857385000061</c:v>
                </c:pt>
                <c:pt idx="186">
                  <c:v>53181.857385000061</c:v>
                </c:pt>
                <c:pt idx="187">
                  <c:v>53201.193585000059</c:v>
                </c:pt>
                <c:pt idx="188">
                  <c:v>53201.193585000059</c:v>
                </c:pt>
                <c:pt idx="189">
                  <c:v>53567.013585000059</c:v>
                </c:pt>
                <c:pt idx="190">
                  <c:v>53567.013585000059</c:v>
                </c:pt>
                <c:pt idx="191">
                  <c:v>53836.113585000057</c:v>
                </c:pt>
                <c:pt idx="192">
                  <c:v>53836.113585000057</c:v>
                </c:pt>
                <c:pt idx="193">
                  <c:v>53844.301585000059</c:v>
                </c:pt>
                <c:pt idx="194">
                  <c:v>53844.301585000059</c:v>
                </c:pt>
                <c:pt idx="195">
                  <c:v>53848.128585000057</c:v>
                </c:pt>
                <c:pt idx="196">
                  <c:v>53848.128585000057</c:v>
                </c:pt>
                <c:pt idx="197">
                  <c:v>53865.617085000056</c:v>
                </c:pt>
                <c:pt idx="198">
                  <c:v>53865.617085000056</c:v>
                </c:pt>
                <c:pt idx="199">
                  <c:v>54041.792585000047</c:v>
                </c:pt>
                <c:pt idx="200">
                  <c:v>54041.792585000047</c:v>
                </c:pt>
                <c:pt idx="201">
                  <c:v>54172.177585000049</c:v>
                </c:pt>
                <c:pt idx="202">
                  <c:v>54172.177585000049</c:v>
                </c:pt>
                <c:pt idx="203">
                  <c:v>55071.255585000043</c:v>
                </c:pt>
                <c:pt idx="204">
                  <c:v>55071.255585000043</c:v>
                </c:pt>
                <c:pt idx="205">
                  <c:v>55151.595585000039</c:v>
                </c:pt>
                <c:pt idx="206">
                  <c:v>55151.595585000039</c:v>
                </c:pt>
                <c:pt idx="207">
                  <c:v>55191.289585000042</c:v>
                </c:pt>
                <c:pt idx="208">
                  <c:v>55191.289585000042</c:v>
                </c:pt>
                <c:pt idx="209">
                  <c:v>55203.749585000041</c:v>
                </c:pt>
                <c:pt idx="210">
                  <c:v>55203.749585000041</c:v>
                </c:pt>
                <c:pt idx="211">
                  <c:v>55289.009585000043</c:v>
                </c:pt>
                <c:pt idx="212">
                  <c:v>55289.009585000043</c:v>
                </c:pt>
                <c:pt idx="213">
                  <c:v>55680.609585000042</c:v>
                </c:pt>
                <c:pt idx="214">
                  <c:v>55680.609585000042</c:v>
                </c:pt>
                <c:pt idx="215">
                  <c:v>55700.889585000041</c:v>
                </c:pt>
                <c:pt idx="216">
                  <c:v>55700.889585000041</c:v>
                </c:pt>
                <c:pt idx="217">
                  <c:v>55712.63758500004</c:v>
                </c:pt>
                <c:pt idx="218">
                  <c:v>55712.63758500004</c:v>
                </c:pt>
                <c:pt idx="219">
                  <c:v>56135.38758500004</c:v>
                </c:pt>
                <c:pt idx="220">
                  <c:v>56135.38758500004</c:v>
                </c:pt>
                <c:pt idx="221">
                  <c:v>56152.742585000044</c:v>
                </c:pt>
                <c:pt idx="222">
                  <c:v>56152.742585000044</c:v>
                </c:pt>
                <c:pt idx="223">
                  <c:v>57330.212585000038</c:v>
                </c:pt>
                <c:pt idx="224">
                  <c:v>57330.212585000038</c:v>
                </c:pt>
                <c:pt idx="225">
                  <c:v>57443.438385000038</c:v>
                </c:pt>
                <c:pt idx="226">
                  <c:v>57443.438385000038</c:v>
                </c:pt>
                <c:pt idx="227">
                  <c:v>57457.678385000036</c:v>
                </c:pt>
                <c:pt idx="228">
                  <c:v>57457.678385000036</c:v>
                </c:pt>
                <c:pt idx="229">
                  <c:v>57495.94838500004</c:v>
                </c:pt>
                <c:pt idx="230">
                  <c:v>57495.94838500004</c:v>
                </c:pt>
                <c:pt idx="231">
                  <c:v>57556.335775000036</c:v>
                </c:pt>
                <c:pt idx="232">
                  <c:v>57556.335775000036</c:v>
                </c:pt>
                <c:pt idx="233">
                  <c:v>57752.313775000031</c:v>
                </c:pt>
                <c:pt idx="234">
                  <c:v>57752.313775000031</c:v>
                </c:pt>
                <c:pt idx="235">
                  <c:v>58263.449675000033</c:v>
                </c:pt>
                <c:pt idx="236">
                  <c:v>58263.449675000033</c:v>
                </c:pt>
                <c:pt idx="237">
                  <c:v>58372.118675000034</c:v>
                </c:pt>
                <c:pt idx="238">
                  <c:v>58372.118675000034</c:v>
                </c:pt>
                <c:pt idx="239">
                  <c:v>58498.454175000043</c:v>
                </c:pt>
                <c:pt idx="240">
                  <c:v>58498.454175000043</c:v>
                </c:pt>
                <c:pt idx="241">
                  <c:v>58810.330645000053</c:v>
                </c:pt>
                <c:pt idx="242">
                  <c:v>58810.330645000053</c:v>
                </c:pt>
                <c:pt idx="243">
                  <c:v>59452.020645000055</c:v>
                </c:pt>
                <c:pt idx="244">
                  <c:v>59452.020645000055</c:v>
                </c:pt>
                <c:pt idx="245">
                  <c:v>59537.914545000058</c:v>
                </c:pt>
                <c:pt idx="246">
                  <c:v>59537.914545000058</c:v>
                </c:pt>
                <c:pt idx="247">
                  <c:v>59549.128545000058</c:v>
                </c:pt>
                <c:pt idx="248">
                  <c:v>59549.128545000058</c:v>
                </c:pt>
                <c:pt idx="249">
                  <c:v>59861.073545000057</c:v>
                </c:pt>
                <c:pt idx="250">
                  <c:v>59861.073545000057</c:v>
                </c:pt>
                <c:pt idx="251">
                  <c:v>59872.198545000057</c:v>
                </c:pt>
                <c:pt idx="252">
                  <c:v>59872.198545000057</c:v>
                </c:pt>
                <c:pt idx="253">
                  <c:v>59899.521545000054</c:v>
                </c:pt>
                <c:pt idx="254">
                  <c:v>59899.521545000054</c:v>
                </c:pt>
                <c:pt idx="255">
                  <c:v>60002.761545000059</c:v>
                </c:pt>
                <c:pt idx="256">
                  <c:v>60002.761545000059</c:v>
                </c:pt>
                <c:pt idx="257">
                  <c:v>60025.02489500006</c:v>
                </c:pt>
                <c:pt idx="258">
                  <c:v>60025.02489500006</c:v>
                </c:pt>
                <c:pt idx="259">
                  <c:v>60131.273095000062</c:v>
                </c:pt>
                <c:pt idx="260">
                  <c:v>60131.273095000062</c:v>
                </c:pt>
                <c:pt idx="261">
                  <c:v>60216.713095000065</c:v>
                </c:pt>
                <c:pt idx="262">
                  <c:v>60216.713095000065</c:v>
                </c:pt>
                <c:pt idx="263">
                  <c:v>60223.334695000063</c:v>
                </c:pt>
                <c:pt idx="264">
                  <c:v>60223.334695000063</c:v>
                </c:pt>
                <c:pt idx="265">
                  <c:v>60334.139695000064</c:v>
                </c:pt>
                <c:pt idx="266">
                  <c:v>60334.139695000064</c:v>
                </c:pt>
                <c:pt idx="267">
                  <c:v>60402.936695000062</c:v>
                </c:pt>
                <c:pt idx="268">
                  <c:v>60402.936695000062</c:v>
                </c:pt>
                <c:pt idx="269">
                  <c:v>60449.839695000061</c:v>
                </c:pt>
                <c:pt idx="270">
                  <c:v>60449.839695000061</c:v>
                </c:pt>
                <c:pt idx="271">
                  <c:v>60493.049195000058</c:v>
                </c:pt>
                <c:pt idx="272">
                  <c:v>60493.049195000058</c:v>
                </c:pt>
                <c:pt idx="273">
                  <c:v>60668.468195000067</c:v>
                </c:pt>
                <c:pt idx="274">
                  <c:v>60668.468195000067</c:v>
                </c:pt>
                <c:pt idx="275">
                  <c:v>60796.62819500007</c:v>
                </c:pt>
                <c:pt idx="276">
                  <c:v>60796.62819500007</c:v>
                </c:pt>
                <c:pt idx="277">
                  <c:v>60881.267195000073</c:v>
                </c:pt>
                <c:pt idx="278">
                  <c:v>60881.267195000073</c:v>
                </c:pt>
                <c:pt idx="279">
                  <c:v>61097.98219500007</c:v>
                </c:pt>
                <c:pt idx="280">
                  <c:v>61097.98219500007</c:v>
                </c:pt>
                <c:pt idx="281">
                  <c:v>61106.882195000071</c:v>
                </c:pt>
                <c:pt idx="282">
                  <c:v>61106.882195000071</c:v>
                </c:pt>
                <c:pt idx="283">
                  <c:v>61160.727195000072</c:v>
                </c:pt>
                <c:pt idx="284">
                  <c:v>61160.727195000072</c:v>
                </c:pt>
                <c:pt idx="285">
                  <c:v>61375.573195000077</c:v>
                </c:pt>
                <c:pt idx="286">
                  <c:v>61375.573195000077</c:v>
                </c:pt>
                <c:pt idx="287">
                  <c:v>61490.917195000082</c:v>
                </c:pt>
                <c:pt idx="288">
                  <c:v>61490.917195000082</c:v>
                </c:pt>
                <c:pt idx="289">
                  <c:v>61507.719505000081</c:v>
                </c:pt>
                <c:pt idx="290">
                  <c:v>61507.719505000081</c:v>
                </c:pt>
                <c:pt idx="291">
                  <c:v>61517.954505000082</c:v>
                </c:pt>
                <c:pt idx="292">
                  <c:v>61517.954505000082</c:v>
                </c:pt>
                <c:pt idx="293">
                  <c:v>61575.80450500008</c:v>
                </c:pt>
                <c:pt idx="294">
                  <c:v>61575.80450500008</c:v>
                </c:pt>
                <c:pt idx="295">
                  <c:v>61584.971505000081</c:v>
                </c:pt>
                <c:pt idx="296">
                  <c:v>61584.971505000081</c:v>
                </c:pt>
                <c:pt idx="297">
                  <c:v>61647.004505000084</c:v>
                </c:pt>
                <c:pt idx="298">
                  <c:v>61647.004505000084</c:v>
                </c:pt>
                <c:pt idx="299">
                  <c:v>61672.102505000083</c:v>
                </c:pt>
                <c:pt idx="300">
                  <c:v>61672.102505000083</c:v>
                </c:pt>
                <c:pt idx="301">
                  <c:v>61727.443595000084</c:v>
                </c:pt>
                <c:pt idx="302">
                  <c:v>61727.443595000084</c:v>
                </c:pt>
                <c:pt idx="303">
                  <c:v>61731.982595000081</c:v>
                </c:pt>
                <c:pt idx="304">
                  <c:v>61731.982595000081</c:v>
                </c:pt>
                <c:pt idx="305">
                  <c:v>61761.352595000084</c:v>
                </c:pt>
                <c:pt idx="306">
                  <c:v>61761.352595000084</c:v>
                </c:pt>
                <c:pt idx="307">
                  <c:v>61765.891595000081</c:v>
                </c:pt>
                <c:pt idx="308">
                  <c:v>61765.891595000081</c:v>
                </c:pt>
                <c:pt idx="309">
                  <c:v>61772.548795000082</c:v>
                </c:pt>
                <c:pt idx="310">
                  <c:v>61772.548795000082</c:v>
                </c:pt>
                <c:pt idx="311">
                  <c:v>61780.024795000078</c:v>
                </c:pt>
                <c:pt idx="312">
                  <c:v>61780.024795000078</c:v>
                </c:pt>
                <c:pt idx="313">
                  <c:v>61804.054795000076</c:v>
                </c:pt>
                <c:pt idx="314">
                  <c:v>61804.054795000076</c:v>
                </c:pt>
                <c:pt idx="315">
                  <c:v>61819.451795000074</c:v>
                </c:pt>
                <c:pt idx="316">
                  <c:v>61819.451795000074</c:v>
                </c:pt>
                <c:pt idx="317">
                  <c:v>61877.90699500007</c:v>
                </c:pt>
                <c:pt idx="318">
                  <c:v>61877.90699500007</c:v>
                </c:pt>
                <c:pt idx="319">
                  <c:v>61919.736995000072</c:v>
                </c:pt>
                <c:pt idx="320">
                  <c:v>61919.736995000072</c:v>
                </c:pt>
                <c:pt idx="321">
                  <c:v>61923.29699500007</c:v>
                </c:pt>
                <c:pt idx="322">
                  <c:v>61923.29699500007</c:v>
                </c:pt>
                <c:pt idx="323">
                  <c:v>61932.374995000071</c:v>
                </c:pt>
                <c:pt idx="324">
                  <c:v>61932.374995000071</c:v>
                </c:pt>
                <c:pt idx="325">
                  <c:v>61950.530995000074</c:v>
                </c:pt>
                <c:pt idx="326">
                  <c:v>61950.530995000074</c:v>
                </c:pt>
                <c:pt idx="327">
                  <c:v>61960.320995000075</c:v>
                </c:pt>
                <c:pt idx="328">
                  <c:v>61960.320995000075</c:v>
                </c:pt>
                <c:pt idx="329">
                  <c:v>64922.398354004661</c:v>
                </c:pt>
                <c:pt idx="330">
                  <c:v>64922.398354004661</c:v>
                </c:pt>
                <c:pt idx="331">
                  <c:v>64935.74835400466</c:v>
                </c:pt>
                <c:pt idx="332">
                  <c:v>64935.74835400466</c:v>
                </c:pt>
                <c:pt idx="333">
                  <c:v>64956.307354004661</c:v>
                </c:pt>
                <c:pt idx="334">
                  <c:v>64956.307354004661</c:v>
                </c:pt>
                <c:pt idx="335">
                  <c:v>65188.597354004662</c:v>
                </c:pt>
                <c:pt idx="336">
                  <c:v>65188.597354004662</c:v>
                </c:pt>
                <c:pt idx="337">
                  <c:v>65212.571907004662</c:v>
                </c:pt>
                <c:pt idx="338">
                  <c:v>65212.571907004662</c:v>
                </c:pt>
                <c:pt idx="339">
                  <c:v>65223.339839004657</c:v>
                </c:pt>
                <c:pt idx="340">
                  <c:v>65223.339839004657</c:v>
                </c:pt>
                <c:pt idx="341">
                  <c:v>65250.039839004654</c:v>
                </c:pt>
                <c:pt idx="342">
                  <c:v>65250.039839004654</c:v>
                </c:pt>
                <c:pt idx="343">
                  <c:v>65509.474839004659</c:v>
                </c:pt>
                <c:pt idx="344">
                  <c:v>65509.474839004659</c:v>
                </c:pt>
                <c:pt idx="345">
                  <c:v>65609.154839004652</c:v>
                </c:pt>
                <c:pt idx="346">
                  <c:v>65609.154839004652</c:v>
                </c:pt>
                <c:pt idx="347">
                  <c:v>65788.934839004651</c:v>
                </c:pt>
                <c:pt idx="348">
                  <c:v>65788.934839004651</c:v>
                </c:pt>
                <c:pt idx="349">
                  <c:v>65863.694839004645</c:v>
                </c:pt>
                <c:pt idx="350">
                  <c:v>65863.694839004645</c:v>
                </c:pt>
                <c:pt idx="351">
                  <c:v>65873.484839004639</c:v>
                </c:pt>
                <c:pt idx="352">
                  <c:v>65873.484839004639</c:v>
                </c:pt>
                <c:pt idx="353">
                  <c:v>65885.944839004645</c:v>
                </c:pt>
                <c:pt idx="354">
                  <c:v>65885.944839004645</c:v>
                </c:pt>
                <c:pt idx="355">
                  <c:v>66015.617839004641</c:v>
                </c:pt>
                <c:pt idx="356">
                  <c:v>66015.617839004641</c:v>
                </c:pt>
                <c:pt idx="357">
                  <c:v>66030.625039004633</c:v>
                </c:pt>
                <c:pt idx="358">
                  <c:v>66030.625039004633</c:v>
                </c:pt>
                <c:pt idx="359">
                  <c:v>66054.21003900464</c:v>
                </c:pt>
                <c:pt idx="360">
                  <c:v>66054.21003900464</c:v>
                </c:pt>
                <c:pt idx="361">
                  <c:v>66113.573039004637</c:v>
                </c:pt>
                <c:pt idx="362">
                  <c:v>66113.573039004637</c:v>
                </c:pt>
                <c:pt idx="363">
                  <c:v>66309.373039004626</c:v>
                </c:pt>
                <c:pt idx="364">
                  <c:v>66309.373039004626</c:v>
                </c:pt>
                <c:pt idx="365">
                  <c:v>66353.873039004626</c:v>
                </c:pt>
                <c:pt idx="366">
                  <c:v>66353.873039004626</c:v>
                </c:pt>
                <c:pt idx="367">
                  <c:v>66376.123039004626</c:v>
                </c:pt>
                <c:pt idx="368">
                  <c:v>66376.123039004626</c:v>
                </c:pt>
                <c:pt idx="369">
                  <c:v>66447.361539004618</c:v>
                </c:pt>
                <c:pt idx="370">
                  <c:v>66447.361539004618</c:v>
                </c:pt>
                <c:pt idx="371">
                  <c:v>66531.199539004607</c:v>
                </c:pt>
                <c:pt idx="372">
                  <c:v>66531.199539004607</c:v>
                </c:pt>
                <c:pt idx="373">
                  <c:v>66711.399539004618</c:v>
                </c:pt>
                <c:pt idx="374">
                  <c:v>66711.399539004618</c:v>
                </c:pt>
                <c:pt idx="375">
                  <c:v>66715.47953900462</c:v>
                </c:pt>
                <c:pt idx="376">
                  <c:v>66715.47953900462</c:v>
                </c:pt>
                <c:pt idx="377">
                  <c:v>66998.699539004621</c:v>
                </c:pt>
                <c:pt idx="378">
                  <c:v>66998.699539004621</c:v>
                </c:pt>
                <c:pt idx="379">
                  <c:v>67073.295539004612</c:v>
                </c:pt>
                <c:pt idx="380">
                  <c:v>67073.295539004612</c:v>
                </c:pt>
                <c:pt idx="381">
                  <c:v>67102.620539004609</c:v>
                </c:pt>
                <c:pt idx="382">
                  <c:v>67102.620539004609</c:v>
                </c:pt>
                <c:pt idx="383">
                  <c:v>67103.062539004604</c:v>
                </c:pt>
                <c:pt idx="384">
                  <c:v>67103.062539004604</c:v>
                </c:pt>
                <c:pt idx="385">
                  <c:v>67449.487965364824</c:v>
                </c:pt>
                <c:pt idx="386">
                  <c:v>67449.487965364824</c:v>
                </c:pt>
                <c:pt idx="387">
                  <c:v>67459.177965364826</c:v>
                </c:pt>
                <c:pt idx="388">
                  <c:v>67459.177965364826</c:v>
                </c:pt>
                <c:pt idx="389">
                  <c:v>67561.177965364826</c:v>
                </c:pt>
                <c:pt idx="390">
                  <c:v>67561.177965364826</c:v>
                </c:pt>
                <c:pt idx="391">
                  <c:v>67579.792965364832</c:v>
                </c:pt>
                <c:pt idx="392">
                  <c:v>67579.792965364832</c:v>
                </c:pt>
                <c:pt idx="393">
                  <c:v>67736.192965364826</c:v>
                </c:pt>
                <c:pt idx="394">
                  <c:v>67736.192965364826</c:v>
                </c:pt>
                <c:pt idx="395">
                  <c:v>67810.142965364823</c:v>
                </c:pt>
                <c:pt idx="396">
                  <c:v>67810.142965364823</c:v>
                </c:pt>
                <c:pt idx="397">
                  <c:v>67908.742965364829</c:v>
                </c:pt>
                <c:pt idx="398">
                  <c:v>67908.742965364829</c:v>
                </c:pt>
                <c:pt idx="399">
                  <c:v>67929.142965364823</c:v>
                </c:pt>
                <c:pt idx="400">
                  <c:v>67929.142965364823</c:v>
                </c:pt>
                <c:pt idx="401">
                  <c:v>68352.17374486482</c:v>
                </c:pt>
                <c:pt idx="402">
                  <c:v>68352.17374486482</c:v>
                </c:pt>
                <c:pt idx="403">
                  <c:v>68389.998744864817</c:v>
                </c:pt>
                <c:pt idx="404">
                  <c:v>68389.998744864817</c:v>
                </c:pt>
                <c:pt idx="405">
                  <c:v>68468.878744864822</c:v>
                </c:pt>
                <c:pt idx="406">
                  <c:v>68468.878744864822</c:v>
                </c:pt>
                <c:pt idx="407">
                  <c:v>68584.478744864828</c:v>
                </c:pt>
                <c:pt idx="408">
                  <c:v>68584.478744864828</c:v>
                </c:pt>
                <c:pt idx="409">
                  <c:v>68623.578744864833</c:v>
                </c:pt>
                <c:pt idx="410">
                  <c:v>68623.578744864833</c:v>
                </c:pt>
                <c:pt idx="411">
                  <c:v>68696.678744864839</c:v>
                </c:pt>
                <c:pt idx="412">
                  <c:v>68696.678744864839</c:v>
                </c:pt>
                <c:pt idx="413">
                  <c:v>68756.093744864818</c:v>
                </c:pt>
                <c:pt idx="414">
                  <c:v>68756.093744864818</c:v>
                </c:pt>
                <c:pt idx="415">
                  <c:v>68803.693744864824</c:v>
                </c:pt>
                <c:pt idx="416">
                  <c:v>68803.693744864824</c:v>
                </c:pt>
                <c:pt idx="417">
                  <c:v>68962.813744864834</c:v>
                </c:pt>
                <c:pt idx="418">
                  <c:v>68962.813744864834</c:v>
                </c:pt>
                <c:pt idx="419">
                  <c:v>68991.713744864828</c:v>
                </c:pt>
                <c:pt idx="420">
                  <c:v>68991.713744864828</c:v>
                </c:pt>
                <c:pt idx="421">
                  <c:v>69135.635744864834</c:v>
                </c:pt>
                <c:pt idx="422">
                  <c:v>69135.635744864834</c:v>
                </c:pt>
                <c:pt idx="423">
                  <c:v>69167.675744864828</c:v>
                </c:pt>
              </c:numCache>
            </c:numRef>
          </c:cat>
          <c:val>
            <c:numRef>
              <c:f>'Backend II'!$I$2:$I$461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102.0119</c:v>
                </c:pt>
                <c:pt idx="369">
                  <c:v>102.0119</c:v>
                </c:pt>
                <c:pt idx="370">
                  <c:v>0</c:v>
                </c:pt>
                <c:pt idx="371">
                  <c:v>0</c:v>
                </c:pt>
                <c:pt idx="372">
                  <c:v>105.7854</c:v>
                </c:pt>
                <c:pt idx="373">
                  <c:v>105.7854</c:v>
                </c:pt>
                <c:pt idx="374">
                  <c:v>106.0873</c:v>
                </c:pt>
                <c:pt idx="375">
                  <c:v>106.0873</c:v>
                </c:pt>
                <c:pt idx="376">
                  <c:v>106.5575</c:v>
                </c:pt>
                <c:pt idx="377">
                  <c:v>106.5575</c:v>
                </c:pt>
                <c:pt idx="378">
                  <c:v>106.6965</c:v>
                </c:pt>
                <c:pt idx="379">
                  <c:v>106.6965</c:v>
                </c:pt>
                <c:pt idx="380">
                  <c:v>107.0038</c:v>
                </c:pt>
                <c:pt idx="381">
                  <c:v>107.0038</c:v>
                </c:pt>
                <c:pt idx="382">
                  <c:v>107.93640000000001</c:v>
                </c:pt>
                <c:pt idx="383">
                  <c:v>107.93640000000001</c:v>
                </c:pt>
                <c:pt idx="384">
                  <c:v>108.2509</c:v>
                </c:pt>
                <c:pt idx="385">
                  <c:v>108.2509</c:v>
                </c:pt>
                <c:pt idx="386">
                  <c:v>108.88549999999999</c:v>
                </c:pt>
                <c:pt idx="387">
                  <c:v>108.88549999999999</c:v>
                </c:pt>
                <c:pt idx="388">
                  <c:v>111.07640000000001</c:v>
                </c:pt>
                <c:pt idx="389">
                  <c:v>111.07640000000001</c:v>
                </c:pt>
                <c:pt idx="390">
                  <c:v>112.1747</c:v>
                </c:pt>
                <c:pt idx="391">
                  <c:v>112.1747</c:v>
                </c:pt>
                <c:pt idx="392">
                  <c:v>112.5147</c:v>
                </c:pt>
                <c:pt idx="393">
                  <c:v>112.5147</c:v>
                </c:pt>
                <c:pt idx="394">
                  <c:v>113.89570000000001</c:v>
                </c:pt>
                <c:pt idx="395">
                  <c:v>113.89570000000001</c:v>
                </c:pt>
                <c:pt idx="396">
                  <c:v>114.24630000000001</c:v>
                </c:pt>
                <c:pt idx="397">
                  <c:v>114.24630000000001</c:v>
                </c:pt>
                <c:pt idx="398">
                  <c:v>115.9995</c:v>
                </c:pt>
                <c:pt idx="399">
                  <c:v>115.9995</c:v>
                </c:pt>
                <c:pt idx="400">
                  <c:v>0</c:v>
                </c:pt>
                <c:pt idx="401">
                  <c:v>0</c:v>
                </c:pt>
                <c:pt idx="402">
                  <c:v>117.876</c:v>
                </c:pt>
                <c:pt idx="403">
                  <c:v>117.876</c:v>
                </c:pt>
                <c:pt idx="404">
                  <c:v>121.3837</c:v>
                </c:pt>
                <c:pt idx="405">
                  <c:v>121.3837</c:v>
                </c:pt>
                <c:pt idx="406">
                  <c:v>122.3304</c:v>
                </c:pt>
                <c:pt idx="407">
                  <c:v>122.3304</c:v>
                </c:pt>
                <c:pt idx="408">
                  <c:v>127.2967</c:v>
                </c:pt>
                <c:pt idx="409">
                  <c:v>127.2967</c:v>
                </c:pt>
                <c:pt idx="410">
                  <c:v>128.33920000000001</c:v>
                </c:pt>
                <c:pt idx="411">
                  <c:v>128.33920000000001</c:v>
                </c:pt>
                <c:pt idx="412">
                  <c:v>129.399</c:v>
                </c:pt>
                <c:pt idx="413">
                  <c:v>129.399</c:v>
                </c:pt>
                <c:pt idx="414">
                  <c:v>130.47649999999999</c:v>
                </c:pt>
                <c:pt idx="415">
                  <c:v>130.47649999999999</c:v>
                </c:pt>
                <c:pt idx="416">
                  <c:v>131.57239999999999</c:v>
                </c:pt>
                <c:pt idx="417">
                  <c:v>131.57239999999999</c:v>
                </c:pt>
                <c:pt idx="418">
                  <c:v>132.68690000000001</c:v>
                </c:pt>
                <c:pt idx="419">
                  <c:v>132.68690000000001</c:v>
                </c:pt>
                <c:pt idx="420">
                  <c:v>0</c:v>
                </c:pt>
                <c:pt idx="421">
                  <c:v>0</c:v>
                </c:pt>
                <c:pt idx="422">
                  <c:v>0</c:v>
                </c:pt>
                <c:pt idx="423">
                  <c:v>0</c:v>
                </c:pt>
              </c:numCache>
            </c:numRef>
          </c:val>
          <c:extLst>
            <c:ext xmlns:c16="http://schemas.microsoft.com/office/drawing/2014/chart" uri="{C3380CC4-5D6E-409C-BE32-E72D297353CC}">
              <c16:uniqueId val="{00000007-36EA-4B5A-A753-59A5F0DC6440}"/>
            </c:ext>
          </c:extLst>
        </c:ser>
        <c:ser>
          <c:idx val="0"/>
          <c:order val="7"/>
          <c:tx>
            <c:strRef>
              <c:f>'Backend II'!$J$1</c:f>
              <c:strCache>
                <c:ptCount val="1"/>
                <c:pt idx="0">
                  <c:v> Sonstige </c:v>
                </c:pt>
              </c:strCache>
            </c:strRef>
          </c:tx>
          <c:spPr>
            <a:solidFill>
              <a:srgbClr val="FFF2D4"/>
            </a:solidFill>
            <a:ln>
              <a:noFill/>
            </a:ln>
          </c:spPr>
          <c:dPt>
            <c:idx val="1"/>
            <c:bubble3D val="0"/>
            <c:spPr>
              <a:solidFill>
                <a:srgbClr val="FFF2D4"/>
              </a:solidFill>
              <a:ln w="19050">
                <a:noFill/>
              </a:ln>
            </c:spPr>
            <c:extLst>
              <c:ext xmlns:c16="http://schemas.microsoft.com/office/drawing/2014/chart" uri="{C3380CC4-5D6E-409C-BE32-E72D297353CC}">
                <c16:uniqueId val="{00000001-4896-4777-BF38-B43F19701F78}"/>
              </c:ext>
            </c:extLst>
          </c:dPt>
          <c:val>
            <c:numRef>
              <c:f>'Backend II'!$J$2:$J$461</c:f>
              <c:numCache>
                <c:formatCode>_-* #,##0.00\ "€"_-;\-* #,##0.00\ "€"_-;_-* "-"??\ "€"_-;_-@_-</c:formatCode>
                <c:ptCount val="4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116.72190000000001</c:v>
                </c:pt>
                <c:pt idx="401">
                  <c:v>116.72190000000001</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142.43790000000001</c:v>
                </c:pt>
                <c:pt idx="421">
                  <c:v>142.43790000000001</c:v>
                </c:pt>
                <c:pt idx="422">
                  <c:v>0</c:v>
                </c:pt>
                <c:pt idx="423">
                  <c:v>0</c:v>
                </c:pt>
              </c:numCache>
            </c:numRef>
          </c:val>
          <c:extLst>
            <c:ext xmlns:c16="http://schemas.microsoft.com/office/drawing/2014/chart" uri="{C3380CC4-5D6E-409C-BE32-E72D297353CC}">
              <c16:uniqueId val="{00000000-5156-413C-B9F1-9ABBB4292AEF}"/>
            </c:ext>
          </c:extLst>
        </c:ser>
        <c:ser>
          <c:idx val="6"/>
          <c:order val="8"/>
          <c:tx>
            <c:v>EE</c:v>
          </c:tx>
          <c:spPr>
            <a:solidFill>
              <a:srgbClr val="00B050"/>
            </a:solidFill>
            <a:ln w="25400">
              <a:noFill/>
            </a:ln>
          </c:spPr>
          <c:val>
            <c:numRef>
              <c:f>'Backend II'!$B$2:$B$495</c:f>
              <c:numCache>
                <c:formatCode>_-* #,##0.00\ "€"_-;\-* #,##0.00\ "€"_-;_-* "-"??\ "€"_-;_-@_-</c:formatCode>
                <c:ptCount val="49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numCache>
            </c:numRef>
          </c:val>
          <c:extLst>
            <c:ext xmlns:c16="http://schemas.microsoft.com/office/drawing/2014/chart" uri="{C3380CC4-5D6E-409C-BE32-E72D297353CC}">
              <c16:uniqueId val="{00000002-4896-4777-BF38-B43F19701F78}"/>
            </c:ext>
          </c:extLst>
        </c:ser>
        <c:dLbls>
          <c:showLegendKey val="0"/>
          <c:showVal val="0"/>
          <c:showCatName val="0"/>
          <c:showSerName val="0"/>
          <c:showPercent val="0"/>
          <c:showBubbleSize val="0"/>
        </c:dLbls>
        <c:axId val="820288032"/>
        <c:axId val="820278240"/>
      </c:areaChart>
      <c:dateAx>
        <c:axId val="820288032"/>
        <c:scaling>
          <c:orientation val="minMax"/>
        </c:scaling>
        <c:delete val="0"/>
        <c:axPos val="b"/>
        <c:title>
          <c:tx>
            <c:rich>
              <a:bodyPr/>
              <a:lstStyle/>
              <a:p>
                <a:pPr>
                  <a:defRPr/>
                </a:pPr>
                <a:r>
                  <a:rPr lang="de-DE"/>
                  <a:t>Kumulierte Leistung [MW]</a:t>
                </a:r>
              </a:p>
            </c:rich>
          </c:tx>
          <c:layout>
            <c:manualLayout>
              <c:xMode val="edge"/>
              <c:yMode val="edge"/>
              <c:x val="0.35350002219550991"/>
              <c:y val="0.92181082302982253"/>
            </c:manualLayout>
          </c:layout>
          <c:overlay val="0"/>
        </c:title>
        <c:numFmt formatCode="#\ ###" sourceLinked="0"/>
        <c:majorTickMark val="out"/>
        <c:minorTickMark val="none"/>
        <c:tickLblPos val="nextTo"/>
        <c:spPr>
          <a:ln w="12700">
            <a:solidFill>
              <a:srgbClr val="A6A6A6"/>
            </a:solidFill>
            <a:prstDash val="solid"/>
          </a:ln>
        </c:spPr>
        <c:crossAx val="820278240"/>
        <c:crossesAt val="0"/>
        <c:auto val="0"/>
        <c:lblOffset val="50"/>
        <c:baseTimeUnit val="days"/>
        <c:majorUnit val="10000"/>
        <c:majorTimeUnit val="days"/>
        <c:minorUnit val="20"/>
        <c:minorTimeUnit val="years"/>
      </c:dateAx>
      <c:valAx>
        <c:axId val="820278240"/>
        <c:scaling>
          <c:orientation val="minMax"/>
          <c:max val="160"/>
          <c:min val="0"/>
        </c:scaling>
        <c:delete val="0"/>
        <c:axPos val="l"/>
        <c:title>
          <c:tx>
            <c:rich>
              <a:bodyPr/>
              <a:lstStyle/>
              <a:p>
                <a:pPr>
                  <a:defRPr/>
                </a:pPr>
                <a:r>
                  <a:rPr lang="de-DE"/>
                  <a:t>Grenzkosten [EUR/MWh</a:t>
                </a:r>
                <a:r>
                  <a:rPr lang="de-DE" baseline="-25000"/>
                  <a:t>el</a:t>
                </a:r>
                <a:r>
                  <a:rPr lang="de-DE"/>
                  <a:t>]</a:t>
                </a:r>
              </a:p>
            </c:rich>
          </c:tx>
          <c:layout>
            <c:manualLayout>
              <c:xMode val="edge"/>
              <c:yMode val="edge"/>
              <c:x val="1.125865785091305E-2"/>
              <c:y val="0.20762538191221513"/>
            </c:manualLayout>
          </c:layout>
          <c:overlay val="0"/>
        </c:title>
        <c:numFmt formatCode="#,##0" sourceLinked="0"/>
        <c:majorTickMark val="out"/>
        <c:minorTickMark val="none"/>
        <c:tickLblPos val="nextTo"/>
        <c:spPr>
          <a:ln>
            <a:solidFill>
              <a:schemeClr val="bg1">
                <a:lumMod val="85000"/>
              </a:schemeClr>
            </a:solidFill>
          </a:ln>
        </c:spPr>
        <c:crossAx val="820288032"/>
        <c:crosses val="autoZero"/>
        <c:crossBetween val="midCat"/>
      </c:valAx>
      <c:spPr>
        <a:noFill/>
      </c:spPr>
    </c:plotArea>
    <c:legend>
      <c:legendPos val="r"/>
      <c:layout>
        <c:manualLayout>
          <c:xMode val="edge"/>
          <c:yMode val="edge"/>
          <c:x val="0.84159787699597155"/>
          <c:y val="0.14028140799023225"/>
          <c:w val="0.14956245987639785"/>
          <c:h val="0.68620278230787768"/>
        </c:manualLayout>
      </c:layout>
      <c:overlay val="0"/>
    </c:legend>
    <c:plotVisOnly val="1"/>
    <c:dispBlanksAs val="zero"/>
    <c:showDLblsOverMax val="0"/>
  </c:chart>
  <c:spPr>
    <a:solidFill>
      <a:sysClr val="window" lastClr="FFFFFF"/>
    </a:solidFill>
    <a:ln>
      <a:noFill/>
    </a:ln>
  </c:spPr>
  <c:txPr>
    <a:bodyPr/>
    <a:lstStyle/>
    <a:p>
      <a:pPr>
        <a:defRPr sz="1200" b="0" i="0">
          <a:solidFill>
            <a:schemeClr val="tx1">
              <a:lumMod val="65000"/>
              <a:lumOff val="35000"/>
            </a:schemeClr>
          </a:solidFill>
          <a:latin typeface="Trebuchet MS" panose="020B0603020202020204" pitchFamily="34" charset="0"/>
          <a:ea typeface="Segoe UI"/>
          <a:cs typeface="Segoe UI"/>
        </a:defRPr>
      </a:pPr>
      <a:endParaRPr lang="nl-NL"/>
    </a:p>
  </c:txPr>
  <c:printSettings>
    <c:headerFooter/>
    <c:pageMargins b="0" l="0" r="0" t="0" header="0" footer="0"/>
    <c:pageSetup paperSize="28" orientation="portrait"/>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490027705797426E-2"/>
          <c:y val="0.10214518378320392"/>
          <c:w val="0.90527047855868426"/>
          <c:h val="0.79293684496900774"/>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extLst>
                  <c:ext xmlns:c15="http://schemas.microsoft.com/office/drawing/2012/chart" uri="{02D57815-91ED-43cb-92C2-25804820EDAC}">
                    <c15:fullRef>
                      <c15:sqref>'Hilfssheet Abbildung'!$C$11:$I$11</c15:sqref>
                    </c15:fullRef>
                  </c:ext>
                </c:extLst>
                <c:f>'Hilfssheet Abbildung'!$H$11</c:f>
                <c:numCache>
                  <c:formatCode>General</c:formatCode>
                  <c:ptCount val="1"/>
                  <c:pt idx="0">
                    <c:v>7.2631802767636628</c:v>
                  </c:pt>
                </c:numCache>
              </c:numRef>
            </c:minus>
            <c:spPr>
              <a:noFill/>
              <a:ln w="25400" cap="flat" cmpd="sng" algn="ctr">
                <a:solidFill>
                  <a:schemeClr val="tx1">
                    <a:lumMod val="50000"/>
                    <a:lumOff val="50000"/>
                  </a:schemeClr>
                </a:solidFill>
                <a:prstDash val="solid"/>
              </a:ln>
              <a:effectLst/>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Abbildung'!$C$12:$I$12</c15:sqref>
                  </c15:fullRef>
                </c:ext>
              </c:extLst>
              <c:f>'Hilfssheet Abbildung'!$H$12</c:f>
              <c:numCache>
                <c:formatCode>0.0</c:formatCode>
                <c:ptCount val="1"/>
                <c:pt idx="0">
                  <c:v>76.021585656206511</c:v>
                </c:pt>
              </c:numCache>
            </c:numRef>
          </c:val>
          <c:extLst>
            <c:ext xmlns:c16="http://schemas.microsoft.com/office/drawing/2014/chart" uri="{C3380CC4-5D6E-409C-BE32-E72D297353CC}">
              <c16:uniqueId val="{00000000-3CFF-46B1-A727-17B7FBF168E2}"/>
            </c:ext>
          </c:extLst>
        </c:ser>
        <c:ser>
          <c:idx val="1"/>
          <c:order val="1"/>
          <c:tx>
            <c:strRef>
              <c:f>'Hilfssheet Abbildung'!$B$13</c:f>
              <c:strCache>
                <c:ptCount val="1"/>
                <c:pt idx="0">
                  <c:v>Median-Q1</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1-3CFF-46B1-A727-17B7FBF168E2}"/>
              </c:ext>
            </c:extLst>
          </c:dPt>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Abbildung'!$C$13:$I$13</c15:sqref>
                  </c15:fullRef>
                </c:ext>
              </c:extLst>
              <c:f>'Hilfssheet Abbildung'!$H$13</c:f>
              <c:numCache>
                <c:formatCode>0.0</c:formatCode>
                <c:ptCount val="1"/>
                <c:pt idx="0">
                  <c:v>3.8132069033169245</c:v>
                </c:pt>
              </c:numCache>
            </c:numRef>
          </c:val>
          <c:extLst>
            <c:ext xmlns:c15="http://schemas.microsoft.com/office/drawing/2012/chart" uri="{02D57815-91ED-43cb-92C2-25804820EDAC}">
              <c15:categoryFilterExceptions>
                <c15:categoryFilterException>
                  <c15:sqref>'Hilfssheet Abbildung'!$C$13</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Abbildung'!$D$13</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2-3CFF-46B1-A727-17B7FBF168E2}"/>
            </c:ext>
          </c:extLst>
        </c:ser>
        <c:ser>
          <c:idx val="2"/>
          <c:order val="2"/>
          <c:tx>
            <c:strRef>
              <c:f>'Hilfssheet Abbildung'!$B$14</c:f>
              <c:strCache>
                <c:ptCount val="1"/>
                <c:pt idx="0">
                  <c:v>Q3-Median</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3-3CFF-46B1-A727-17B7FBF168E2}"/>
              </c:ext>
            </c:extLst>
          </c:dPt>
          <c:errBars>
            <c:errBarType val="plus"/>
            <c:errValType val="cust"/>
            <c:noEndCap val="0"/>
            <c:plus>
              <c:numRef>
                <c:extLst>
                  <c:ext xmlns:c15="http://schemas.microsoft.com/office/drawing/2012/chart" uri="{02D57815-91ED-43cb-92C2-25804820EDAC}">
                    <c15:fullRef>
                      <c15:sqref>'Hilfssheet Abbildung'!$C$15:$I$15</c15:sqref>
                    </c15:fullRef>
                  </c:ext>
                </c:extLst>
                <c:f>'Hilfssheet Abbildung'!$H$15</c:f>
                <c:numCache>
                  <c:formatCode>General</c:formatCode>
                  <c:ptCount val="1"/>
                  <c:pt idx="0">
                    <c:v>11.153215725900779</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Abbildung'!$C$14:$I$14</c15:sqref>
                  </c15:fullRef>
                </c:ext>
              </c:extLst>
              <c:f>'Hilfssheet Abbildung'!$H$14</c:f>
              <c:numCache>
                <c:formatCode>0.0</c:formatCode>
                <c:ptCount val="1"/>
                <c:pt idx="0">
                  <c:v>12.238803308778685</c:v>
                </c:pt>
              </c:numCache>
            </c:numRef>
          </c:val>
          <c:extLst>
            <c:ext xmlns:c15="http://schemas.microsoft.com/office/drawing/2012/chart" uri="{02D57815-91ED-43cb-92C2-25804820EDAC}">
              <c15:categoryFilterExceptions>
                <c15:categoryFilterException>
                  <c15:sqref>'Hilfssheet Abbildung'!$C$14</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Abbildung'!$D$14</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4-3CFF-46B1-A727-17B7FBF168E2}"/>
            </c:ext>
          </c:extLst>
        </c:ser>
        <c:dLbls>
          <c:showLegendKey val="0"/>
          <c:showVal val="0"/>
          <c:showCatName val="0"/>
          <c:showSerName val="0"/>
          <c:showPercent val="0"/>
          <c:showBubbleSize val="0"/>
        </c:dLbls>
        <c:gapWidth val="100"/>
        <c:overlap val="100"/>
        <c:axId val="820274976"/>
        <c:axId val="820288576"/>
      </c:barChart>
      <c:catAx>
        <c:axId val="820274976"/>
        <c:scaling>
          <c:orientation val="minMax"/>
        </c:scaling>
        <c:delete val="1"/>
        <c:axPos val="b"/>
        <c:numFmt formatCode="General" sourceLinked="1"/>
        <c:majorTickMark val="out"/>
        <c:minorTickMark val="none"/>
        <c:tickLblPos val="nextTo"/>
        <c:crossAx val="820288576"/>
        <c:crosses val="autoZero"/>
        <c:auto val="1"/>
        <c:lblAlgn val="ctr"/>
        <c:lblOffset val="100"/>
        <c:noMultiLvlLbl val="0"/>
      </c:catAx>
      <c:valAx>
        <c:axId val="820288576"/>
        <c:scaling>
          <c:orientation val="minMax"/>
          <c:min val="60"/>
        </c:scaling>
        <c:delete val="1"/>
        <c:axPos val="l"/>
        <c:numFmt formatCode="0" sourceLinked="0"/>
        <c:majorTickMark val="out"/>
        <c:minorTickMark val="none"/>
        <c:tickLblPos val="nextTo"/>
        <c:crossAx val="820274976"/>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sz="1200" b="0">
          <a:solidFill>
            <a:schemeClr val="tx1">
              <a:lumMod val="65000"/>
              <a:lumOff val="35000"/>
            </a:schemeClr>
          </a:solidFill>
          <a:latin typeface="Trebuchet MS" panose="020B0603020202020204" pitchFamily="34" charset="0"/>
        </a:defRPr>
      </a:pPr>
      <a:endParaRPr lang="nl-NL"/>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490027705797426E-2"/>
          <c:y val="0.10214518378320392"/>
          <c:w val="0.90527047855868426"/>
          <c:h val="0.79293684496900774"/>
        </c:manualLayout>
      </c:layout>
      <c:barChart>
        <c:barDir val="col"/>
        <c:grouping val="stacked"/>
        <c:varyColors val="0"/>
        <c:ser>
          <c:idx val="0"/>
          <c:order val="0"/>
          <c:tx>
            <c:strRef>
              <c:f>'Hilfssheet Abbildung'!$B$12</c:f>
              <c:strCache>
                <c:ptCount val="1"/>
                <c:pt idx="0">
                  <c:v>Q1</c:v>
                </c:pt>
              </c:strCache>
            </c:strRef>
          </c:tx>
          <c:spPr>
            <a:noFill/>
            <a:ln>
              <a:noFill/>
            </a:ln>
            <a:effectLst/>
          </c:spPr>
          <c:invertIfNegative val="0"/>
          <c:errBars>
            <c:errBarType val="minus"/>
            <c:errValType val="cust"/>
            <c:noEndCap val="0"/>
            <c:minus>
              <c:numRef>
                <c:extLst>
                  <c:ext xmlns:c15="http://schemas.microsoft.com/office/drawing/2012/chart" uri="{02D57815-91ED-43cb-92C2-25804820EDAC}">
                    <c15:fullRef>
                      <c15:sqref>'Hilfssheet Abbildung'!$C$11:$I$11</c15:sqref>
                    </c15:fullRef>
                  </c:ext>
                </c:extLst>
                <c:f>'Hilfssheet Abbildung'!$H$11</c:f>
                <c:numCache>
                  <c:formatCode>General</c:formatCode>
                  <c:ptCount val="1"/>
                  <c:pt idx="0">
                    <c:v>7.2631802767636628</c:v>
                  </c:pt>
                </c:numCache>
              </c:numRef>
            </c:minus>
            <c:spPr>
              <a:noFill/>
              <a:ln w="25400" cap="flat" cmpd="sng" algn="ctr">
                <a:solidFill>
                  <a:schemeClr val="tx1">
                    <a:lumMod val="50000"/>
                    <a:lumOff val="50000"/>
                  </a:schemeClr>
                </a:solidFill>
                <a:prstDash val="solid"/>
              </a:ln>
              <a:effectLst/>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Abbildung'!$C$12:$I$12</c15:sqref>
                  </c15:fullRef>
                </c:ext>
              </c:extLst>
              <c:f>'Hilfssheet Abbildung'!$H$12</c:f>
              <c:numCache>
                <c:formatCode>0.0</c:formatCode>
                <c:ptCount val="1"/>
                <c:pt idx="0">
                  <c:v>76.021585656206511</c:v>
                </c:pt>
              </c:numCache>
            </c:numRef>
          </c:val>
          <c:extLst>
            <c:ext xmlns:c16="http://schemas.microsoft.com/office/drawing/2014/chart" uri="{C3380CC4-5D6E-409C-BE32-E72D297353CC}">
              <c16:uniqueId val="{00000000-1173-446E-9186-816DB6984BD6}"/>
            </c:ext>
          </c:extLst>
        </c:ser>
        <c:ser>
          <c:idx val="1"/>
          <c:order val="1"/>
          <c:tx>
            <c:strRef>
              <c:f>'Hilfssheet Abbildung'!$B$13</c:f>
              <c:strCache>
                <c:ptCount val="1"/>
                <c:pt idx="0">
                  <c:v>Median-Q1</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1-1173-446E-9186-816DB6984BD6}"/>
              </c:ext>
            </c:extLst>
          </c:dPt>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Abbildung'!$C$13:$I$13</c15:sqref>
                  </c15:fullRef>
                </c:ext>
              </c:extLst>
              <c:f>'Hilfssheet Abbildung'!$H$13</c:f>
              <c:numCache>
                <c:formatCode>0.0</c:formatCode>
                <c:ptCount val="1"/>
                <c:pt idx="0">
                  <c:v>3.8132069033169245</c:v>
                </c:pt>
              </c:numCache>
            </c:numRef>
          </c:val>
          <c:extLst>
            <c:ext xmlns:c15="http://schemas.microsoft.com/office/drawing/2012/chart" uri="{02D57815-91ED-43cb-92C2-25804820EDAC}">
              <c15:categoryFilterExceptions>
                <c15:categoryFilterException>
                  <c15:sqref>'Hilfssheet Abbildung'!$C$13</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Abbildung'!$D$13</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Abbildung'!$I$13</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2-1173-446E-9186-816DB6984BD6}"/>
            </c:ext>
          </c:extLst>
        </c:ser>
        <c:ser>
          <c:idx val="2"/>
          <c:order val="2"/>
          <c:tx>
            <c:strRef>
              <c:f>'Hilfssheet Abbildung'!$B$14</c:f>
              <c:strCache>
                <c:ptCount val="1"/>
                <c:pt idx="0">
                  <c:v>Q3-Median</c:v>
                </c:pt>
              </c:strCache>
            </c:strRef>
          </c:tx>
          <c:spPr>
            <a:solidFill>
              <a:schemeClr val="bg1">
                <a:lumMod val="95000"/>
              </a:schemeClr>
            </a:solidFill>
            <a:ln w="19050" cap="sq">
              <a:solidFill>
                <a:schemeClr val="tx1">
                  <a:lumMod val="50000"/>
                  <a:lumOff val="50000"/>
                </a:schemeClr>
              </a:solidFill>
              <a:miter lim="800000"/>
            </a:ln>
          </c:spPr>
          <c:invertIfNegative val="0"/>
          <c:dPt>
            <c:idx val="0"/>
            <c:invertIfNegative val="0"/>
            <c:bubble3D val="0"/>
            <c:extLst>
              <c:ext xmlns:c16="http://schemas.microsoft.com/office/drawing/2014/chart" uri="{C3380CC4-5D6E-409C-BE32-E72D297353CC}">
                <c16:uniqueId val="{00000003-1173-446E-9186-816DB6984BD6}"/>
              </c:ext>
            </c:extLst>
          </c:dPt>
          <c:errBars>
            <c:errBarType val="plus"/>
            <c:errValType val="cust"/>
            <c:noEndCap val="0"/>
            <c:plus>
              <c:numRef>
                <c:extLst>
                  <c:ext xmlns:c15="http://schemas.microsoft.com/office/drawing/2012/chart" uri="{02D57815-91ED-43cb-92C2-25804820EDAC}">
                    <c15:fullRef>
                      <c15:sqref>'Hilfssheet Abbildung'!$C$15:$I$15</c15:sqref>
                    </c15:fullRef>
                  </c:ext>
                </c:extLst>
                <c:f>'Hilfssheet Abbildung'!$H$15</c:f>
                <c:numCache>
                  <c:formatCode>General</c:formatCode>
                  <c:ptCount val="1"/>
                  <c:pt idx="0">
                    <c:v>11.153215725900779</c:v>
                  </c:pt>
                </c:numCache>
              </c:numRef>
            </c:plus>
            <c:minus>
              <c:numLit>
                <c:formatCode>General</c:formatCode>
                <c:ptCount val="1"/>
                <c:pt idx="0">
                  <c:v>0</c:v>
                </c:pt>
              </c:numLit>
            </c:minus>
            <c:spPr>
              <a:ln w="25400" cap="sq">
                <a:solidFill>
                  <a:schemeClr val="tx1">
                    <a:lumMod val="50000"/>
                    <a:lumOff val="50000"/>
                  </a:schemeClr>
                </a:solidFill>
                <a:miter lim="800000"/>
              </a:ln>
            </c:spPr>
          </c:errBars>
          <c:cat>
            <c:strRef>
              <c:extLst>
                <c:ext xmlns:c15="http://schemas.microsoft.com/office/drawing/2012/chart" uri="{02D57815-91ED-43cb-92C2-25804820EDAC}">
                  <c15:fullRef>
                    <c15:sqref>'Hilfssheet Abbildung'!$C$10:$I$10</c15:sqref>
                  </c15:fullRef>
                </c:ext>
              </c:extLst>
              <c:f>'Hilfssheet Abbildung'!$H$10</c:f>
              <c:strCache>
                <c:ptCount val="1"/>
                <c:pt idx="0">
                  <c:v>Gasturbine</c:v>
                </c:pt>
              </c:strCache>
            </c:strRef>
          </c:cat>
          <c:val>
            <c:numRef>
              <c:extLst>
                <c:ext xmlns:c15="http://schemas.microsoft.com/office/drawing/2012/chart" uri="{02D57815-91ED-43cb-92C2-25804820EDAC}">
                  <c15:fullRef>
                    <c15:sqref>'Hilfssheet Abbildung'!$C$14:$I$14</c15:sqref>
                  </c15:fullRef>
                </c:ext>
              </c:extLst>
              <c:f>'Hilfssheet Abbildung'!$H$14</c:f>
              <c:numCache>
                <c:formatCode>0.0</c:formatCode>
                <c:ptCount val="1"/>
                <c:pt idx="0">
                  <c:v>12.238803308778685</c:v>
                </c:pt>
              </c:numCache>
            </c:numRef>
          </c:val>
          <c:extLst>
            <c:ext xmlns:c15="http://schemas.microsoft.com/office/drawing/2012/chart" uri="{02D57815-91ED-43cb-92C2-25804820EDAC}">
              <c15:categoryFilterExceptions>
                <c15:categoryFilterException>
                  <c15:sqref>'Hilfssheet Abbildung'!$C$14</c15:sqref>
                  <c15:spPr xmlns:c15="http://schemas.microsoft.com/office/drawing/2012/chart">
                    <a:solidFill>
                      <a:schemeClr val="bg1">
                        <a:lumMod val="95000"/>
                      </a:schemeClr>
                    </a:solidFill>
                    <a:ln w="19050" cap="sq">
                      <a:solidFill>
                        <a:srgbClr val="9B0000"/>
                      </a:solidFill>
                      <a:miter lim="800000"/>
                    </a:ln>
                  </c15:spPr>
                  <c15:invertIfNegative val="0"/>
                  <c15:bubble3D val="0"/>
                </c15:categoryFilterException>
                <c15:categoryFilterException>
                  <c15:sqref>'Hilfssheet Abbildung'!$D$14</c15:sqref>
                  <c15:spPr xmlns:c15="http://schemas.microsoft.com/office/drawing/2012/chart">
                    <a:solidFill>
                      <a:schemeClr val="bg1">
                        <a:lumMod val="95000"/>
                      </a:schemeClr>
                    </a:solidFill>
                    <a:ln w="19050" cap="sq">
                      <a:solidFill>
                        <a:srgbClr val="FFFF00"/>
                      </a:solidFill>
                      <a:miter lim="800000"/>
                    </a:ln>
                  </c15:spPr>
                  <c15:invertIfNegative val="0"/>
                  <c15:bubble3D val="0"/>
                </c15:categoryFilterException>
                <c15:categoryFilterException>
                  <c15:sqref>'Hilfssheet Abbildung'!$E$14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Abbildung'!$F$14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Abbildung'!$G$14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
                  <c15:sqref>'Hilfssheet Abbildung'!$I$14</c15:sqref>
                  <c15:spPr xmlns:c15="http://schemas.microsoft.com/office/drawing/2012/chart">
                    <a:solidFill>
                      <a:schemeClr val="bg1">
                        <a:lumMod val="95000"/>
                      </a:schemeClr>
                    </a:solidFill>
                    <a:ln w="19050" cap="sq">
                      <a:solidFill>
                        <a:schemeClr val="tx1">
                          <a:lumMod val="50000"/>
                          <a:lumOff val="50000"/>
                        </a:schemeClr>
                      </a:solidFill>
                      <a:miter lim="800000"/>
                    </a:ln>
                  </c15:spPr>
                  <c15:invertIfNegative val="0"/>
                  <c15:bubble3D val="0"/>
                </c15:categoryFilterException>
              </c15:categoryFilterExceptions>
            </c:ext>
            <c:ext xmlns:c16="http://schemas.microsoft.com/office/drawing/2014/chart" uri="{C3380CC4-5D6E-409C-BE32-E72D297353CC}">
              <c16:uniqueId val="{00000004-1173-446E-9186-816DB6984BD6}"/>
            </c:ext>
          </c:extLst>
        </c:ser>
        <c:dLbls>
          <c:showLegendKey val="0"/>
          <c:showVal val="0"/>
          <c:showCatName val="0"/>
          <c:showSerName val="0"/>
          <c:showPercent val="0"/>
          <c:showBubbleSize val="0"/>
        </c:dLbls>
        <c:gapWidth val="100"/>
        <c:overlap val="100"/>
        <c:axId val="820287488"/>
        <c:axId val="820284768"/>
      </c:barChart>
      <c:catAx>
        <c:axId val="820287488"/>
        <c:scaling>
          <c:orientation val="minMax"/>
        </c:scaling>
        <c:delete val="1"/>
        <c:axPos val="b"/>
        <c:numFmt formatCode="General" sourceLinked="1"/>
        <c:majorTickMark val="out"/>
        <c:minorTickMark val="none"/>
        <c:tickLblPos val="nextTo"/>
        <c:crossAx val="820284768"/>
        <c:crosses val="autoZero"/>
        <c:auto val="1"/>
        <c:lblAlgn val="ctr"/>
        <c:lblOffset val="100"/>
        <c:noMultiLvlLbl val="0"/>
      </c:catAx>
      <c:valAx>
        <c:axId val="820284768"/>
        <c:scaling>
          <c:orientation val="minMax"/>
          <c:min val="60"/>
        </c:scaling>
        <c:delete val="1"/>
        <c:axPos val="l"/>
        <c:numFmt formatCode="0" sourceLinked="0"/>
        <c:majorTickMark val="out"/>
        <c:minorTickMark val="none"/>
        <c:tickLblPos val="nextTo"/>
        <c:crossAx val="820287488"/>
        <c:crosses val="autoZero"/>
        <c:crossBetween val="between"/>
      </c:valAx>
      <c:spPr>
        <a:noFill/>
        <a:ln w="25400">
          <a:noFill/>
        </a:ln>
      </c:spPr>
    </c:plotArea>
    <c:plotVisOnly val="1"/>
    <c:dispBlanksAs val="gap"/>
    <c:showDLblsOverMax val="0"/>
  </c:chart>
  <c:spPr>
    <a:noFill/>
    <a:ln w="9525" cap="flat" cmpd="sng" algn="ctr">
      <a:noFill/>
      <a:round/>
    </a:ln>
    <a:effectLst/>
  </c:spPr>
  <c:txPr>
    <a:bodyPr/>
    <a:lstStyle/>
    <a:p>
      <a:pPr>
        <a:defRPr sz="1200" b="0">
          <a:solidFill>
            <a:schemeClr val="tx1">
              <a:lumMod val="65000"/>
              <a:lumOff val="35000"/>
            </a:schemeClr>
          </a:solidFill>
          <a:latin typeface="Trebuchet MS" panose="020B0603020202020204" pitchFamily="34" charset="0"/>
        </a:defRPr>
      </a:pPr>
      <a:endParaRPr lang="nl-NL"/>
    </a:p>
  </c:txPr>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8775700</xdr:colOff>
          <xdr:row>18</xdr:row>
          <xdr:rowOff>469900</xdr:rowOff>
        </xdr:from>
        <xdr:to>
          <xdr:col>4</xdr:col>
          <xdr:colOff>1352550</xdr:colOff>
          <xdr:row>20</xdr:row>
          <xdr:rowOff>38100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333333"/>
                  </a:solidFill>
                  <a:latin typeface="Trebuchet MS"/>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8763000</xdr:colOff>
          <xdr:row>25</xdr:row>
          <xdr:rowOff>228600</xdr:rowOff>
        </xdr:from>
        <xdr:to>
          <xdr:col>4</xdr:col>
          <xdr:colOff>1346200</xdr:colOff>
          <xdr:row>25</xdr:row>
          <xdr:rowOff>774700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333333"/>
                  </a:solidFill>
                  <a:latin typeface="Trebuchet MS"/>
                </a:rPr>
                <a:t>Merit-Order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8775700</xdr:colOff>
          <xdr:row>27</xdr:row>
          <xdr:rowOff>184150</xdr:rowOff>
        </xdr:from>
        <xdr:to>
          <xdr:col>4</xdr:col>
          <xdr:colOff>1352550</xdr:colOff>
          <xdr:row>29</xdr:row>
          <xdr:rowOff>38100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333333"/>
                  </a:solidFill>
                  <a:latin typeface="Trebuchet MS"/>
                </a:rPr>
                <a:t>Kraftwerksliste</a:t>
              </a:r>
            </a:p>
          </xdr:txBody>
        </xdr:sp>
        <xdr:clientData fPrintsWithSheet="0"/>
      </xdr:twoCellAnchor>
    </mc:Choice>
    <mc:Fallback/>
  </mc:AlternateContent>
  <xdr:twoCellAnchor editAs="oneCell">
    <xdr:from>
      <xdr:col>3</xdr:col>
      <xdr:colOff>8703467</xdr:colOff>
      <xdr:row>2</xdr:row>
      <xdr:rowOff>163034</xdr:rowOff>
    </xdr:from>
    <xdr:to>
      <xdr:col>4</xdr:col>
      <xdr:colOff>1373963</xdr:colOff>
      <xdr:row>2</xdr:row>
      <xdr:rowOff>955034</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22592" y="555940"/>
          <a:ext cx="1528746" cy="79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336550</xdr:colOff>
          <xdr:row>27</xdr:row>
          <xdr:rowOff>127000</xdr:rowOff>
        </xdr:from>
        <xdr:to>
          <xdr:col>15</xdr:col>
          <xdr:colOff>1657350</xdr:colOff>
          <xdr:row>29</xdr:row>
          <xdr:rowOff>114300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1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333333"/>
                  </a:solidFill>
                  <a:latin typeface="Trebuchet MS"/>
                </a:rPr>
                <a:t>Aktualisiere Merit Order</a:t>
              </a:r>
            </a:p>
          </xdr:txBody>
        </xdr:sp>
        <xdr:clientData fPrintsWithSheet="0"/>
      </xdr:twoCellAnchor>
    </mc:Choice>
    <mc:Fallback/>
  </mc:AlternateContent>
  <xdr:twoCellAnchor>
    <xdr:from>
      <xdr:col>7</xdr:col>
      <xdr:colOff>1276350</xdr:colOff>
      <xdr:row>11</xdr:row>
      <xdr:rowOff>130969</xdr:rowOff>
    </xdr:from>
    <xdr:to>
      <xdr:col>15</xdr:col>
      <xdr:colOff>730250</xdr:colOff>
      <xdr:row>26</xdr:row>
      <xdr:rowOff>71437</xdr:rowOff>
    </xdr:to>
    <xdr:graphicFrame macro="">
      <xdr:nvGraphicFramePr>
        <xdr:cNvPr id="9" name="Diagramm 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631032</xdr:colOff>
      <xdr:row>2</xdr:row>
      <xdr:rowOff>166686</xdr:rowOff>
    </xdr:from>
    <xdr:to>
      <xdr:col>10</xdr:col>
      <xdr:colOff>326215</xdr:colOff>
      <xdr:row>2</xdr:row>
      <xdr:rowOff>958686</xdr:rowOff>
    </xdr:to>
    <xdr:pic>
      <xdr:nvPicPr>
        <xdr:cNvPr id="16" name="Grafik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27345" y="571499"/>
          <a:ext cx="1528745" cy="792000"/>
        </a:xfrm>
        <a:prstGeom prst="rect">
          <a:avLst/>
        </a:prstGeom>
      </xdr:spPr>
    </xdr:pic>
    <xdr:clientData/>
  </xdr:twoCellAnchor>
  <xdr:twoCellAnchor editAs="oneCell">
    <xdr:from>
      <xdr:col>10</xdr:col>
      <xdr:colOff>511972</xdr:colOff>
      <xdr:row>2</xdr:row>
      <xdr:rowOff>473720</xdr:rowOff>
    </xdr:from>
    <xdr:to>
      <xdr:col>15</xdr:col>
      <xdr:colOff>1485164</xdr:colOff>
      <xdr:row>2</xdr:row>
      <xdr:rowOff>977720</xdr:rowOff>
    </xdr:to>
    <xdr:pic>
      <xdr:nvPicPr>
        <xdr:cNvPr id="3" name="Grafik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41847" y="878533"/>
          <a:ext cx="6331005" cy="504000"/>
        </a:xfrm>
        <a:prstGeom prst="rect">
          <a:avLst/>
        </a:prstGeom>
      </xdr:spPr>
    </xdr:pic>
    <xdr:clientData/>
  </xdr:twoCellAnchor>
  <xdr:twoCellAnchor editAs="oneCell">
    <xdr:from>
      <xdr:col>8</xdr:col>
      <xdr:colOff>488155</xdr:colOff>
      <xdr:row>14</xdr:row>
      <xdr:rowOff>47625</xdr:rowOff>
    </xdr:from>
    <xdr:to>
      <xdr:col>9</xdr:col>
      <xdr:colOff>151350</xdr:colOff>
      <xdr:row>15</xdr:row>
      <xdr:rowOff>73820</xdr:rowOff>
    </xdr:to>
    <xdr:pic>
      <xdr:nvPicPr>
        <xdr:cNvPr id="15" name="Grafik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84468" y="3917156"/>
          <a:ext cx="556162" cy="288132"/>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0</xdr:colOff>
          <xdr:row>40</xdr:row>
          <xdr:rowOff>114300</xdr:rowOff>
        </xdr:from>
        <xdr:to>
          <xdr:col>15</xdr:col>
          <xdr:colOff>1670050</xdr:colOff>
          <xdr:row>43</xdr:row>
          <xdr:rowOff>31750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333333"/>
                  </a:solidFill>
                  <a:latin typeface="Trebuchet MS"/>
                </a:rPr>
                <a:t>Annahmen zurücksetzen</a:t>
              </a:r>
            </a:p>
          </xdr:txBody>
        </xdr:sp>
        <xdr:clientData fPrintsWithSheet="0"/>
      </xdr:twoCellAnchor>
    </mc:Choice>
    <mc:Fallback/>
  </mc:AlternateContent>
  <xdr:twoCellAnchor editAs="oneCell">
    <xdr:from>
      <xdr:col>14</xdr:col>
      <xdr:colOff>571500</xdr:colOff>
      <xdr:row>6</xdr:row>
      <xdr:rowOff>130969</xdr:rowOff>
    </xdr:from>
    <xdr:to>
      <xdr:col>16</xdr:col>
      <xdr:colOff>88106</xdr:colOff>
      <xdr:row>11</xdr:row>
      <xdr:rowOff>207963</xdr:rowOff>
    </xdr:to>
    <xdr:pic>
      <xdr:nvPicPr>
        <xdr:cNvPr id="18" name="Grafik 17">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418594" y="2024063"/>
          <a:ext cx="2124075" cy="13215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1012031</xdr:colOff>
      <xdr:row>7</xdr:row>
      <xdr:rowOff>95248</xdr:rowOff>
    </xdr:from>
    <xdr:to>
      <xdr:col>9</xdr:col>
      <xdr:colOff>93661</xdr:colOff>
      <xdr:row>7</xdr:row>
      <xdr:rowOff>4262436</xdr:rowOff>
    </xdr:to>
    <xdr:graphicFrame macro="">
      <xdr:nvGraphicFramePr>
        <xdr:cNvPr id="2" name="Chart 4">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404813</xdr:colOff>
      <xdr:row>2</xdr:row>
      <xdr:rowOff>163284</xdr:rowOff>
    </xdr:from>
    <xdr:to>
      <xdr:col>6</xdr:col>
      <xdr:colOff>1943054</xdr:colOff>
      <xdr:row>2</xdr:row>
      <xdr:rowOff>955284</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86563" y="571498"/>
          <a:ext cx="1538241" cy="792000"/>
        </a:xfrm>
        <a:prstGeom prst="rect">
          <a:avLst/>
        </a:prstGeom>
      </xdr:spPr>
    </xdr:pic>
    <xdr:clientData/>
  </xdr:twoCellAnchor>
  <xdr:twoCellAnchor editAs="oneCell">
    <xdr:from>
      <xdr:col>7</xdr:col>
      <xdr:colOff>5105</xdr:colOff>
      <xdr:row>2</xdr:row>
      <xdr:rowOff>460111</xdr:rowOff>
    </xdr:from>
    <xdr:to>
      <xdr:col>10</xdr:col>
      <xdr:colOff>1157732</xdr:colOff>
      <xdr:row>2</xdr:row>
      <xdr:rowOff>964111</xdr:rowOff>
    </xdr:to>
    <xdr:pic>
      <xdr:nvPicPr>
        <xdr:cNvPr id="5" name="Grafik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95962" y="868325"/>
          <a:ext cx="6336949" cy="5040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647700</xdr:colOff>
          <xdr:row>7</xdr:row>
          <xdr:rowOff>3486150</xdr:rowOff>
        </xdr:from>
        <xdr:to>
          <xdr:col>10</xdr:col>
          <xdr:colOff>984250</xdr:colOff>
          <xdr:row>7</xdr:row>
          <xdr:rowOff>4152900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000000"/>
                  </a:solidFill>
                  <a:latin typeface="Calibri"/>
                  <a:cs typeface="Calibri"/>
                </a:rPr>
                <a:t>Merit-Order-Diagramm speichern</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0.85654</cdr:x>
      <cdr:y>0.74449</cdr:y>
    </cdr:from>
    <cdr:to>
      <cdr:x>0.95915</cdr:x>
      <cdr:y>0.85784</cdr:y>
    </cdr:to>
    <cdr:sp macro="" textlink="">
      <cdr:nvSpPr>
        <cdr:cNvPr id="2" name="Rechteck 1"/>
        <cdr:cNvSpPr/>
      </cdr:nvSpPr>
      <cdr:spPr>
        <a:xfrm xmlns:a="http://schemas.openxmlformats.org/drawingml/2006/main">
          <a:off x="7363801" y="3102430"/>
          <a:ext cx="882089" cy="472363"/>
        </a:xfrm>
        <a:prstGeom xmlns:a="http://schemas.openxmlformats.org/drawingml/2006/main" prst="rect">
          <a:avLst/>
        </a:prstGeom>
        <a:solidFill xmlns:a="http://schemas.openxmlformats.org/drawingml/2006/main">
          <a:sysClr val="window" lastClr="FFFF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0.09677</cdr:x>
      <cdr:y>0.11324</cdr:y>
    </cdr:from>
    <cdr:to>
      <cdr:x>0.18045</cdr:x>
      <cdr:y>0.20278</cdr:y>
    </cdr:to>
    <cdr:pic>
      <cdr:nvPicPr>
        <cdr:cNvPr id="4" name="Grafik 3">
          <a:extLst xmlns:a="http://schemas.openxmlformats.org/drawingml/2006/main">
            <a:ext uri="{FF2B5EF4-FFF2-40B4-BE49-F238E27FC236}">
              <a16:creationId xmlns:a16="http://schemas.microsoft.com/office/drawing/2014/main" id="{2DABA2C3-13C8-4178-841C-250BBA7BCB1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829319" y="471892"/>
          <a:ext cx="717123" cy="37314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editAs="oneCell">
    <xdr:from>
      <xdr:col>21</xdr:col>
      <xdr:colOff>574900</xdr:colOff>
      <xdr:row>2</xdr:row>
      <xdr:rowOff>149679</xdr:rowOff>
    </xdr:from>
    <xdr:to>
      <xdr:col>22</xdr:col>
      <xdr:colOff>574898</xdr:colOff>
      <xdr:row>2</xdr:row>
      <xdr:rowOff>941679</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31936" y="544286"/>
          <a:ext cx="1523998" cy="792000"/>
        </a:xfrm>
        <a:prstGeom prst="rect">
          <a:avLst/>
        </a:prstGeom>
      </xdr:spPr>
    </xdr:pic>
    <xdr:clientData/>
  </xdr:twoCellAnchor>
  <xdr:twoCellAnchor editAs="oneCell">
    <xdr:from>
      <xdr:col>22</xdr:col>
      <xdr:colOff>717776</xdr:colOff>
      <xdr:row>2</xdr:row>
      <xdr:rowOff>473720</xdr:rowOff>
    </xdr:from>
    <xdr:to>
      <xdr:col>25</xdr:col>
      <xdr:colOff>975303</xdr:colOff>
      <xdr:row>2</xdr:row>
      <xdr:rowOff>977720</xdr:rowOff>
    </xdr:to>
    <xdr:pic>
      <xdr:nvPicPr>
        <xdr:cNvPr id="4" name="Grafik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98812" y="868327"/>
          <a:ext cx="6339920" cy="5040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533400</xdr:colOff>
          <xdr:row>6</xdr:row>
          <xdr:rowOff>247650</xdr:rowOff>
        </xdr:from>
        <xdr:to>
          <xdr:col>16</xdr:col>
          <xdr:colOff>1193800</xdr:colOff>
          <xdr:row>6</xdr:row>
          <xdr:rowOff>755650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4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400" b="0" i="0" u="none" strike="noStrike" baseline="0">
                  <a:solidFill>
                    <a:srgbClr val="333333"/>
                  </a:solidFill>
                  <a:latin typeface="Trebuchet MS"/>
                </a:rPr>
                <a:t>Aktualisiere Merit Order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8121764</xdr:colOff>
      <xdr:row>2</xdr:row>
      <xdr:rowOff>163283</xdr:rowOff>
    </xdr:from>
    <xdr:to>
      <xdr:col>3</xdr:col>
      <xdr:colOff>9650509</xdr:colOff>
      <xdr:row>2</xdr:row>
      <xdr:rowOff>955283</xdr:rowOff>
    </xdr:to>
    <xdr:pic>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8407" y="571497"/>
          <a:ext cx="1528745" cy="79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1869281</xdr:colOff>
      <xdr:row>2</xdr:row>
      <xdr:rowOff>154779</xdr:rowOff>
    </xdr:from>
    <xdr:to>
      <xdr:col>5</xdr:col>
      <xdr:colOff>3398026</xdr:colOff>
      <xdr:row>2</xdr:row>
      <xdr:rowOff>946779</xdr:rowOff>
    </xdr:to>
    <xdr:pic>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32219" y="559592"/>
          <a:ext cx="1528745" cy="79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866776</xdr:colOff>
      <xdr:row>2</xdr:row>
      <xdr:rowOff>37061</xdr:rowOff>
    </xdr:from>
    <xdr:to>
      <xdr:col>9</xdr:col>
      <xdr:colOff>352426</xdr:colOff>
      <xdr:row>2</xdr:row>
      <xdr:rowOff>914399</xdr:rowOff>
    </xdr:to>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a:srcRect l="75044" r="12668"/>
        <a:stretch/>
      </xdr:blipFill>
      <xdr:spPr>
        <a:xfrm>
          <a:off x="7781926" y="446636"/>
          <a:ext cx="2057400" cy="877338"/>
        </a:xfrm>
        <a:prstGeom prst="rect">
          <a:avLst/>
        </a:prstGeom>
      </xdr:spPr>
    </xdr:pic>
    <xdr:clientData/>
  </xdr:twoCellAnchor>
  <xdr:twoCellAnchor editAs="oneCell">
    <xdr:from>
      <xdr:col>10</xdr:col>
      <xdr:colOff>201083</xdr:colOff>
      <xdr:row>2</xdr:row>
      <xdr:rowOff>61396</xdr:rowOff>
    </xdr:from>
    <xdr:to>
      <xdr:col>15</xdr:col>
      <xdr:colOff>1129507</xdr:colOff>
      <xdr:row>2</xdr:row>
      <xdr:rowOff>842962</xdr:rowOff>
    </xdr:to>
    <xdr:pic>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1"/>
        <a:srcRect l="10060" t="1085" r="47372" b="-1085"/>
        <a:stretch/>
      </xdr:blipFill>
      <xdr:spPr>
        <a:xfrm>
          <a:off x="10630958" y="470971"/>
          <a:ext cx="6290999" cy="781566"/>
        </a:xfrm>
        <a:prstGeom prst="rect">
          <a:avLst/>
        </a:prstGeom>
      </xdr:spPr>
    </xdr:pic>
    <xdr:clientData/>
  </xdr:twoCellAnchor>
  <xdr:twoCellAnchor>
    <xdr:from>
      <xdr:col>15</xdr:col>
      <xdr:colOff>790575</xdr:colOff>
      <xdr:row>6</xdr:row>
      <xdr:rowOff>114300</xdr:rowOff>
    </xdr:from>
    <xdr:to>
      <xdr:col>15</xdr:col>
      <xdr:colOff>1565275</xdr:colOff>
      <xdr:row>11</xdr:row>
      <xdr:rowOff>190500</xdr:rowOff>
    </xdr:to>
    <xdr:graphicFrame macro="">
      <xdr:nvGraphicFramePr>
        <xdr:cNvPr id="8" name="Diagramm 2">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390525</xdr:colOff>
      <xdr:row>7</xdr:row>
      <xdr:rowOff>19050</xdr:rowOff>
    </xdr:from>
    <xdr:ext cx="1123950" cy="952500"/>
    <xdr:sp macro="" textlink="">
      <xdr:nvSpPr>
        <xdr:cNvPr id="9" name="Textfeld 8">
          <a:extLst>
            <a:ext uri="{FF2B5EF4-FFF2-40B4-BE49-F238E27FC236}">
              <a16:creationId xmlns:a16="http://schemas.microsoft.com/office/drawing/2014/main" id="{00000000-0008-0000-0700-000009000000}"/>
            </a:ext>
          </a:extLst>
        </xdr:cNvPr>
        <xdr:cNvSpPr txBox="1"/>
      </xdr:nvSpPr>
      <xdr:spPr>
        <a:xfrm>
          <a:off x="15240000" y="2085975"/>
          <a:ext cx="1123950" cy="952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de-DE" sz="1000">
              <a:solidFill>
                <a:schemeClr val="tx1">
                  <a:lumMod val="85000"/>
                  <a:lumOff val="15000"/>
                </a:schemeClr>
              </a:solidFill>
              <a:latin typeface="Trebuchet MS" panose="020B0603020202020204" pitchFamily="34" charset="0"/>
            </a:rPr>
            <a:t>Maximalwert</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Oberes Quartil</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Median</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Unteres Quartil</a:t>
          </a:r>
        </a:p>
        <a:p>
          <a:pPr algn="r"/>
          <a:endParaRPr lang="de-DE" sz="200">
            <a:solidFill>
              <a:schemeClr val="tx1">
                <a:lumMod val="85000"/>
                <a:lumOff val="15000"/>
              </a:schemeClr>
            </a:solidFill>
            <a:latin typeface="Trebuchet MS" panose="020B0603020202020204" pitchFamily="34" charset="0"/>
          </a:endParaRPr>
        </a:p>
        <a:p>
          <a:pPr algn="r"/>
          <a:r>
            <a:rPr lang="de-DE" sz="1000">
              <a:solidFill>
                <a:schemeClr val="tx1">
                  <a:lumMod val="85000"/>
                  <a:lumOff val="15000"/>
                </a:schemeClr>
              </a:solidFill>
              <a:latin typeface="Trebuchet MS" panose="020B0603020202020204" pitchFamily="34" charset="0"/>
            </a:rPr>
            <a:t>Minimalwert</a:t>
          </a:r>
        </a:p>
      </xdr:txBody>
    </xdr:sp>
    <xdr:clientData/>
  </xdr:oneCellAnchor>
  <xdr:twoCellAnchor>
    <xdr:from>
      <xdr:col>15</xdr:col>
      <xdr:colOff>514350</xdr:colOff>
      <xdr:row>7</xdr:row>
      <xdr:rowOff>69075</xdr:rowOff>
    </xdr:from>
    <xdr:to>
      <xdr:col>15</xdr:col>
      <xdr:colOff>1123369</xdr:colOff>
      <xdr:row>7</xdr:row>
      <xdr:rowOff>142876</xdr:rowOff>
    </xdr:to>
    <xdr:cxnSp macro="">
      <xdr:nvCxnSpPr>
        <xdr:cNvPr id="10" name="Gerader Verbinder 9">
          <a:extLst>
            <a:ext uri="{FF2B5EF4-FFF2-40B4-BE49-F238E27FC236}">
              <a16:creationId xmlns:a16="http://schemas.microsoft.com/office/drawing/2014/main" id="{00000000-0008-0000-0700-00000A000000}"/>
            </a:ext>
          </a:extLst>
        </xdr:cNvPr>
        <xdr:cNvCxnSpPr/>
      </xdr:nvCxnSpPr>
      <xdr:spPr>
        <a:xfrm flipV="1">
          <a:off x="16306800" y="2136000"/>
          <a:ext cx="609019" cy="7380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516241</xdr:colOff>
      <xdr:row>8</xdr:row>
      <xdr:rowOff>98159</xdr:rowOff>
    </xdr:from>
    <xdr:to>
      <xdr:col>15</xdr:col>
      <xdr:colOff>988855</xdr:colOff>
      <xdr:row>8</xdr:row>
      <xdr:rowOff>112701</xdr:rowOff>
    </xdr:to>
    <xdr:cxnSp macro="">
      <xdr:nvCxnSpPr>
        <xdr:cNvPr id="11" name="Gerader Verbinder 10">
          <a:extLst>
            <a:ext uri="{FF2B5EF4-FFF2-40B4-BE49-F238E27FC236}">
              <a16:creationId xmlns:a16="http://schemas.microsoft.com/office/drawing/2014/main" id="{00000000-0008-0000-0700-00000B000000}"/>
            </a:ext>
          </a:extLst>
        </xdr:cNvPr>
        <xdr:cNvCxnSpPr/>
      </xdr:nvCxnSpPr>
      <xdr:spPr>
        <a:xfrm>
          <a:off x="16308691" y="2384159"/>
          <a:ext cx="472614" cy="14542"/>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519585</xdr:colOff>
      <xdr:row>9</xdr:row>
      <xdr:rowOff>43335</xdr:rowOff>
    </xdr:from>
    <xdr:to>
      <xdr:col>15</xdr:col>
      <xdr:colOff>996126</xdr:colOff>
      <xdr:row>9</xdr:row>
      <xdr:rowOff>156326</xdr:rowOff>
    </xdr:to>
    <xdr:cxnSp macro="">
      <xdr:nvCxnSpPr>
        <xdr:cNvPr id="12" name="Gerader Verbinder 11">
          <a:extLst>
            <a:ext uri="{FF2B5EF4-FFF2-40B4-BE49-F238E27FC236}">
              <a16:creationId xmlns:a16="http://schemas.microsoft.com/office/drawing/2014/main" id="{00000000-0008-0000-0700-00000C000000}"/>
            </a:ext>
          </a:extLst>
        </xdr:cNvPr>
        <xdr:cNvCxnSpPr/>
      </xdr:nvCxnSpPr>
      <xdr:spPr>
        <a:xfrm>
          <a:off x="16312035" y="2576985"/>
          <a:ext cx="476541" cy="11299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522930</xdr:colOff>
      <xdr:row>9</xdr:row>
      <xdr:rowOff>206642</xdr:rowOff>
    </xdr:from>
    <xdr:to>
      <xdr:col>15</xdr:col>
      <xdr:colOff>996126</xdr:colOff>
      <xdr:row>10</xdr:row>
      <xdr:rowOff>3635</xdr:rowOff>
    </xdr:to>
    <xdr:cxnSp macro="">
      <xdr:nvCxnSpPr>
        <xdr:cNvPr id="13" name="Gerader Verbinder 12">
          <a:extLst>
            <a:ext uri="{FF2B5EF4-FFF2-40B4-BE49-F238E27FC236}">
              <a16:creationId xmlns:a16="http://schemas.microsoft.com/office/drawing/2014/main" id="{00000000-0008-0000-0700-00000D000000}"/>
            </a:ext>
          </a:extLst>
        </xdr:cNvPr>
        <xdr:cNvCxnSpPr/>
      </xdr:nvCxnSpPr>
      <xdr:spPr>
        <a:xfrm>
          <a:off x="16315380" y="2740292"/>
          <a:ext cx="473196" cy="44643"/>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523512</xdr:colOff>
      <xdr:row>10</xdr:row>
      <xdr:rowOff>138149</xdr:rowOff>
    </xdr:from>
    <xdr:to>
      <xdr:col>15</xdr:col>
      <xdr:colOff>1137911</xdr:colOff>
      <xdr:row>10</xdr:row>
      <xdr:rowOff>181774</xdr:rowOff>
    </xdr:to>
    <xdr:cxnSp macro="">
      <xdr:nvCxnSpPr>
        <xdr:cNvPr id="14" name="Gerader Verbinder 13">
          <a:extLst>
            <a:ext uri="{FF2B5EF4-FFF2-40B4-BE49-F238E27FC236}">
              <a16:creationId xmlns:a16="http://schemas.microsoft.com/office/drawing/2014/main" id="{00000000-0008-0000-0700-00000E000000}"/>
            </a:ext>
          </a:extLst>
        </xdr:cNvPr>
        <xdr:cNvCxnSpPr/>
      </xdr:nvCxnSpPr>
      <xdr:spPr>
        <a:xfrm>
          <a:off x="16315962" y="2919449"/>
          <a:ext cx="614399" cy="436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785812</xdr:colOff>
      <xdr:row>2</xdr:row>
      <xdr:rowOff>28575</xdr:rowOff>
    </xdr:from>
    <xdr:to>
      <xdr:col>11</xdr:col>
      <xdr:colOff>896144</xdr:colOff>
      <xdr:row>2</xdr:row>
      <xdr:rowOff>905913</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srcRect l="75044" r="12668"/>
        <a:stretch/>
      </xdr:blipFill>
      <xdr:spPr>
        <a:xfrm>
          <a:off x="14442281" y="421481"/>
          <a:ext cx="2062957" cy="8773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590550</xdr:colOff>
      <xdr:row>17</xdr:row>
      <xdr:rowOff>0</xdr:rowOff>
    </xdr:from>
    <xdr:to>
      <xdr:col>9</xdr:col>
      <xdr:colOff>603250</xdr:colOff>
      <xdr:row>22</xdr:row>
      <xdr:rowOff>152400</xdr:rowOff>
    </xdr:to>
    <xdr:graphicFrame macro="">
      <xdr:nvGraphicFramePr>
        <xdr:cNvPr id="2" name="Diagramm 2">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0</xdr:colOff>
      <xdr:row>17</xdr:row>
      <xdr:rowOff>107155</xdr:rowOff>
    </xdr:from>
    <xdr:ext cx="1123950" cy="1064419"/>
    <xdr:sp macro="" textlink="">
      <xdr:nvSpPr>
        <xdr:cNvPr id="3" name="Textfeld 2">
          <a:extLst>
            <a:ext uri="{FF2B5EF4-FFF2-40B4-BE49-F238E27FC236}">
              <a16:creationId xmlns:a16="http://schemas.microsoft.com/office/drawing/2014/main" id="{00000000-0008-0000-0B00-000003000000}"/>
            </a:ext>
          </a:extLst>
        </xdr:cNvPr>
        <xdr:cNvSpPr txBox="1"/>
      </xdr:nvSpPr>
      <xdr:spPr>
        <a:xfrm>
          <a:off x="6334125" y="3402805"/>
          <a:ext cx="1123950" cy="10644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de-DE" sz="1100">
              <a:solidFill>
                <a:schemeClr val="tx1">
                  <a:lumMod val="85000"/>
                  <a:lumOff val="15000"/>
                </a:schemeClr>
              </a:solidFill>
              <a:latin typeface="Trebuchet MS" panose="020B0603020202020204" pitchFamily="34" charset="0"/>
            </a:rPr>
            <a:t>Maximalwert</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Oberes Quartil</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Median</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Unteres Quartil</a:t>
          </a:r>
        </a:p>
        <a:p>
          <a:pPr algn="r"/>
          <a:endParaRPr lang="de-DE" sz="200">
            <a:solidFill>
              <a:schemeClr val="tx1">
                <a:lumMod val="85000"/>
                <a:lumOff val="15000"/>
              </a:schemeClr>
            </a:solidFill>
            <a:latin typeface="Trebuchet MS" panose="020B0603020202020204" pitchFamily="34" charset="0"/>
          </a:endParaRPr>
        </a:p>
        <a:p>
          <a:pPr algn="r"/>
          <a:r>
            <a:rPr lang="de-DE" sz="1100">
              <a:solidFill>
                <a:schemeClr val="tx1">
                  <a:lumMod val="85000"/>
                  <a:lumOff val="15000"/>
                </a:schemeClr>
              </a:solidFill>
              <a:latin typeface="Trebuchet MS" panose="020B0603020202020204" pitchFamily="34" charset="0"/>
            </a:rPr>
            <a:t>Minimalwert</a:t>
          </a:r>
        </a:p>
      </xdr:txBody>
    </xdr:sp>
    <xdr:clientData/>
  </xdr:oneCellAnchor>
  <xdr:twoCellAnchor>
    <xdr:from>
      <xdr:col>8</xdr:col>
      <xdr:colOff>314325</xdr:colOff>
      <xdr:row>17</xdr:row>
      <xdr:rowOff>216712</xdr:rowOff>
    </xdr:from>
    <xdr:to>
      <xdr:col>9</xdr:col>
      <xdr:colOff>161344</xdr:colOff>
      <xdr:row>17</xdr:row>
      <xdr:rowOff>290513</xdr:rowOff>
    </xdr:to>
    <xdr:cxnSp macro="">
      <xdr:nvCxnSpPr>
        <xdr:cNvPr id="4" name="Gerader Verbinder 3">
          <a:extLst>
            <a:ext uri="{FF2B5EF4-FFF2-40B4-BE49-F238E27FC236}">
              <a16:creationId xmlns:a16="http://schemas.microsoft.com/office/drawing/2014/main" id="{00000000-0008-0000-0B00-000004000000}"/>
            </a:ext>
          </a:extLst>
        </xdr:cNvPr>
        <xdr:cNvCxnSpPr/>
      </xdr:nvCxnSpPr>
      <xdr:spPr>
        <a:xfrm flipV="1">
          <a:off x="7410450" y="3512362"/>
          <a:ext cx="609019" cy="7380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316216</xdr:colOff>
      <xdr:row>18</xdr:row>
      <xdr:rowOff>81490</xdr:rowOff>
    </xdr:from>
    <xdr:to>
      <xdr:col>9</xdr:col>
      <xdr:colOff>26830</xdr:colOff>
      <xdr:row>18</xdr:row>
      <xdr:rowOff>96032</xdr:rowOff>
    </xdr:to>
    <xdr:cxnSp macro="">
      <xdr:nvCxnSpPr>
        <xdr:cNvPr id="5" name="Gerader Verbinder 4">
          <a:extLst>
            <a:ext uri="{FF2B5EF4-FFF2-40B4-BE49-F238E27FC236}">
              <a16:creationId xmlns:a16="http://schemas.microsoft.com/office/drawing/2014/main" id="{00000000-0008-0000-0B00-000005000000}"/>
            </a:ext>
          </a:extLst>
        </xdr:cNvPr>
        <xdr:cNvCxnSpPr/>
      </xdr:nvCxnSpPr>
      <xdr:spPr>
        <a:xfrm>
          <a:off x="7412341" y="3767665"/>
          <a:ext cx="472614" cy="14542"/>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319560</xdr:colOff>
      <xdr:row>19</xdr:row>
      <xdr:rowOff>86197</xdr:rowOff>
    </xdr:from>
    <xdr:to>
      <xdr:col>9</xdr:col>
      <xdr:colOff>34101</xdr:colOff>
      <xdr:row>19</xdr:row>
      <xdr:rowOff>199188</xdr:rowOff>
    </xdr:to>
    <xdr:cxnSp macro="">
      <xdr:nvCxnSpPr>
        <xdr:cNvPr id="6" name="Gerader Verbinder 5">
          <a:extLst>
            <a:ext uri="{FF2B5EF4-FFF2-40B4-BE49-F238E27FC236}">
              <a16:creationId xmlns:a16="http://schemas.microsoft.com/office/drawing/2014/main" id="{00000000-0008-0000-0B00-000006000000}"/>
            </a:ext>
          </a:extLst>
        </xdr:cNvPr>
        <xdr:cNvCxnSpPr/>
      </xdr:nvCxnSpPr>
      <xdr:spPr>
        <a:xfrm>
          <a:off x="7415685" y="3962872"/>
          <a:ext cx="476541" cy="112991"/>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322905</xdr:colOff>
      <xdr:row>20</xdr:row>
      <xdr:rowOff>49479</xdr:rowOff>
    </xdr:from>
    <xdr:to>
      <xdr:col>9</xdr:col>
      <xdr:colOff>34101</xdr:colOff>
      <xdr:row>20</xdr:row>
      <xdr:rowOff>96504</xdr:rowOff>
    </xdr:to>
    <xdr:cxnSp macro="">
      <xdr:nvCxnSpPr>
        <xdr:cNvPr id="7" name="Gerader Verbinder 6">
          <a:extLst>
            <a:ext uri="{FF2B5EF4-FFF2-40B4-BE49-F238E27FC236}">
              <a16:creationId xmlns:a16="http://schemas.microsoft.com/office/drawing/2014/main" id="{00000000-0008-0000-0B00-000007000000}"/>
            </a:ext>
          </a:extLst>
        </xdr:cNvPr>
        <xdr:cNvCxnSpPr/>
      </xdr:nvCxnSpPr>
      <xdr:spPr>
        <a:xfrm>
          <a:off x="7419030" y="4126179"/>
          <a:ext cx="473196" cy="470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323487</xdr:colOff>
      <xdr:row>21</xdr:row>
      <xdr:rowOff>40518</xdr:rowOff>
    </xdr:from>
    <xdr:to>
      <xdr:col>9</xdr:col>
      <xdr:colOff>175886</xdr:colOff>
      <xdr:row>21</xdr:row>
      <xdr:rowOff>84143</xdr:rowOff>
    </xdr:to>
    <xdr:cxnSp macro="">
      <xdr:nvCxnSpPr>
        <xdr:cNvPr id="8" name="Gerader Verbinder 7">
          <a:extLst>
            <a:ext uri="{FF2B5EF4-FFF2-40B4-BE49-F238E27FC236}">
              <a16:creationId xmlns:a16="http://schemas.microsoft.com/office/drawing/2014/main" id="{00000000-0008-0000-0B00-000008000000}"/>
            </a:ext>
          </a:extLst>
        </xdr:cNvPr>
        <xdr:cNvCxnSpPr/>
      </xdr:nvCxnSpPr>
      <xdr:spPr>
        <a:xfrm>
          <a:off x="7419612" y="4307718"/>
          <a:ext cx="614399" cy="43625"/>
        </a:xfrm>
        <a:prstGeom prst="line">
          <a:avLst/>
        </a:prstGeom>
        <a:ln w="15875" cap="sq">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EWI Farben">
      <a:dk1>
        <a:sysClr val="windowText" lastClr="000000"/>
      </a:dk1>
      <a:lt1>
        <a:sysClr val="window" lastClr="FFFFFF"/>
      </a:lt1>
      <a:dk2>
        <a:srgbClr val="616767"/>
      </a:dk2>
      <a:lt2>
        <a:srgbClr val="A0A4A4"/>
      </a:lt2>
      <a:accent1>
        <a:srgbClr val="FFBF27"/>
      </a:accent1>
      <a:accent2>
        <a:srgbClr val="BF3347"/>
      </a:accent2>
      <a:accent3>
        <a:srgbClr val="649BFF"/>
      </a:accent3>
      <a:accent4>
        <a:srgbClr val="8CC8FF"/>
      </a:accent4>
      <a:accent5>
        <a:srgbClr val="64B450"/>
      </a:accent5>
      <a:accent6>
        <a:srgbClr val="B39685"/>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muellergroup.com/medien/pressemitteilungen/sachsenmilch-leppersdorf-nimmt-eigenstromanlage-in-betrieb/" TargetMode="External"/><Relationship Id="rId13" Type="http://schemas.openxmlformats.org/officeDocument/2006/relationships/ctrlProp" Target="../ctrlProps/ctrlProp7.xml"/><Relationship Id="rId3" Type="http://schemas.openxmlformats.org/officeDocument/2006/relationships/hyperlink" Target="http://autogramm.volkswagen.de/01-02_14/standorte/standorte_09.html" TargetMode="External"/><Relationship Id="rId7" Type="http://schemas.openxmlformats.org/officeDocument/2006/relationships/hyperlink" Target="https://www.engie-deutschland.de/de/media/pressemitteilungen/details/Richtfest-im-Heizkraftwerk-Gera-Tinz/" TargetMode="External"/><Relationship Id="rId12" Type="http://schemas.openxmlformats.org/officeDocument/2006/relationships/vmlDrawing" Target="../drawings/vmlDrawing4.vml"/><Relationship Id="rId2" Type="http://schemas.openxmlformats.org/officeDocument/2006/relationships/hyperlink" Target="https://www.bmwgroup-werke.com/landshut/de/aktuelles/pressemitteilungen/2018/kwk-zentrale.html" TargetMode="External"/><Relationship Id="rId1" Type="http://schemas.openxmlformats.org/officeDocument/2006/relationships/hyperlink" Target="https://www.avea.info/klimaschutz/strom/" TargetMode="External"/><Relationship Id="rId6" Type="http://schemas.openxmlformats.org/officeDocument/2006/relationships/hyperlink" Target="https://www.thueringerenergie.de/einblicke/waerme/ein_echt_dickes_ding" TargetMode="External"/><Relationship Id="rId11" Type="http://schemas.openxmlformats.org/officeDocument/2006/relationships/drawing" Target="../drawings/drawing5.xml"/><Relationship Id="rId5" Type="http://schemas.openxmlformats.org/officeDocument/2006/relationships/hyperlink" Target="https://www.stadtwerke-kempen.de/nachhaltige-fernwaerme" TargetMode="External"/><Relationship Id="rId10" Type="http://schemas.openxmlformats.org/officeDocument/2006/relationships/printerSettings" Target="../printerSettings/printerSettings3.bin"/><Relationship Id="rId4" Type="http://schemas.openxmlformats.org/officeDocument/2006/relationships/hyperlink" Target="https://www.energieversorgung-gera.de/privatkunden/unternehmen/aktuelles/mitteilung/vorbereitungen-fuer-neues-heizkraftwerk-gera-lusan.html" TargetMode="External"/><Relationship Id="rId9" Type="http://schemas.openxmlformats.org/officeDocument/2006/relationships/hyperlink" Target="https://www.salzgitter-flachstahl.de/de/news/artikel-der-salzgitter-flachstahl-gmbh/2018-06-27/energie-der-zukunft.html"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www.ewi.uni-koeln.de/" TargetMode="External"/><Relationship Id="rId1" Type="http://schemas.openxmlformats.org/officeDocument/2006/relationships/hyperlink" Target="mailto:fabian.arnold@ewi.uni-koeln.de"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1">
    <tabColor rgb="FFFFC000"/>
  </sheetPr>
  <dimension ref="B1:H35"/>
  <sheetViews>
    <sheetView topLeftCell="A7" zoomScale="80" zoomScaleNormal="80" workbookViewId="0"/>
  </sheetViews>
  <sheetFormatPr defaultColWidth="11.42578125" defaultRowHeight="15" x14ac:dyDescent="0.25"/>
  <cols>
    <col min="1" max="1" width="3" style="5" customWidth="1"/>
    <col min="2" max="2" width="2.85546875" style="5" customWidth="1"/>
    <col min="3" max="3" width="3.42578125" style="5" customWidth="1"/>
    <col min="4" max="4" width="132.85546875" style="5" customWidth="1"/>
    <col min="5" max="5" width="22" style="5" customWidth="1"/>
    <col min="6" max="6" width="3" style="5" customWidth="1"/>
    <col min="7" max="16384" width="11.42578125" style="5"/>
  </cols>
  <sheetData>
    <row r="1" spans="2:8" ht="17.25" customHeight="1" thickBot="1" x14ac:dyDescent="0.3"/>
    <row r="2" spans="2:8" ht="14.25" customHeight="1" x14ac:dyDescent="0.3">
      <c r="B2" s="6"/>
      <c r="C2" s="7"/>
      <c r="D2" s="7"/>
      <c r="E2" s="7"/>
      <c r="F2" s="9"/>
    </row>
    <row r="3" spans="2:8" ht="82.5" customHeight="1" x14ac:dyDescent="0.3">
      <c r="B3" s="10"/>
      <c r="C3" s="11" t="s">
        <v>2489</v>
      </c>
      <c r="D3" s="174"/>
      <c r="E3" s="14"/>
      <c r="F3" s="15"/>
    </row>
    <row r="4" spans="2:8" ht="8.25" customHeight="1" x14ac:dyDescent="0.3">
      <c r="B4" s="10"/>
      <c r="C4" s="16"/>
      <c r="D4" s="16"/>
      <c r="E4" s="16"/>
      <c r="F4" s="15"/>
    </row>
    <row r="5" spans="2:8" ht="18" x14ac:dyDescent="0.35">
      <c r="B5" s="10"/>
      <c r="C5" s="18" t="s">
        <v>2504</v>
      </c>
      <c r="D5" s="209"/>
      <c r="E5" s="19" t="str">
        <f>Impressum!F5</f>
        <v xml:space="preserve">Version 2019.1.4 </v>
      </c>
      <c r="F5" s="15"/>
    </row>
    <row r="6" spans="2:8" ht="8.25" customHeight="1" thickBot="1" x14ac:dyDescent="0.4">
      <c r="B6" s="10"/>
      <c r="C6" s="20"/>
      <c r="D6" s="20"/>
      <c r="E6" s="16"/>
      <c r="F6" s="15"/>
    </row>
    <row r="7" spans="2:8" ht="18" x14ac:dyDescent="0.35">
      <c r="B7" s="10"/>
      <c r="C7" s="186"/>
      <c r="D7" s="210"/>
      <c r="E7" s="187"/>
      <c r="F7" s="15"/>
    </row>
    <row r="8" spans="2:8" ht="18" x14ac:dyDescent="0.35">
      <c r="B8" s="10"/>
      <c r="C8" s="188"/>
      <c r="D8" s="213" t="s">
        <v>2546</v>
      </c>
      <c r="E8" s="189"/>
      <c r="F8" s="15"/>
      <c r="H8" s="208"/>
    </row>
    <row r="9" spans="2:8" ht="18" x14ac:dyDescent="0.35">
      <c r="B9" s="10"/>
      <c r="C9" s="188"/>
      <c r="D9" s="211"/>
      <c r="E9" s="189"/>
      <c r="F9" s="15"/>
      <c r="H9" s="214"/>
    </row>
    <row r="10" spans="2:8" ht="18" x14ac:dyDescent="0.35">
      <c r="B10" s="10"/>
      <c r="C10" s="188"/>
      <c r="D10" s="213" t="s">
        <v>2527</v>
      </c>
      <c r="E10" s="189"/>
      <c r="F10" s="15"/>
      <c r="H10" s="214"/>
    </row>
    <row r="11" spans="2:8" ht="108" x14ac:dyDescent="0.35">
      <c r="B11" s="10"/>
      <c r="C11" s="188"/>
      <c r="D11" s="218" t="s">
        <v>2535</v>
      </c>
      <c r="E11" s="189"/>
      <c r="F11" s="15"/>
      <c r="H11" s="208"/>
    </row>
    <row r="12" spans="2:8" ht="18" x14ac:dyDescent="0.35">
      <c r="B12" s="10"/>
      <c r="C12" s="188"/>
      <c r="D12" s="211" t="s">
        <v>2506</v>
      </c>
      <c r="E12" s="189"/>
      <c r="F12" s="15"/>
      <c r="H12" s="208"/>
    </row>
    <row r="13" spans="2:8" ht="18" x14ac:dyDescent="0.35">
      <c r="B13" s="10"/>
      <c r="C13" s="188"/>
      <c r="D13" s="213" t="s">
        <v>2532</v>
      </c>
      <c r="E13" s="189"/>
      <c r="F13" s="15"/>
      <c r="H13" s="208"/>
    </row>
    <row r="14" spans="2:8" ht="144" x14ac:dyDescent="0.35">
      <c r="B14" s="10"/>
      <c r="C14" s="188"/>
      <c r="D14" s="218" t="s">
        <v>2548</v>
      </c>
      <c r="E14" s="189"/>
      <c r="F14" s="15"/>
      <c r="H14" s="208"/>
    </row>
    <row r="15" spans="2:8" ht="18" x14ac:dyDescent="0.35">
      <c r="B15" s="10"/>
      <c r="C15" s="188"/>
      <c r="D15" s="211"/>
      <c r="E15" s="189"/>
      <c r="F15" s="15"/>
    </row>
    <row r="16" spans="2:8" ht="18" x14ac:dyDescent="0.35">
      <c r="B16" s="10"/>
      <c r="C16" s="188"/>
      <c r="D16" s="213" t="s">
        <v>2523</v>
      </c>
      <c r="E16" s="189"/>
      <c r="F16" s="15"/>
    </row>
    <row r="17" spans="2:6" ht="6" customHeight="1" x14ac:dyDescent="0.35">
      <c r="B17" s="10"/>
      <c r="C17" s="188"/>
      <c r="D17" s="213"/>
      <c r="E17" s="189"/>
      <c r="F17" s="15"/>
    </row>
    <row r="18" spans="2:6" ht="18" x14ac:dyDescent="0.35">
      <c r="B18" s="10"/>
      <c r="C18" s="188"/>
      <c r="D18" s="215" t="s">
        <v>2524</v>
      </c>
      <c r="E18" s="189"/>
      <c r="F18" s="15"/>
    </row>
    <row r="19" spans="2:6" ht="72" x14ac:dyDescent="0.35">
      <c r="B19" s="10"/>
      <c r="C19" s="188"/>
      <c r="D19" s="218" t="s">
        <v>2536</v>
      </c>
      <c r="E19" s="189"/>
      <c r="F19" s="15"/>
    </row>
    <row r="20" spans="2:6" ht="3.75" customHeight="1" x14ac:dyDescent="0.35">
      <c r="B20" s="10"/>
      <c r="C20" s="188"/>
      <c r="D20" s="218"/>
      <c r="E20" s="189"/>
      <c r="F20" s="15"/>
    </row>
    <row r="21" spans="2:6" ht="18" x14ac:dyDescent="0.35">
      <c r="B21" s="10"/>
      <c r="C21" s="188"/>
      <c r="D21" s="218" t="s">
        <v>2540</v>
      </c>
      <c r="E21" s="189"/>
      <c r="F21" s="15"/>
    </row>
    <row r="22" spans="2:6" ht="3.75" customHeight="1" x14ac:dyDescent="0.35">
      <c r="B22" s="10"/>
      <c r="C22" s="188"/>
      <c r="D22" s="218"/>
      <c r="E22" s="189"/>
      <c r="F22" s="15"/>
    </row>
    <row r="23" spans="2:6" ht="36" x14ac:dyDescent="0.35">
      <c r="B23" s="10"/>
      <c r="C23" s="188"/>
      <c r="D23" s="218" t="s">
        <v>2539</v>
      </c>
      <c r="E23" s="189"/>
      <c r="F23" s="15"/>
    </row>
    <row r="24" spans="2:6" ht="18" x14ac:dyDescent="0.35">
      <c r="B24" s="10"/>
      <c r="C24" s="188"/>
      <c r="D24" s="218"/>
      <c r="E24" s="189"/>
      <c r="F24" s="15"/>
    </row>
    <row r="25" spans="2:6" ht="18" x14ac:dyDescent="0.35">
      <c r="B25" s="10"/>
      <c r="C25" s="188"/>
      <c r="D25" s="215" t="s">
        <v>2525</v>
      </c>
      <c r="E25" s="189"/>
      <c r="F25" s="15"/>
    </row>
    <row r="26" spans="2:6" ht="72" x14ac:dyDescent="0.35">
      <c r="B26" s="10"/>
      <c r="C26" s="188"/>
      <c r="D26" s="218" t="s">
        <v>2538</v>
      </c>
      <c r="E26" s="189"/>
      <c r="F26" s="15"/>
    </row>
    <row r="27" spans="2:6" ht="18" x14ac:dyDescent="0.35">
      <c r="B27" s="10"/>
      <c r="C27" s="188"/>
      <c r="D27" s="211"/>
      <c r="E27" s="189"/>
      <c r="F27" s="15"/>
    </row>
    <row r="28" spans="2:6" ht="18" x14ac:dyDescent="0.35">
      <c r="B28" s="10"/>
      <c r="C28" s="188"/>
      <c r="D28" s="215" t="s">
        <v>2526</v>
      </c>
      <c r="E28" s="189"/>
      <c r="F28" s="15"/>
    </row>
    <row r="29" spans="2:6" ht="36" x14ac:dyDescent="0.35">
      <c r="B29" s="10"/>
      <c r="C29" s="188"/>
      <c r="D29" s="218" t="s">
        <v>2537</v>
      </c>
      <c r="E29" s="189"/>
      <c r="F29" s="15"/>
    </row>
    <row r="30" spans="2:6" ht="18" x14ac:dyDescent="0.35">
      <c r="B30" s="10"/>
      <c r="C30" s="188"/>
      <c r="D30" s="211"/>
      <c r="E30" s="189"/>
      <c r="F30" s="15"/>
    </row>
    <row r="31" spans="2:6" ht="18" x14ac:dyDescent="0.35">
      <c r="B31" s="10"/>
      <c r="C31" s="188"/>
      <c r="D31" s="211" t="s">
        <v>2533</v>
      </c>
      <c r="E31" s="189"/>
      <c r="F31" s="15"/>
    </row>
    <row r="32" spans="2:6" ht="18" x14ac:dyDescent="0.35">
      <c r="B32" s="10"/>
      <c r="C32" s="188"/>
      <c r="D32" s="216" t="s">
        <v>2541</v>
      </c>
      <c r="E32" s="189"/>
      <c r="F32" s="15"/>
    </row>
    <row r="33" spans="2:6" ht="18" x14ac:dyDescent="0.35">
      <c r="B33" s="10"/>
      <c r="C33" s="188"/>
      <c r="D33" s="211"/>
      <c r="E33" s="189"/>
      <c r="F33" s="15"/>
    </row>
    <row r="34" spans="2:6" ht="18.75" thickBot="1" x14ac:dyDescent="0.4">
      <c r="B34" s="10"/>
      <c r="C34" s="190"/>
      <c r="D34" s="212"/>
      <c r="E34" s="191"/>
      <c r="F34" s="15"/>
    </row>
    <row r="35" spans="2:6" ht="18.75" thickBot="1" x14ac:dyDescent="0.4">
      <c r="B35" s="21"/>
      <c r="C35" s="22"/>
      <c r="D35" s="22"/>
      <c r="E35" s="24"/>
      <c r="F35" s="25"/>
    </row>
  </sheetData>
  <sheetProtection algorithmName="SHA-512" hashValue="W4v3/e9wQB4wnuTaVfL3gs+wKSPKl0CnmfhVh4g5vhwwEXPEmNmU7tonsBvoSPmesSJE1IGCRGk8BbvgJxBhCQ==" saltValue="0bZC+HeZiGaWLWAszzur0Q==" spinCount="100000" sheet="1" objects="1" scenarios="1"/>
  <pageMargins left="0.7" right="0.7" top="0.78740157499999996" bottom="0.78740157499999996" header="0.3" footer="0.3"/>
  <pageSetup paperSize="9" orientation="portrait"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Start">
                <anchor moveWithCells="1" sizeWithCells="1">
                  <from>
                    <xdr:col>3</xdr:col>
                    <xdr:colOff>13163550</xdr:colOff>
                    <xdr:row>18</xdr:row>
                    <xdr:rowOff>704850</xdr:rowOff>
                  </from>
                  <to>
                    <xdr:col>4</xdr:col>
                    <xdr:colOff>2028825</xdr:colOff>
                    <xdr:row>20</xdr:row>
                    <xdr:rowOff>57150</xdr:rowOff>
                  </to>
                </anchor>
              </controlPr>
            </control>
          </mc:Choice>
        </mc:AlternateContent>
        <mc:AlternateContent xmlns:mc="http://schemas.openxmlformats.org/markup-compatibility/2006">
          <mc:Choice Requires="x14">
            <control shapeId="17410" r:id="rId5" name="Button 2">
              <controlPr defaultSize="0" print="0" autoFill="0" autoPict="0" macro="[0]!showMO">
                <anchor moveWithCells="1" sizeWithCells="1">
                  <from>
                    <xdr:col>3</xdr:col>
                    <xdr:colOff>13144500</xdr:colOff>
                    <xdr:row>25</xdr:row>
                    <xdr:rowOff>342900</xdr:rowOff>
                  </from>
                  <to>
                    <xdr:col>4</xdr:col>
                    <xdr:colOff>2019300</xdr:colOff>
                    <xdr:row>25</xdr:row>
                    <xdr:rowOff>1162050</xdr:rowOff>
                  </to>
                </anchor>
              </controlPr>
            </control>
          </mc:Choice>
        </mc:AlternateContent>
        <mc:AlternateContent xmlns:mc="http://schemas.openxmlformats.org/markup-compatibility/2006">
          <mc:Choice Requires="x14">
            <control shapeId="17411" r:id="rId6" name="Button 3">
              <controlPr defaultSize="0" print="0" autoFill="0" autoPict="0" macro="[0]!showKL">
                <anchor moveWithCells="1" sizeWithCells="1">
                  <from>
                    <xdr:col>3</xdr:col>
                    <xdr:colOff>13163550</xdr:colOff>
                    <xdr:row>27</xdr:row>
                    <xdr:rowOff>276225</xdr:rowOff>
                  </from>
                  <to>
                    <xdr:col>4</xdr:col>
                    <xdr:colOff>2028825</xdr:colOff>
                    <xdr:row>29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
    <tabColor rgb="FFFFC000"/>
  </sheetPr>
  <dimension ref="B1:Q45"/>
  <sheetViews>
    <sheetView tabSelected="1" topLeftCell="G15" zoomScale="115" zoomScaleNormal="115" workbookViewId="0">
      <selection activeCell="D20" sqref="D20"/>
    </sheetView>
  </sheetViews>
  <sheetFormatPr defaultColWidth="11.42578125" defaultRowHeight="16.5" x14ac:dyDescent="0.3"/>
  <cols>
    <col min="1" max="1" width="3" style="223" customWidth="1"/>
    <col min="2" max="2" width="2.85546875" style="223" customWidth="1"/>
    <col min="3" max="3" width="34.28515625" style="223" customWidth="1"/>
    <col min="4" max="4" width="13.42578125" style="224" customWidth="1"/>
    <col min="5" max="5" width="14.140625" style="223" customWidth="1"/>
    <col min="6" max="6" width="33.140625" style="223" customWidth="1"/>
    <col min="7" max="7" width="2.85546875" style="223" customWidth="1"/>
    <col min="8" max="8" width="29.140625" style="223" bestFit="1" customWidth="1"/>
    <col min="9" max="9" width="13.42578125" style="223" customWidth="1"/>
    <col min="10" max="10" width="14.140625" style="223" customWidth="1"/>
    <col min="11" max="11" width="25" style="223" customWidth="1"/>
    <col min="12" max="12" width="2.85546875" style="223" customWidth="1"/>
    <col min="13" max="13" width="25" style="223" customWidth="1"/>
    <col min="14" max="14" width="13.42578125" style="223" customWidth="1"/>
    <col min="15" max="15" width="14.140625" style="223" customWidth="1"/>
    <col min="16" max="16" width="25" style="223" customWidth="1"/>
    <col min="17" max="17" width="2.42578125" style="223" customWidth="1"/>
    <col min="18" max="16384" width="11.42578125" style="223"/>
  </cols>
  <sheetData>
    <row r="1" spans="2:17" ht="17.25" thickBot="1" x14ac:dyDescent="0.35"/>
    <row r="2" spans="2:17" ht="15" customHeight="1" x14ac:dyDescent="0.3">
      <c r="B2" s="225"/>
      <c r="C2" s="226"/>
      <c r="D2" s="227"/>
      <c r="E2" s="226"/>
      <c r="F2" s="226"/>
      <c r="G2" s="226"/>
      <c r="H2" s="226"/>
      <c r="I2" s="226"/>
      <c r="J2" s="226"/>
      <c r="K2" s="226"/>
      <c r="L2" s="226"/>
      <c r="M2" s="226"/>
      <c r="N2" s="226"/>
      <c r="O2" s="226"/>
      <c r="P2" s="226"/>
      <c r="Q2" s="228"/>
    </row>
    <row r="3" spans="2:17" ht="82.5" customHeight="1" x14ac:dyDescent="0.3">
      <c r="B3" s="229"/>
      <c r="C3" s="230" t="s">
        <v>2489</v>
      </c>
      <c r="D3" s="231"/>
      <c r="E3" s="232"/>
      <c r="F3" s="232"/>
      <c r="G3" s="232"/>
      <c r="H3" s="232"/>
      <c r="I3" s="232"/>
      <c r="J3" s="232"/>
      <c r="K3" s="232"/>
      <c r="L3" s="232"/>
      <c r="M3" s="232"/>
      <c r="N3" s="232"/>
      <c r="O3" s="232"/>
      <c r="P3" s="233"/>
      <c r="Q3" s="234"/>
    </row>
    <row r="4" spans="2:17" ht="8.25" customHeight="1" x14ac:dyDescent="0.3">
      <c r="B4" s="229"/>
      <c r="C4" s="235"/>
      <c r="D4" s="236"/>
      <c r="E4" s="235"/>
      <c r="F4" s="235"/>
      <c r="G4" s="235"/>
      <c r="H4" s="235"/>
      <c r="I4" s="235"/>
      <c r="J4" s="235"/>
      <c r="K4" s="235"/>
      <c r="L4" s="235"/>
      <c r="M4" s="235"/>
      <c r="N4" s="235"/>
      <c r="O4" s="235"/>
      <c r="P4" s="235"/>
      <c r="Q4" s="234"/>
    </row>
    <row r="5" spans="2:17" ht="18" x14ac:dyDescent="0.35">
      <c r="B5" s="229"/>
      <c r="C5" s="237" t="s">
        <v>2477</v>
      </c>
      <c r="D5" s="231"/>
      <c r="E5" s="232"/>
      <c r="F5" s="232"/>
      <c r="G5" s="232"/>
      <c r="H5" s="232"/>
      <c r="I5" s="232"/>
      <c r="J5" s="232"/>
      <c r="K5" s="232"/>
      <c r="L5" s="232"/>
      <c r="M5" s="232"/>
      <c r="N5" s="232"/>
      <c r="O5" s="232"/>
      <c r="P5" s="238" t="str">
        <f>Impressum!F5</f>
        <v xml:space="preserve">Version 2019.1.4 </v>
      </c>
      <c r="Q5" s="234"/>
    </row>
    <row r="6" spans="2:17" ht="8.25" customHeight="1" thickBot="1" x14ac:dyDescent="0.4">
      <c r="B6" s="229"/>
      <c r="C6" s="239"/>
      <c r="D6" s="236"/>
      <c r="E6" s="235"/>
      <c r="F6" s="235"/>
      <c r="G6" s="235"/>
      <c r="H6" s="235"/>
      <c r="I6" s="235"/>
      <c r="J6" s="235"/>
      <c r="K6" s="235"/>
      <c r="L6" s="235"/>
      <c r="M6" s="235"/>
      <c r="N6" s="235"/>
      <c r="O6" s="235"/>
      <c r="P6" s="235"/>
      <c r="Q6" s="234"/>
    </row>
    <row r="7" spans="2:17" ht="20.25" customHeight="1" x14ac:dyDescent="0.3">
      <c r="B7" s="229"/>
      <c r="C7" s="370" t="s">
        <v>2399</v>
      </c>
      <c r="D7" s="371"/>
      <c r="E7" s="371"/>
      <c r="F7" s="372"/>
      <c r="G7" s="235"/>
      <c r="H7" s="375" t="s">
        <v>2472</v>
      </c>
      <c r="I7" s="373"/>
      <c r="J7" s="373"/>
      <c r="K7" s="373"/>
      <c r="L7" s="373"/>
      <c r="M7" s="373"/>
      <c r="N7" s="373"/>
      <c r="O7" s="373"/>
      <c r="P7" s="374"/>
      <c r="Q7" s="234"/>
    </row>
    <row r="8" spans="2:17" ht="18" customHeight="1" thickBot="1" x14ac:dyDescent="0.35">
      <c r="B8" s="229"/>
      <c r="C8" s="240" t="s">
        <v>2395</v>
      </c>
      <c r="D8" s="241" t="s">
        <v>2400</v>
      </c>
      <c r="E8" s="241" t="s">
        <v>8</v>
      </c>
      <c r="F8" s="242" t="s">
        <v>0</v>
      </c>
      <c r="G8" s="235"/>
      <c r="H8" s="376" t="s">
        <v>2473</v>
      </c>
      <c r="I8" s="377"/>
      <c r="J8" s="377"/>
      <c r="K8" s="377"/>
      <c r="L8" s="377"/>
      <c r="M8" s="377"/>
      <c r="N8" s="377"/>
      <c r="O8" s="243"/>
      <c r="P8" s="244"/>
      <c r="Q8" s="234"/>
    </row>
    <row r="9" spans="2:17" ht="19.5" x14ac:dyDescent="0.4">
      <c r="B9" s="229"/>
      <c r="C9" s="245" t="s">
        <v>1</v>
      </c>
      <c r="D9" s="272">
        <v>5.5</v>
      </c>
      <c r="E9" s="246" t="s">
        <v>2423</v>
      </c>
      <c r="F9" s="361" t="s">
        <v>2534</v>
      </c>
      <c r="G9" s="235"/>
      <c r="H9" s="368" t="s">
        <v>2542</v>
      </c>
      <c r="I9" s="369"/>
      <c r="J9" s="369"/>
      <c r="K9" s="369"/>
      <c r="L9" s="369"/>
      <c r="M9" s="369"/>
      <c r="N9" s="369"/>
      <c r="O9" s="247"/>
      <c r="P9" s="248"/>
      <c r="Q9" s="234"/>
    </row>
    <row r="10" spans="2:17" ht="19.5" x14ac:dyDescent="0.4">
      <c r="B10" s="229"/>
      <c r="C10" s="249" t="s">
        <v>2</v>
      </c>
      <c r="D10" s="273">
        <v>3.1</v>
      </c>
      <c r="E10" s="250" t="s">
        <v>2423</v>
      </c>
      <c r="F10" s="362" t="s">
        <v>2496</v>
      </c>
      <c r="G10" s="235"/>
      <c r="H10" s="368" t="s">
        <v>2475</v>
      </c>
      <c r="I10" s="369"/>
      <c r="J10" s="369"/>
      <c r="K10" s="369"/>
      <c r="L10" s="369"/>
      <c r="M10" s="369"/>
      <c r="N10" s="369"/>
      <c r="O10" s="247"/>
      <c r="P10" s="248"/>
      <c r="Q10" s="234"/>
    </row>
    <row r="11" spans="2:17" ht="19.5" x14ac:dyDescent="0.4">
      <c r="B11" s="229"/>
      <c r="C11" s="249" t="s">
        <v>3</v>
      </c>
      <c r="D11" s="273">
        <v>11.28</v>
      </c>
      <c r="E11" s="250" t="s">
        <v>2423</v>
      </c>
      <c r="F11" s="362" t="s">
        <v>2482</v>
      </c>
      <c r="G11" s="235"/>
      <c r="H11" s="368" t="s">
        <v>2476</v>
      </c>
      <c r="I11" s="369"/>
      <c r="J11" s="369"/>
      <c r="K11" s="369"/>
      <c r="L11" s="369"/>
      <c r="M11" s="369"/>
      <c r="N11" s="369"/>
      <c r="O11" s="247"/>
      <c r="P11" s="248"/>
      <c r="Q11" s="234"/>
    </row>
    <row r="12" spans="2:17" ht="19.5" x14ac:dyDescent="0.4">
      <c r="B12" s="229"/>
      <c r="C12" s="249" t="s">
        <v>7</v>
      </c>
      <c r="D12" s="273">
        <v>22.77</v>
      </c>
      <c r="E12" s="250" t="s">
        <v>2423</v>
      </c>
      <c r="F12" s="362" t="s">
        <v>2490</v>
      </c>
      <c r="G12" s="235"/>
      <c r="H12" s="251"/>
      <c r="I12" s="252"/>
      <c r="J12" s="252"/>
      <c r="K12" s="252"/>
      <c r="L12" s="252"/>
      <c r="M12" s="252"/>
      <c r="N12" s="252"/>
      <c r="O12" s="252"/>
      <c r="P12" s="253"/>
      <c r="Q12" s="234"/>
    </row>
    <row r="13" spans="2:17" ht="19.5" x14ac:dyDescent="0.4">
      <c r="B13" s="229"/>
      <c r="C13" s="249" t="s">
        <v>4</v>
      </c>
      <c r="D13" s="273">
        <v>32.923832923832897</v>
      </c>
      <c r="E13" s="250" t="s">
        <v>2423</v>
      </c>
      <c r="F13" s="362" t="s">
        <v>2491</v>
      </c>
      <c r="G13" s="235"/>
      <c r="H13" s="254"/>
      <c r="I13" s="255"/>
      <c r="J13" s="255"/>
      <c r="K13" s="255"/>
      <c r="L13" s="255"/>
      <c r="M13" s="255"/>
      <c r="N13" s="255"/>
      <c r="O13" s="255"/>
      <c r="P13" s="256"/>
      <c r="Q13" s="234"/>
    </row>
    <row r="14" spans="2:17" ht="19.5" x14ac:dyDescent="0.4">
      <c r="B14" s="229"/>
      <c r="C14" s="249" t="s">
        <v>6</v>
      </c>
      <c r="D14" s="273">
        <v>0</v>
      </c>
      <c r="E14" s="250" t="s">
        <v>2423</v>
      </c>
      <c r="F14" s="362" t="s">
        <v>2534</v>
      </c>
      <c r="G14" s="235"/>
      <c r="H14" s="254"/>
      <c r="I14" s="255"/>
      <c r="J14" s="255"/>
      <c r="K14" s="255"/>
      <c r="L14" s="255"/>
      <c r="M14" s="255"/>
      <c r="N14" s="255"/>
      <c r="O14" s="255"/>
      <c r="P14" s="256"/>
      <c r="Q14" s="234"/>
    </row>
    <row r="15" spans="2:17" ht="20.25" thickBot="1" x14ac:dyDescent="0.45">
      <c r="B15" s="229"/>
      <c r="C15" s="257" t="s">
        <v>5</v>
      </c>
      <c r="D15" s="274">
        <v>32.923832923832919</v>
      </c>
      <c r="E15" s="258" t="s">
        <v>2423</v>
      </c>
      <c r="F15" s="363" t="s">
        <v>2534</v>
      </c>
      <c r="G15" s="235"/>
      <c r="H15" s="254"/>
      <c r="I15" s="255"/>
      <c r="J15" s="255"/>
      <c r="K15" s="255"/>
      <c r="L15" s="255"/>
      <c r="M15" s="255"/>
      <c r="N15" s="255"/>
      <c r="O15" s="255"/>
      <c r="P15" s="256"/>
      <c r="Q15" s="234"/>
    </row>
    <row r="16" spans="2:17" ht="17.25" thickBot="1" x14ac:dyDescent="0.35">
      <c r="B16" s="229"/>
      <c r="C16" s="235"/>
      <c r="D16" s="236"/>
      <c r="E16" s="235"/>
      <c r="F16" s="235"/>
      <c r="G16" s="235"/>
      <c r="H16" s="254"/>
      <c r="I16" s="255"/>
      <c r="J16" s="255"/>
      <c r="K16" s="255"/>
      <c r="L16" s="255"/>
      <c r="M16" s="259"/>
      <c r="N16" s="255"/>
      <c r="O16" s="255"/>
      <c r="P16" s="256"/>
      <c r="Q16" s="234"/>
    </row>
    <row r="17" spans="2:17" ht="20.25" customHeight="1" x14ac:dyDescent="0.3">
      <c r="B17" s="229"/>
      <c r="C17" s="370" t="s">
        <v>2401</v>
      </c>
      <c r="D17" s="371"/>
      <c r="E17" s="371"/>
      <c r="F17" s="372"/>
      <c r="G17" s="235"/>
      <c r="H17" s="254"/>
      <c r="I17" s="255"/>
      <c r="J17" s="255"/>
      <c r="K17" s="255"/>
      <c r="L17" s="255"/>
      <c r="M17" s="259"/>
      <c r="N17" s="255"/>
      <c r="O17" s="255"/>
      <c r="P17" s="256"/>
      <c r="Q17" s="234"/>
    </row>
    <row r="18" spans="2:17" ht="17.25" thickBot="1" x14ac:dyDescent="0.35">
      <c r="B18" s="229"/>
      <c r="C18" s="240"/>
      <c r="D18" s="241" t="s">
        <v>2400</v>
      </c>
      <c r="E18" s="241" t="s">
        <v>8</v>
      </c>
      <c r="F18" s="242" t="s">
        <v>0</v>
      </c>
      <c r="G18" s="235"/>
      <c r="H18" s="254"/>
      <c r="I18" s="255"/>
      <c r="J18" s="255"/>
      <c r="K18" s="255"/>
      <c r="L18" s="255"/>
      <c r="M18" s="259"/>
      <c r="N18" s="255"/>
      <c r="O18" s="255"/>
      <c r="P18" s="256"/>
      <c r="Q18" s="234"/>
    </row>
    <row r="19" spans="2:17" ht="20.25" thickBot="1" x14ac:dyDescent="0.45">
      <c r="B19" s="229"/>
      <c r="C19" s="257" t="s">
        <v>2401</v>
      </c>
      <c r="D19" s="274">
        <v>24.6</v>
      </c>
      <c r="E19" s="258" t="s">
        <v>2424</v>
      </c>
      <c r="F19" s="363" t="s">
        <v>2492</v>
      </c>
      <c r="G19" s="235"/>
      <c r="H19" s="254"/>
      <c r="I19" s="255"/>
      <c r="J19" s="255"/>
      <c r="K19" s="255"/>
      <c r="L19" s="255"/>
      <c r="M19" s="259"/>
      <c r="N19" s="255"/>
      <c r="O19" s="255"/>
      <c r="P19" s="256"/>
      <c r="Q19" s="234"/>
    </row>
    <row r="20" spans="2:17" ht="17.25" thickBot="1" x14ac:dyDescent="0.35">
      <c r="B20" s="229"/>
      <c r="C20" s="235"/>
      <c r="D20" s="236"/>
      <c r="E20" s="235"/>
      <c r="F20" s="235"/>
      <c r="G20" s="235"/>
      <c r="H20" s="254"/>
      <c r="I20" s="255"/>
      <c r="J20" s="255"/>
      <c r="K20" s="255"/>
      <c r="L20" s="255"/>
      <c r="M20" s="259"/>
      <c r="N20" s="255"/>
      <c r="O20" s="255"/>
      <c r="P20" s="256"/>
      <c r="Q20" s="234"/>
    </row>
    <row r="21" spans="2:17" ht="20.25" customHeight="1" x14ac:dyDescent="0.3">
      <c r="B21" s="229"/>
      <c r="C21" s="370" t="s">
        <v>2393</v>
      </c>
      <c r="D21" s="373"/>
      <c r="E21" s="373"/>
      <c r="F21" s="374"/>
      <c r="G21" s="235"/>
      <c r="H21" s="254"/>
      <c r="I21" s="255"/>
      <c r="J21" s="255"/>
      <c r="K21" s="255"/>
      <c r="L21" s="255"/>
      <c r="M21" s="259"/>
      <c r="N21" s="255"/>
      <c r="O21" s="255"/>
      <c r="P21" s="256"/>
      <c r="Q21" s="234"/>
    </row>
    <row r="22" spans="2:17" ht="17.25" thickBot="1" x14ac:dyDescent="0.35">
      <c r="B22" s="229"/>
      <c r="C22" s="240" t="s">
        <v>2403</v>
      </c>
      <c r="D22" s="241" t="s">
        <v>2400</v>
      </c>
      <c r="E22" s="241" t="s">
        <v>8</v>
      </c>
      <c r="F22" s="242" t="s">
        <v>0</v>
      </c>
      <c r="G22" s="235"/>
      <c r="H22" s="254"/>
      <c r="I22" s="255"/>
      <c r="J22" s="255"/>
      <c r="K22" s="255"/>
      <c r="L22" s="255"/>
      <c r="M22" s="259"/>
      <c r="N22" s="255"/>
      <c r="O22" s="255"/>
      <c r="P22" s="256"/>
      <c r="Q22" s="234"/>
    </row>
    <row r="23" spans="2:17" ht="19.5" x14ac:dyDescent="0.4">
      <c r="B23" s="229"/>
      <c r="C23" s="245" t="s">
        <v>1</v>
      </c>
      <c r="D23" s="272">
        <v>0</v>
      </c>
      <c r="E23" s="246" t="s">
        <v>2423</v>
      </c>
      <c r="F23" s="361" t="s">
        <v>2534</v>
      </c>
      <c r="G23" s="235"/>
      <c r="H23" s="254"/>
      <c r="I23" s="255"/>
      <c r="J23" s="255"/>
      <c r="K23" s="255"/>
      <c r="L23" s="255"/>
      <c r="M23" s="255"/>
      <c r="N23" s="255"/>
      <c r="O23" s="255"/>
      <c r="P23" s="256"/>
      <c r="Q23" s="234"/>
    </row>
    <row r="24" spans="2:17" ht="19.5" x14ac:dyDescent="0.4">
      <c r="B24" s="229"/>
      <c r="C24" s="249" t="s">
        <v>2</v>
      </c>
      <c r="D24" s="273">
        <v>0</v>
      </c>
      <c r="E24" s="250" t="s">
        <v>2423</v>
      </c>
      <c r="F24" s="362" t="s">
        <v>2534</v>
      </c>
      <c r="G24" s="235"/>
      <c r="H24" s="254"/>
      <c r="I24" s="255"/>
      <c r="J24" s="255"/>
      <c r="K24" s="255"/>
      <c r="L24" s="255"/>
      <c r="M24" s="255"/>
      <c r="N24" s="255"/>
      <c r="O24" s="255"/>
      <c r="P24" s="256"/>
      <c r="Q24" s="234"/>
    </row>
    <row r="25" spans="2:17" ht="19.5" x14ac:dyDescent="0.4">
      <c r="B25" s="229"/>
      <c r="C25" s="249" t="s">
        <v>3</v>
      </c>
      <c r="D25" s="273">
        <v>1.25</v>
      </c>
      <c r="E25" s="250" t="s">
        <v>2423</v>
      </c>
      <c r="F25" s="362" t="s">
        <v>2495</v>
      </c>
      <c r="G25" s="235"/>
      <c r="H25" s="254"/>
      <c r="I25" s="255"/>
      <c r="J25" s="255"/>
      <c r="K25" s="255"/>
      <c r="L25" s="255"/>
      <c r="M25" s="255"/>
      <c r="N25" s="255"/>
      <c r="O25" s="255"/>
      <c r="P25" s="256"/>
      <c r="Q25" s="234"/>
    </row>
    <row r="26" spans="2:17" ht="19.5" x14ac:dyDescent="0.4">
      <c r="B26" s="229"/>
      <c r="C26" s="249" t="s">
        <v>7</v>
      </c>
      <c r="D26" s="273">
        <v>0.5</v>
      </c>
      <c r="E26" s="250" t="s">
        <v>2423</v>
      </c>
      <c r="F26" s="362" t="s">
        <v>2495</v>
      </c>
      <c r="G26" s="235"/>
      <c r="H26" s="254"/>
      <c r="I26" s="255"/>
      <c r="J26" s="255"/>
      <c r="K26" s="255"/>
      <c r="L26" s="255"/>
      <c r="M26" s="255"/>
      <c r="N26" s="255"/>
      <c r="O26" s="255"/>
      <c r="P26" s="256"/>
      <c r="Q26" s="234"/>
    </row>
    <row r="27" spans="2:17" ht="20.25" thickBot="1" x14ac:dyDescent="0.45">
      <c r="B27" s="229"/>
      <c r="C27" s="249" t="s">
        <v>4</v>
      </c>
      <c r="D27" s="273">
        <v>0.3</v>
      </c>
      <c r="E27" s="250" t="s">
        <v>2423</v>
      </c>
      <c r="F27" s="362" t="s">
        <v>2495</v>
      </c>
      <c r="G27" s="235"/>
      <c r="H27" s="260"/>
      <c r="I27" s="261"/>
      <c r="J27" s="261"/>
      <c r="K27" s="261"/>
      <c r="L27" s="261"/>
      <c r="M27" s="261"/>
      <c r="N27" s="261"/>
      <c r="O27" s="261"/>
      <c r="P27" s="262"/>
      <c r="Q27" s="234"/>
    </row>
    <row r="28" spans="2:17" ht="20.25" thickBot="1" x14ac:dyDescent="0.45">
      <c r="B28" s="229"/>
      <c r="C28" s="249" t="s">
        <v>6</v>
      </c>
      <c r="D28" s="273">
        <v>0</v>
      </c>
      <c r="E28" s="250" t="s">
        <v>2423</v>
      </c>
      <c r="F28" s="362" t="s">
        <v>2534</v>
      </c>
      <c r="G28" s="235"/>
      <c r="H28" s="235"/>
      <c r="I28" s="235"/>
      <c r="J28" s="235"/>
      <c r="K28" s="235"/>
      <c r="L28" s="235"/>
      <c r="M28" s="235"/>
      <c r="N28" s="235"/>
      <c r="O28" s="235"/>
      <c r="P28" s="235"/>
      <c r="Q28" s="234"/>
    </row>
    <row r="29" spans="2:17" ht="20.25" thickBot="1" x14ac:dyDescent="0.45">
      <c r="B29" s="229"/>
      <c r="C29" s="257" t="s">
        <v>5</v>
      </c>
      <c r="D29" s="274">
        <v>0</v>
      </c>
      <c r="E29" s="258" t="s">
        <v>2423</v>
      </c>
      <c r="F29" s="363" t="s">
        <v>2534</v>
      </c>
      <c r="G29" s="235"/>
      <c r="H29" s="263" t="s">
        <v>2549</v>
      </c>
      <c r="I29" s="275">
        <v>0</v>
      </c>
      <c r="J29" s="264" t="s">
        <v>2547</v>
      </c>
      <c r="K29" s="235"/>
      <c r="L29" s="235"/>
      <c r="M29" s="235"/>
      <c r="N29" s="235"/>
      <c r="O29" s="235"/>
      <c r="P29" s="235"/>
      <c r="Q29" s="234"/>
    </row>
    <row r="30" spans="2:17" ht="17.25" thickBot="1" x14ac:dyDescent="0.35">
      <c r="B30" s="229"/>
      <c r="C30" s="235"/>
      <c r="D30" s="236"/>
      <c r="E30" s="235"/>
      <c r="F30" s="265"/>
      <c r="G30" s="265"/>
      <c r="H30" s="265"/>
      <c r="I30" s="265"/>
      <c r="J30" s="265"/>
      <c r="K30" s="235"/>
      <c r="L30" s="235"/>
      <c r="M30" s="235"/>
      <c r="N30" s="235"/>
      <c r="O30" s="235"/>
      <c r="P30" s="235"/>
      <c r="Q30" s="234"/>
    </row>
    <row r="31" spans="2:17" x14ac:dyDescent="0.3">
      <c r="B31" s="229"/>
      <c r="C31" s="370" t="s">
        <v>2543</v>
      </c>
      <c r="D31" s="371"/>
      <c r="E31" s="371"/>
      <c r="F31" s="372"/>
      <c r="G31" s="265"/>
      <c r="H31" s="370" t="s">
        <v>2544</v>
      </c>
      <c r="I31" s="373"/>
      <c r="J31" s="373"/>
      <c r="K31" s="374"/>
      <c r="L31" s="235"/>
      <c r="M31" s="370" t="s">
        <v>2405</v>
      </c>
      <c r="N31" s="373"/>
      <c r="O31" s="373"/>
      <c r="P31" s="374"/>
      <c r="Q31" s="234"/>
    </row>
    <row r="32" spans="2:17" ht="20.25" customHeight="1" thickBot="1" x14ac:dyDescent="0.35">
      <c r="B32" s="229"/>
      <c r="C32" s="240" t="s">
        <v>2403</v>
      </c>
      <c r="D32" s="241" t="s">
        <v>2400</v>
      </c>
      <c r="E32" s="241" t="s">
        <v>8</v>
      </c>
      <c r="F32" s="242" t="s">
        <v>0</v>
      </c>
      <c r="G32" s="265"/>
      <c r="H32" s="240" t="s">
        <v>2403</v>
      </c>
      <c r="I32" s="241"/>
      <c r="J32" s="241" t="s">
        <v>8</v>
      </c>
      <c r="K32" s="242" t="s">
        <v>0</v>
      </c>
      <c r="L32" s="235"/>
      <c r="M32" s="240" t="s">
        <v>2395</v>
      </c>
      <c r="N32" s="241"/>
      <c r="O32" s="241" t="s">
        <v>8</v>
      </c>
      <c r="P32" s="242" t="s">
        <v>0</v>
      </c>
      <c r="Q32" s="234"/>
    </row>
    <row r="33" spans="2:17" ht="19.5" x14ac:dyDescent="0.4">
      <c r="B33" s="229"/>
      <c r="C33" s="245" t="s">
        <v>1</v>
      </c>
      <c r="D33" s="272">
        <v>1.2</v>
      </c>
      <c r="E33" s="246" t="s">
        <v>2425</v>
      </c>
      <c r="F33" s="361" t="s">
        <v>2534</v>
      </c>
      <c r="G33" s="265"/>
      <c r="H33" s="245" t="s">
        <v>1</v>
      </c>
      <c r="I33" s="272">
        <v>11</v>
      </c>
      <c r="J33" s="246" t="s">
        <v>2397</v>
      </c>
      <c r="K33" s="361" t="s">
        <v>2494</v>
      </c>
      <c r="L33" s="235"/>
      <c r="M33" s="245" t="s">
        <v>1</v>
      </c>
      <c r="N33" s="272">
        <v>0</v>
      </c>
      <c r="O33" s="246" t="s">
        <v>2426</v>
      </c>
      <c r="P33" s="361" t="s">
        <v>2534</v>
      </c>
      <c r="Q33" s="234"/>
    </row>
    <row r="34" spans="2:17" ht="18.75" customHeight="1" x14ac:dyDescent="0.4">
      <c r="B34" s="229"/>
      <c r="C34" s="249" t="s">
        <v>2</v>
      </c>
      <c r="D34" s="273">
        <v>1.7</v>
      </c>
      <c r="E34" s="250" t="s">
        <v>2425</v>
      </c>
      <c r="F34" s="362" t="s">
        <v>2495</v>
      </c>
      <c r="G34" s="265"/>
      <c r="H34" s="249" t="s">
        <v>2</v>
      </c>
      <c r="I34" s="273">
        <v>13</v>
      </c>
      <c r="J34" s="250" t="s">
        <v>2397</v>
      </c>
      <c r="K34" s="362" t="s">
        <v>2494</v>
      </c>
      <c r="L34" s="235"/>
      <c r="M34" s="249" t="s">
        <v>2</v>
      </c>
      <c r="N34" s="273">
        <v>0.40400000000000003</v>
      </c>
      <c r="O34" s="250" t="s">
        <v>2426</v>
      </c>
      <c r="P34" s="362" t="s">
        <v>2493</v>
      </c>
      <c r="Q34" s="234"/>
    </row>
    <row r="35" spans="2:17" ht="18.75" customHeight="1" x14ac:dyDescent="0.4">
      <c r="B35" s="229"/>
      <c r="C35" s="249" t="s">
        <v>3</v>
      </c>
      <c r="D35" s="273">
        <v>1.3</v>
      </c>
      <c r="E35" s="250" t="s">
        <v>2425</v>
      </c>
      <c r="F35" s="362" t="s">
        <v>2495</v>
      </c>
      <c r="G35" s="265"/>
      <c r="H35" s="249" t="s">
        <v>3</v>
      </c>
      <c r="I35" s="273">
        <v>22</v>
      </c>
      <c r="J35" s="250" t="s">
        <v>2397</v>
      </c>
      <c r="K35" s="362" t="s">
        <v>2494</v>
      </c>
      <c r="L35" s="235"/>
      <c r="M35" s="249" t="s">
        <v>3</v>
      </c>
      <c r="N35" s="273">
        <v>0.33700000000000002</v>
      </c>
      <c r="O35" s="250" t="s">
        <v>2426</v>
      </c>
      <c r="P35" s="362" t="s">
        <v>2493</v>
      </c>
      <c r="Q35" s="234"/>
    </row>
    <row r="36" spans="2:17" ht="18.75" customHeight="1" x14ac:dyDescent="0.4">
      <c r="B36" s="229"/>
      <c r="C36" s="249" t="s">
        <v>226</v>
      </c>
      <c r="D36" s="273">
        <v>1.5</v>
      </c>
      <c r="E36" s="250" t="s">
        <v>2425</v>
      </c>
      <c r="F36" s="362" t="s">
        <v>2495</v>
      </c>
      <c r="G36" s="265"/>
      <c r="H36" s="249" t="s">
        <v>226</v>
      </c>
      <c r="I36" s="273">
        <v>11</v>
      </c>
      <c r="J36" s="250" t="s">
        <v>2397</v>
      </c>
      <c r="K36" s="362" t="s">
        <v>2494</v>
      </c>
      <c r="L36" s="235"/>
      <c r="M36" s="249" t="s">
        <v>7</v>
      </c>
      <c r="N36" s="273">
        <v>0.20100000000000001</v>
      </c>
      <c r="O36" s="250" t="s">
        <v>2426</v>
      </c>
      <c r="P36" s="362" t="s">
        <v>2493</v>
      </c>
      <c r="Q36" s="234"/>
    </row>
    <row r="37" spans="2:17" ht="18.75" customHeight="1" x14ac:dyDescent="0.4">
      <c r="B37" s="229"/>
      <c r="C37" s="249" t="s">
        <v>96</v>
      </c>
      <c r="D37" s="273">
        <v>1</v>
      </c>
      <c r="E37" s="250" t="s">
        <v>2425</v>
      </c>
      <c r="F37" s="362" t="s">
        <v>2495</v>
      </c>
      <c r="G37" s="265"/>
      <c r="H37" s="249" t="s">
        <v>96</v>
      </c>
      <c r="I37" s="273">
        <v>11</v>
      </c>
      <c r="J37" s="250" t="s">
        <v>2397</v>
      </c>
      <c r="K37" s="362" t="s">
        <v>2494</v>
      </c>
      <c r="L37" s="235"/>
      <c r="M37" s="249" t="s">
        <v>4</v>
      </c>
      <c r="N37" s="273">
        <v>0.28000000000000003</v>
      </c>
      <c r="O37" s="250" t="s">
        <v>2426</v>
      </c>
      <c r="P37" s="362" t="s">
        <v>2493</v>
      </c>
      <c r="Q37" s="234"/>
    </row>
    <row r="38" spans="2:17" ht="18.75" customHeight="1" x14ac:dyDescent="0.4">
      <c r="B38" s="229"/>
      <c r="C38" s="249" t="s">
        <v>4</v>
      </c>
      <c r="D38" s="273">
        <v>1</v>
      </c>
      <c r="E38" s="250" t="s">
        <v>2425</v>
      </c>
      <c r="F38" s="362" t="s">
        <v>2534</v>
      </c>
      <c r="G38" s="265"/>
      <c r="H38" s="249" t="s">
        <v>4</v>
      </c>
      <c r="I38" s="273">
        <v>15</v>
      </c>
      <c r="J38" s="250" t="s">
        <v>2397</v>
      </c>
      <c r="K38" s="362" t="s">
        <v>2534</v>
      </c>
      <c r="L38" s="235"/>
      <c r="M38" s="249" t="s">
        <v>6</v>
      </c>
      <c r="N38" s="273">
        <v>0</v>
      </c>
      <c r="O38" s="250" t="s">
        <v>2426</v>
      </c>
      <c r="P38" s="362" t="s">
        <v>2534</v>
      </c>
      <c r="Q38" s="234"/>
    </row>
    <row r="39" spans="2:17" ht="18.75" customHeight="1" thickBot="1" x14ac:dyDescent="0.45">
      <c r="B39" s="229"/>
      <c r="C39" s="249" t="s">
        <v>6</v>
      </c>
      <c r="D39" s="273">
        <v>1</v>
      </c>
      <c r="E39" s="250" t="s">
        <v>2425</v>
      </c>
      <c r="F39" s="362" t="s">
        <v>2534</v>
      </c>
      <c r="G39" s="265"/>
      <c r="H39" s="249" t="s">
        <v>6</v>
      </c>
      <c r="I39" s="273">
        <v>15</v>
      </c>
      <c r="J39" s="250" t="s">
        <v>2397</v>
      </c>
      <c r="K39" s="362" t="s">
        <v>2534</v>
      </c>
      <c r="L39" s="235"/>
      <c r="M39" s="257" t="s">
        <v>5</v>
      </c>
      <c r="N39" s="274">
        <v>0.214</v>
      </c>
      <c r="O39" s="258" t="s">
        <v>2426</v>
      </c>
      <c r="P39" s="363" t="s">
        <v>2493</v>
      </c>
      <c r="Q39" s="234"/>
    </row>
    <row r="40" spans="2:17" ht="18.75" customHeight="1" thickBot="1" x14ac:dyDescent="0.45">
      <c r="B40" s="229"/>
      <c r="C40" s="257" t="s">
        <v>5</v>
      </c>
      <c r="D40" s="274">
        <v>1</v>
      </c>
      <c r="E40" s="258" t="s">
        <v>2425</v>
      </c>
      <c r="F40" s="363" t="s">
        <v>2534</v>
      </c>
      <c r="G40" s="265"/>
      <c r="H40" s="257" t="s">
        <v>5</v>
      </c>
      <c r="I40" s="274">
        <v>15</v>
      </c>
      <c r="J40" s="258" t="s">
        <v>2397</v>
      </c>
      <c r="K40" s="363" t="s">
        <v>2534</v>
      </c>
      <c r="L40" s="235"/>
      <c r="M40" s="235"/>
      <c r="N40" s="235"/>
      <c r="O40" s="235"/>
      <c r="P40" s="235"/>
      <c r="Q40" s="234"/>
    </row>
    <row r="41" spans="2:17" ht="9" customHeight="1" x14ac:dyDescent="0.3">
      <c r="B41" s="229"/>
      <c r="C41" s="235"/>
      <c r="D41" s="266"/>
      <c r="E41" s="265"/>
      <c r="F41" s="235"/>
      <c r="G41" s="265"/>
      <c r="H41" s="235"/>
      <c r="I41" s="266"/>
      <c r="J41" s="265"/>
      <c r="K41" s="235"/>
      <c r="L41" s="235"/>
      <c r="M41" s="235"/>
      <c r="N41" s="235"/>
      <c r="O41" s="235"/>
      <c r="P41" s="235"/>
      <c r="Q41" s="234"/>
    </row>
    <row r="42" spans="2:17" ht="18.75" customHeight="1" x14ac:dyDescent="0.3">
      <c r="B42" s="229"/>
      <c r="C42" s="235"/>
      <c r="D42" s="266"/>
      <c r="E42" s="265"/>
      <c r="F42" s="235"/>
      <c r="G42" s="265"/>
      <c r="H42" s="235"/>
      <c r="I42" s="266"/>
      <c r="J42" s="265"/>
      <c r="K42" s="235"/>
      <c r="L42" s="235"/>
      <c r="M42" s="235"/>
      <c r="N42" s="235"/>
      <c r="O42" s="235"/>
      <c r="P42" s="235"/>
      <c r="Q42" s="234"/>
    </row>
    <row r="43" spans="2:17" ht="18.75" customHeight="1" x14ac:dyDescent="0.3">
      <c r="B43" s="229"/>
      <c r="C43" s="235"/>
      <c r="D43" s="266"/>
      <c r="E43" s="265"/>
      <c r="F43" s="235"/>
      <c r="G43" s="265"/>
      <c r="H43" s="235"/>
      <c r="I43" s="266"/>
      <c r="J43" s="265"/>
      <c r="K43" s="235"/>
      <c r="L43" s="235"/>
      <c r="M43" s="235"/>
      <c r="N43" s="235"/>
      <c r="O43" s="235"/>
      <c r="P43" s="235"/>
      <c r="Q43" s="234"/>
    </row>
    <row r="44" spans="2:17" ht="18.75" customHeight="1" thickBot="1" x14ac:dyDescent="0.35">
      <c r="B44" s="267"/>
      <c r="C44" s="268"/>
      <c r="D44" s="269"/>
      <c r="E44" s="268"/>
      <c r="F44" s="268"/>
      <c r="G44" s="268"/>
      <c r="H44" s="268"/>
      <c r="I44" s="268"/>
      <c r="J44" s="268"/>
      <c r="K44" s="268"/>
      <c r="L44" s="268"/>
      <c r="M44" s="268"/>
      <c r="N44" s="268"/>
      <c r="O44" s="268"/>
      <c r="P44" s="268"/>
      <c r="Q44" s="270"/>
    </row>
    <row r="45" spans="2:17" x14ac:dyDescent="0.3">
      <c r="C45" s="271"/>
    </row>
  </sheetData>
  <sheetProtection algorithmName="SHA-512" hashValue="goZw0/CsOrCjEco1CU7gJQQ6LbmRdv8lDitlSX6kkX/pNZa3U6oTtUvcIkynrS5kjRaDVPXuSfLGUCJzEjdjsQ==" saltValue="c4v9RaciMU8ZlJ+T+f4wQQ==" spinCount="100000" sheet="1" objects="1" scenarios="1"/>
  <mergeCells count="11">
    <mergeCell ref="H10:N10"/>
    <mergeCell ref="H11:N11"/>
    <mergeCell ref="C7:F7"/>
    <mergeCell ref="C21:F21"/>
    <mergeCell ref="H31:K31"/>
    <mergeCell ref="M31:P31"/>
    <mergeCell ref="C17:F17"/>
    <mergeCell ref="C31:F31"/>
    <mergeCell ref="H7:P7"/>
    <mergeCell ref="H8:N8"/>
    <mergeCell ref="H9:N9"/>
  </mergeCells>
  <dataValidations count="4">
    <dataValidation type="decimal" allowBlank="1" showInputMessage="1" showErrorMessage="1" sqref="D9:D15" xr:uid="{00000000-0002-0000-0100-000000000000}">
      <formula1>1</formula1>
      <formula2>1000</formula2>
    </dataValidation>
    <dataValidation type="decimal" allowBlank="1" showInputMessage="1" showErrorMessage="1" sqref="D19 D23:D29 D33:D40 N33:N39" xr:uid="{00000000-0002-0000-0100-000001000000}">
      <formula1>0</formula1>
      <formula2>1000</formula2>
    </dataValidation>
    <dataValidation type="decimal" allowBlank="1" showInputMessage="1" showErrorMessage="1" sqref="I33:I40" xr:uid="{00000000-0002-0000-0100-000002000000}">
      <formula1>0</formula1>
      <formula2>100</formula2>
    </dataValidation>
    <dataValidation type="decimal" allowBlank="1" showInputMessage="1" showErrorMessage="1" sqref="I29" xr:uid="{00000000-0002-0000-0100-000003000000}">
      <formula1>0</formula1>
      <formula2>100000</formula2>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alcMeritOrder">
                <anchor moveWithCells="1" sizeWithCells="1">
                  <from>
                    <xdr:col>10</xdr:col>
                    <xdr:colOff>504825</xdr:colOff>
                    <xdr:row>27</xdr:row>
                    <xdr:rowOff>190500</xdr:rowOff>
                  </from>
                  <to>
                    <xdr:col>15</xdr:col>
                    <xdr:colOff>2486025</xdr:colOff>
                    <xdr:row>29</xdr:row>
                    <xdr:rowOff>171450</xdr:rowOff>
                  </to>
                </anchor>
              </controlPr>
            </control>
          </mc:Choice>
        </mc:AlternateContent>
        <mc:AlternateContent xmlns:mc="http://schemas.openxmlformats.org/markup-compatibility/2006">
          <mc:Choice Requires="x14">
            <control shapeId="11268" r:id="rId5" name="Button 4">
              <controlPr defaultSize="0" print="0" autoFill="0" autoPict="0" macro="[0]!reset">
                <anchor moveWithCells="1" sizeWithCells="1">
                  <from>
                    <xdr:col>12</xdr:col>
                    <xdr:colOff>0</xdr:colOff>
                    <xdr:row>40</xdr:row>
                    <xdr:rowOff>171450</xdr:rowOff>
                  </from>
                  <to>
                    <xdr:col>15</xdr:col>
                    <xdr:colOff>2505075</xdr:colOff>
                    <xdr:row>43</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8"/>
  <sheetViews>
    <sheetView workbookViewId="0">
      <selection activeCell="B9" sqref="B9"/>
    </sheetView>
  </sheetViews>
  <sheetFormatPr defaultRowHeight="15" x14ac:dyDescent="0.25"/>
  <sheetData>
    <row r="1" spans="1:2" ht="16.5" x14ac:dyDescent="0.3">
      <c r="A1" s="245" t="s">
        <v>1</v>
      </c>
      <c r="B1" t="s">
        <v>2561</v>
      </c>
    </row>
    <row r="2" spans="1:2" ht="16.5" x14ac:dyDescent="0.3">
      <c r="A2" s="249" t="s">
        <v>2</v>
      </c>
      <c r="B2" t="s">
        <v>2562</v>
      </c>
    </row>
    <row r="3" spans="1:2" ht="16.5" x14ac:dyDescent="0.3">
      <c r="A3" s="249" t="s">
        <v>3</v>
      </c>
      <c r="B3" t="s">
        <v>2563</v>
      </c>
    </row>
    <row r="4" spans="1:2" ht="16.5" x14ac:dyDescent="0.3">
      <c r="A4" s="249" t="s">
        <v>226</v>
      </c>
      <c r="B4" t="s">
        <v>2564</v>
      </c>
    </row>
    <row r="5" spans="1:2" ht="16.5" x14ac:dyDescent="0.3">
      <c r="A5" s="249" t="s">
        <v>96</v>
      </c>
      <c r="B5" t="s">
        <v>989</v>
      </c>
    </row>
    <row r="6" spans="1:2" ht="16.5" x14ac:dyDescent="0.3">
      <c r="A6" s="249" t="s">
        <v>4</v>
      </c>
      <c r="B6" t="s">
        <v>2565</v>
      </c>
    </row>
    <row r="7" spans="1:2" ht="16.5" x14ac:dyDescent="0.3">
      <c r="A7" s="249" t="s">
        <v>6</v>
      </c>
      <c r="B7" t="s">
        <v>2566</v>
      </c>
    </row>
    <row r="8" spans="1:2" ht="17.25" thickBot="1" x14ac:dyDescent="0.35">
      <c r="A8" s="257" t="s">
        <v>5</v>
      </c>
      <c r="B8" t="s">
        <v>2567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7">
    <tabColor rgb="FFFFBF27"/>
  </sheetPr>
  <dimension ref="B1:N562"/>
  <sheetViews>
    <sheetView topLeftCell="A115" zoomScale="70" zoomScaleNormal="70" workbookViewId="0">
      <selection activeCell="H11" sqref="H11"/>
    </sheetView>
  </sheetViews>
  <sheetFormatPr defaultColWidth="11.42578125" defaultRowHeight="15" x14ac:dyDescent="0.25"/>
  <cols>
    <col min="1" max="1" width="3" style="5" customWidth="1"/>
    <col min="2" max="2" width="2.85546875" style="5" customWidth="1"/>
    <col min="3" max="3" width="26.140625" style="5" customWidth="1"/>
    <col min="4" max="6" width="21.140625" style="5" customWidth="1"/>
    <col min="7" max="7" width="31.5703125" style="5" customWidth="1"/>
    <col min="8" max="8" width="16.85546875" style="5" customWidth="1"/>
    <col min="9" max="9" width="30.85546875" style="5" customWidth="1"/>
    <col min="10" max="10" width="30" style="5" customWidth="1"/>
    <col min="11" max="11" width="19.140625" style="5" customWidth="1"/>
    <col min="12" max="12" width="3" style="5" customWidth="1"/>
    <col min="13" max="16384" width="11.42578125" style="5"/>
  </cols>
  <sheetData>
    <row r="1" spans="2:14" ht="17.25" customHeight="1" thickBot="1" x14ac:dyDescent="0.3"/>
    <row r="2" spans="2:14" ht="15" customHeight="1" x14ac:dyDescent="0.3">
      <c r="B2" s="6"/>
      <c r="C2" s="7"/>
      <c r="D2" s="7"/>
      <c r="E2" s="8"/>
      <c r="F2" s="8"/>
      <c r="G2" s="7"/>
      <c r="H2" s="7"/>
      <c r="I2" s="7"/>
      <c r="J2" s="7"/>
      <c r="K2" s="7"/>
      <c r="L2" s="9"/>
    </row>
    <row r="3" spans="2:14" ht="82.5" customHeight="1" x14ac:dyDescent="0.3">
      <c r="B3" s="10"/>
      <c r="C3" s="11" t="s">
        <v>2489</v>
      </c>
      <c r="D3" s="174"/>
      <c r="E3" s="12"/>
      <c r="F3" s="12"/>
      <c r="G3" s="13"/>
      <c r="H3" s="13"/>
      <c r="I3" s="13"/>
      <c r="J3" s="13"/>
      <c r="K3" s="14"/>
      <c r="L3" s="15"/>
    </row>
    <row r="4" spans="2:14" ht="8.25" customHeight="1" x14ac:dyDescent="0.3">
      <c r="B4" s="10"/>
      <c r="C4" s="16"/>
      <c r="D4" s="16"/>
      <c r="E4" s="17"/>
      <c r="F4" s="17"/>
      <c r="G4" s="16"/>
      <c r="H4" s="16"/>
      <c r="I4" s="16"/>
      <c r="J4" s="16"/>
      <c r="K4" s="16"/>
      <c r="L4" s="15"/>
    </row>
    <row r="5" spans="2:14" ht="18" x14ac:dyDescent="0.35">
      <c r="B5" s="10"/>
      <c r="C5" s="86" t="s">
        <v>2478</v>
      </c>
      <c r="D5" s="175"/>
      <c r="E5" s="12"/>
      <c r="F5" s="12"/>
      <c r="G5" s="13"/>
      <c r="H5" s="13"/>
      <c r="I5" s="13"/>
      <c r="J5" s="13"/>
      <c r="K5" s="19" t="str">
        <f>Impressum!F5</f>
        <v xml:space="preserve">Version 2019.1.4 </v>
      </c>
      <c r="L5" s="15"/>
    </row>
    <row r="6" spans="2:14" ht="8.25" customHeight="1" thickBot="1" x14ac:dyDescent="0.4">
      <c r="B6" s="10"/>
      <c r="C6" s="20"/>
      <c r="D6" s="20"/>
      <c r="E6" s="17"/>
      <c r="F6" s="17"/>
      <c r="G6" s="16"/>
      <c r="H6" s="16"/>
      <c r="I6" s="16"/>
      <c r="J6" s="16"/>
      <c r="K6" s="16"/>
      <c r="L6" s="15"/>
    </row>
    <row r="7" spans="2:14" ht="16.5" x14ac:dyDescent="0.3">
      <c r="B7" s="10"/>
      <c r="C7" s="378" t="s">
        <v>2479</v>
      </c>
      <c r="D7" s="379"/>
      <c r="E7" s="379"/>
      <c r="F7" s="379"/>
      <c r="G7" s="379"/>
      <c r="H7" s="379"/>
      <c r="I7" s="379"/>
      <c r="J7" s="379"/>
      <c r="K7" s="380"/>
      <c r="L7" s="15"/>
    </row>
    <row r="8" spans="2:14" ht="346.5" customHeight="1" thickBot="1" x14ac:dyDescent="0.4">
      <c r="B8" s="10"/>
      <c r="C8" s="91"/>
      <c r="D8" s="176"/>
      <c r="E8" s="92"/>
      <c r="F8" s="92"/>
      <c r="G8" s="93"/>
      <c r="H8" s="93"/>
      <c r="I8" s="93"/>
      <c r="J8" s="93"/>
      <c r="K8" s="94"/>
      <c r="L8" s="15"/>
    </row>
    <row r="9" spans="2:14" ht="17.25" thickBot="1" x14ac:dyDescent="0.35">
      <c r="B9" s="10"/>
      <c r="C9" s="16"/>
      <c r="D9" s="16"/>
      <c r="E9" s="17"/>
      <c r="F9" s="17"/>
      <c r="G9" s="16"/>
      <c r="H9" s="16"/>
      <c r="I9" s="16"/>
      <c r="J9" s="16"/>
      <c r="K9" s="16"/>
      <c r="L9" s="15"/>
    </row>
    <row r="10" spans="2:14" ht="16.5" x14ac:dyDescent="0.3">
      <c r="B10" s="10"/>
      <c r="C10" s="378" t="s">
        <v>2488</v>
      </c>
      <c r="D10" s="379"/>
      <c r="E10" s="379"/>
      <c r="F10" s="379"/>
      <c r="G10" s="379"/>
      <c r="H10" s="379"/>
      <c r="I10" s="379"/>
      <c r="J10" s="379"/>
      <c r="K10" s="380"/>
      <c r="L10" s="15"/>
    </row>
    <row r="11" spans="2:14" ht="50.25" thickBot="1" x14ac:dyDescent="0.35">
      <c r="B11" s="10"/>
      <c r="C11" s="55" t="s">
        <v>2419</v>
      </c>
      <c r="D11" s="177" t="s">
        <v>10</v>
      </c>
      <c r="E11" s="56" t="s">
        <v>11</v>
      </c>
      <c r="F11" s="56" t="s">
        <v>15</v>
      </c>
      <c r="G11" s="57" t="s">
        <v>2420</v>
      </c>
      <c r="H11" s="56" t="s">
        <v>2403</v>
      </c>
      <c r="I11" s="57" t="s">
        <v>2451</v>
      </c>
      <c r="J11" s="57" t="s">
        <v>2483</v>
      </c>
      <c r="K11" s="87" t="s">
        <v>2452</v>
      </c>
      <c r="L11" s="15"/>
      <c r="N11" s="103"/>
    </row>
    <row r="12" spans="2:14" ht="16.5" x14ac:dyDescent="0.3">
      <c r="B12" s="10"/>
      <c r="C12" s="141" t="s">
        <v>162</v>
      </c>
      <c r="D12" s="178" t="s">
        <v>163</v>
      </c>
      <c r="E12" s="142" t="s">
        <v>164</v>
      </c>
      <c r="F12" s="142" t="s">
        <v>167</v>
      </c>
      <c r="G12" s="143" t="s">
        <v>2333</v>
      </c>
      <c r="H12" s="143" t="s">
        <v>6</v>
      </c>
      <c r="I12" s="144">
        <v>30.599999999999998</v>
      </c>
      <c r="J12" s="144">
        <v>30.599999999999998</v>
      </c>
      <c r="K12" s="145">
        <v>1</v>
      </c>
      <c r="L12" s="15"/>
    </row>
    <row r="13" spans="2:14" ht="16.5" x14ac:dyDescent="0.3">
      <c r="B13" s="10"/>
      <c r="C13" s="146" t="s">
        <v>207</v>
      </c>
      <c r="D13" s="179" t="s">
        <v>208</v>
      </c>
      <c r="E13" s="147" t="s">
        <v>209</v>
      </c>
      <c r="F13" s="147"/>
      <c r="G13" s="135" t="s">
        <v>2334</v>
      </c>
      <c r="H13" s="135" t="s">
        <v>6</v>
      </c>
      <c r="I13" s="126">
        <v>29.75</v>
      </c>
      <c r="J13" s="126">
        <v>60.349999999999994</v>
      </c>
      <c r="K13" s="148">
        <v>1</v>
      </c>
      <c r="L13" s="15"/>
    </row>
    <row r="14" spans="2:14" ht="16.5" x14ac:dyDescent="0.3">
      <c r="B14" s="10"/>
      <c r="C14" s="146" t="s">
        <v>215</v>
      </c>
      <c r="D14" s="179" t="s">
        <v>216</v>
      </c>
      <c r="E14" s="147" t="s">
        <v>217</v>
      </c>
      <c r="F14" s="147" t="s">
        <v>220</v>
      </c>
      <c r="G14" s="135" t="s">
        <v>2335</v>
      </c>
      <c r="H14" s="135" t="s">
        <v>6</v>
      </c>
      <c r="I14" s="126">
        <v>28.9</v>
      </c>
      <c r="J14" s="126">
        <v>89.25</v>
      </c>
      <c r="K14" s="148">
        <v>1</v>
      </c>
      <c r="L14" s="15"/>
    </row>
    <row r="15" spans="2:14" ht="16.5" x14ac:dyDescent="0.3">
      <c r="B15" s="10"/>
      <c r="C15" s="146" t="s">
        <v>260</v>
      </c>
      <c r="D15" s="179" t="s">
        <v>261</v>
      </c>
      <c r="E15" s="147" t="s">
        <v>262</v>
      </c>
      <c r="F15" s="147" t="s">
        <v>262</v>
      </c>
      <c r="G15" s="135" t="s">
        <v>2337</v>
      </c>
      <c r="H15" s="135" t="s">
        <v>6</v>
      </c>
      <c r="I15" s="126">
        <v>10.199999999999999</v>
      </c>
      <c r="J15" s="126">
        <v>99.45</v>
      </c>
      <c r="K15" s="148">
        <v>1</v>
      </c>
      <c r="L15" s="15"/>
    </row>
    <row r="16" spans="2:14" ht="16.5" x14ac:dyDescent="0.3">
      <c r="B16" s="10"/>
      <c r="C16" s="146" t="s">
        <v>293</v>
      </c>
      <c r="D16" s="179" t="s">
        <v>294</v>
      </c>
      <c r="E16" s="147" t="s">
        <v>295</v>
      </c>
      <c r="F16" s="147" t="s">
        <v>298</v>
      </c>
      <c r="G16" s="135">
        <v>2009</v>
      </c>
      <c r="H16" s="135" t="s">
        <v>6</v>
      </c>
      <c r="I16" s="126">
        <v>28.05</v>
      </c>
      <c r="J16" s="126">
        <v>127.5</v>
      </c>
      <c r="K16" s="148">
        <v>1</v>
      </c>
      <c r="L16" s="15"/>
    </row>
    <row r="17" spans="2:12" ht="16.5" x14ac:dyDescent="0.3">
      <c r="B17" s="10"/>
      <c r="C17" s="146" t="s">
        <v>497</v>
      </c>
      <c r="D17" s="179" t="s">
        <v>493</v>
      </c>
      <c r="E17" s="147" t="s">
        <v>494</v>
      </c>
      <c r="F17" s="147" t="s">
        <v>498</v>
      </c>
      <c r="G17" s="135" t="s">
        <v>2340</v>
      </c>
      <c r="H17" s="135" t="s">
        <v>6</v>
      </c>
      <c r="I17" s="126">
        <v>45.645000000000003</v>
      </c>
      <c r="J17" s="126">
        <v>173.14500000000001</v>
      </c>
      <c r="K17" s="148">
        <v>1</v>
      </c>
      <c r="L17" s="15"/>
    </row>
    <row r="18" spans="2:12" ht="16.5" x14ac:dyDescent="0.3">
      <c r="B18" s="10"/>
      <c r="C18" s="146" t="s">
        <v>536</v>
      </c>
      <c r="D18" s="179" t="s">
        <v>537</v>
      </c>
      <c r="E18" s="147" t="s">
        <v>538</v>
      </c>
      <c r="F18" s="147"/>
      <c r="G18" s="135" t="s">
        <v>2316</v>
      </c>
      <c r="H18" s="135" t="s">
        <v>6</v>
      </c>
      <c r="I18" s="126">
        <v>19.974999999999998</v>
      </c>
      <c r="J18" s="126">
        <v>193.12</v>
      </c>
      <c r="K18" s="148">
        <v>1</v>
      </c>
      <c r="L18" s="15"/>
    </row>
    <row r="19" spans="2:12" ht="16.5" x14ac:dyDescent="0.3">
      <c r="B19" s="10"/>
      <c r="C19" s="146" t="s">
        <v>642</v>
      </c>
      <c r="D19" s="179" t="s">
        <v>519</v>
      </c>
      <c r="E19" s="147" t="s">
        <v>643</v>
      </c>
      <c r="F19" s="147" t="s">
        <v>646</v>
      </c>
      <c r="G19" s="135" t="s">
        <v>1992</v>
      </c>
      <c r="H19" s="135" t="s">
        <v>6</v>
      </c>
      <c r="I19" s="126">
        <v>22.099999999999998</v>
      </c>
      <c r="J19" s="126">
        <v>215.22</v>
      </c>
      <c r="K19" s="148">
        <v>1</v>
      </c>
      <c r="L19" s="15"/>
    </row>
    <row r="20" spans="2:12" ht="16.5" x14ac:dyDescent="0.3">
      <c r="B20" s="10"/>
      <c r="C20" s="146" t="s">
        <v>647</v>
      </c>
      <c r="D20" s="179" t="s">
        <v>519</v>
      </c>
      <c r="E20" s="147" t="s">
        <v>643</v>
      </c>
      <c r="F20" s="147" t="s">
        <v>649</v>
      </c>
      <c r="G20" s="135" t="s">
        <v>2190</v>
      </c>
      <c r="H20" s="135" t="s">
        <v>6</v>
      </c>
      <c r="I20" s="126">
        <v>39.524999999999999</v>
      </c>
      <c r="J20" s="126">
        <v>254.745</v>
      </c>
      <c r="K20" s="148">
        <v>1</v>
      </c>
      <c r="L20" s="15"/>
    </row>
    <row r="21" spans="2:12" ht="16.5" x14ac:dyDescent="0.3">
      <c r="B21" s="10"/>
      <c r="C21" s="146" t="s">
        <v>751</v>
      </c>
      <c r="D21" s="179" t="s">
        <v>752</v>
      </c>
      <c r="E21" s="147" t="s">
        <v>753</v>
      </c>
      <c r="F21" s="147"/>
      <c r="G21" s="135" t="s">
        <v>2345</v>
      </c>
      <c r="H21" s="135" t="s">
        <v>6</v>
      </c>
      <c r="I21" s="126">
        <v>19.805</v>
      </c>
      <c r="J21" s="126">
        <v>274.55</v>
      </c>
      <c r="K21" s="148">
        <v>1</v>
      </c>
      <c r="L21" s="15"/>
    </row>
    <row r="22" spans="2:12" ht="16.5" x14ac:dyDescent="0.3">
      <c r="B22" s="10"/>
      <c r="C22" s="146" t="s">
        <v>780</v>
      </c>
      <c r="D22" s="179" t="s">
        <v>781</v>
      </c>
      <c r="E22" s="147" t="s">
        <v>781</v>
      </c>
      <c r="F22" s="147"/>
      <c r="G22" s="135" t="s">
        <v>2346</v>
      </c>
      <c r="H22" s="135" t="s">
        <v>6</v>
      </c>
      <c r="I22" s="126">
        <v>20.399999999999999</v>
      </c>
      <c r="J22" s="126">
        <v>294.95</v>
      </c>
      <c r="K22" s="148">
        <v>1</v>
      </c>
      <c r="L22" s="15"/>
    </row>
    <row r="23" spans="2:12" ht="16.5" x14ac:dyDescent="0.3">
      <c r="B23" s="10"/>
      <c r="C23" s="146" t="s">
        <v>800</v>
      </c>
      <c r="D23" s="179" t="s">
        <v>801</v>
      </c>
      <c r="E23" s="147" t="s">
        <v>802</v>
      </c>
      <c r="F23" s="147" t="s">
        <v>804</v>
      </c>
      <c r="G23" s="135" t="s">
        <v>2347</v>
      </c>
      <c r="H23" s="135" t="s">
        <v>6</v>
      </c>
      <c r="I23" s="126">
        <v>11.219999999999999</v>
      </c>
      <c r="J23" s="126">
        <v>306.16999999999996</v>
      </c>
      <c r="K23" s="148">
        <v>1</v>
      </c>
      <c r="L23" s="15"/>
    </row>
    <row r="24" spans="2:12" ht="16.5" x14ac:dyDescent="0.3">
      <c r="B24" s="10"/>
      <c r="C24" s="146" t="s">
        <v>820</v>
      </c>
      <c r="D24" s="179" t="s">
        <v>821</v>
      </c>
      <c r="E24" s="147" t="s">
        <v>821</v>
      </c>
      <c r="F24" s="147" t="s">
        <v>822</v>
      </c>
      <c r="G24" s="135" t="s">
        <v>2253</v>
      </c>
      <c r="H24" s="135" t="s">
        <v>6</v>
      </c>
      <c r="I24" s="126">
        <v>19.125</v>
      </c>
      <c r="J24" s="126">
        <v>325.29499999999996</v>
      </c>
      <c r="K24" s="148">
        <v>1</v>
      </c>
      <c r="L24" s="15"/>
    </row>
    <row r="25" spans="2:12" ht="16.5" x14ac:dyDescent="0.3">
      <c r="B25" s="10"/>
      <c r="C25" s="146" t="s">
        <v>858</v>
      </c>
      <c r="D25" s="179" t="s">
        <v>859</v>
      </c>
      <c r="E25" s="147" t="s">
        <v>860</v>
      </c>
      <c r="F25" s="147" t="s">
        <v>862</v>
      </c>
      <c r="G25" s="135" t="s">
        <v>2349</v>
      </c>
      <c r="H25" s="135" t="s">
        <v>6</v>
      </c>
      <c r="I25" s="126">
        <v>31.875</v>
      </c>
      <c r="J25" s="126">
        <v>357.16999999999996</v>
      </c>
      <c r="K25" s="148">
        <v>1</v>
      </c>
      <c r="L25" s="15"/>
    </row>
    <row r="26" spans="2:12" ht="16.5" x14ac:dyDescent="0.3">
      <c r="B26" s="10"/>
      <c r="C26" s="146" t="s">
        <v>614</v>
      </c>
      <c r="D26" s="179" t="s">
        <v>160</v>
      </c>
      <c r="E26" s="147" t="s">
        <v>615</v>
      </c>
      <c r="F26" s="147" t="s">
        <v>139</v>
      </c>
      <c r="G26" s="135" t="s">
        <v>2342</v>
      </c>
      <c r="H26" s="135" t="s">
        <v>6</v>
      </c>
      <c r="I26" s="126">
        <v>32.299999999999997</v>
      </c>
      <c r="J26" s="126">
        <v>389.46999999999997</v>
      </c>
      <c r="K26" s="148">
        <v>1</v>
      </c>
      <c r="L26" s="15"/>
    </row>
    <row r="27" spans="2:12" ht="16.5" x14ac:dyDescent="0.3">
      <c r="B27" s="10"/>
      <c r="C27" s="146" t="s">
        <v>1128</v>
      </c>
      <c r="D27" s="179" t="s">
        <v>641</v>
      </c>
      <c r="E27" s="147" t="s">
        <v>1129</v>
      </c>
      <c r="F27" s="147" t="s">
        <v>1132</v>
      </c>
      <c r="G27" s="135" t="s">
        <v>2358</v>
      </c>
      <c r="H27" s="135" t="s">
        <v>6</v>
      </c>
      <c r="I27" s="126">
        <v>13.8125</v>
      </c>
      <c r="J27" s="126">
        <v>403.28249999999997</v>
      </c>
      <c r="K27" s="148">
        <v>1</v>
      </c>
      <c r="L27" s="15"/>
    </row>
    <row r="28" spans="2:12" ht="16.5" x14ac:dyDescent="0.3">
      <c r="B28" s="10"/>
      <c r="C28" s="146" t="s">
        <v>1134</v>
      </c>
      <c r="D28" s="179" t="s">
        <v>641</v>
      </c>
      <c r="E28" s="147" t="s">
        <v>1129</v>
      </c>
      <c r="F28" s="147" t="s">
        <v>1135</v>
      </c>
      <c r="G28" s="135" t="s">
        <v>2359</v>
      </c>
      <c r="H28" s="135" t="s">
        <v>6</v>
      </c>
      <c r="I28" s="126">
        <v>13.8125</v>
      </c>
      <c r="J28" s="126">
        <v>417.09499999999997</v>
      </c>
      <c r="K28" s="148">
        <v>1</v>
      </c>
      <c r="L28" s="15"/>
    </row>
    <row r="29" spans="2:12" ht="16.5" x14ac:dyDescent="0.3">
      <c r="B29" s="10"/>
      <c r="C29" s="146" t="s">
        <v>1154</v>
      </c>
      <c r="D29" s="179" t="s">
        <v>1155</v>
      </c>
      <c r="E29" s="147"/>
      <c r="F29" s="147" t="s">
        <v>155</v>
      </c>
      <c r="G29" s="135" t="s">
        <v>2441</v>
      </c>
      <c r="H29" s="135" t="s">
        <v>6</v>
      </c>
      <c r="I29" s="126">
        <v>9.86</v>
      </c>
      <c r="J29" s="126">
        <v>426.95499999999998</v>
      </c>
      <c r="K29" s="148">
        <v>1</v>
      </c>
      <c r="L29" s="15"/>
    </row>
    <row r="30" spans="2:12" ht="16.5" x14ac:dyDescent="0.3">
      <c r="B30" s="10"/>
      <c r="C30" s="146" t="s">
        <v>1226</v>
      </c>
      <c r="D30" s="179" t="s">
        <v>1227</v>
      </c>
      <c r="E30" s="147" t="s">
        <v>1228</v>
      </c>
      <c r="F30" s="147" t="s">
        <v>653</v>
      </c>
      <c r="G30" s="135" t="s">
        <v>2362</v>
      </c>
      <c r="H30" s="135" t="s">
        <v>6</v>
      </c>
      <c r="I30" s="126">
        <v>24.82</v>
      </c>
      <c r="J30" s="126">
        <v>451.77499999999998</v>
      </c>
      <c r="K30" s="148">
        <v>1</v>
      </c>
      <c r="L30" s="15"/>
    </row>
    <row r="31" spans="2:12" ht="16.5" x14ac:dyDescent="0.3">
      <c r="B31" s="10"/>
      <c r="C31" s="146" t="s">
        <v>1230</v>
      </c>
      <c r="D31" s="179" t="s">
        <v>1227</v>
      </c>
      <c r="E31" s="147" t="s">
        <v>1228</v>
      </c>
      <c r="F31" s="147" t="s">
        <v>469</v>
      </c>
      <c r="G31" s="135" t="s">
        <v>2363</v>
      </c>
      <c r="H31" s="135" t="s">
        <v>6</v>
      </c>
      <c r="I31" s="126">
        <v>24.82</v>
      </c>
      <c r="J31" s="126">
        <v>476.59499999999997</v>
      </c>
      <c r="K31" s="148">
        <v>1</v>
      </c>
      <c r="L31" s="15"/>
    </row>
    <row r="32" spans="2:12" ht="16.5" x14ac:dyDescent="0.3">
      <c r="B32" s="10"/>
      <c r="C32" s="146" t="s">
        <v>1240</v>
      </c>
      <c r="D32" s="179" t="s">
        <v>641</v>
      </c>
      <c r="E32" s="147" t="s">
        <v>1241</v>
      </c>
      <c r="F32" s="147" t="s">
        <v>1061</v>
      </c>
      <c r="G32" s="135" t="s">
        <v>2365</v>
      </c>
      <c r="H32" s="135" t="s">
        <v>6</v>
      </c>
      <c r="I32" s="126">
        <v>7.3525</v>
      </c>
      <c r="J32" s="126">
        <v>483.94749999999999</v>
      </c>
      <c r="K32" s="148">
        <v>1</v>
      </c>
      <c r="L32" s="15"/>
    </row>
    <row r="33" spans="2:12" ht="16.5" x14ac:dyDescent="0.3">
      <c r="B33" s="10"/>
      <c r="C33" s="146" t="s">
        <v>1244</v>
      </c>
      <c r="D33" s="179" t="s">
        <v>641</v>
      </c>
      <c r="E33" s="147" t="s">
        <v>1241</v>
      </c>
      <c r="F33" s="147" t="s">
        <v>1245</v>
      </c>
      <c r="G33" s="135" t="s">
        <v>2366</v>
      </c>
      <c r="H33" s="135" t="s">
        <v>6</v>
      </c>
      <c r="I33" s="126">
        <v>18.785</v>
      </c>
      <c r="J33" s="126">
        <v>502.73250000000002</v>
      </c>
      <c r="K33" s="148">
        <v>1</v>
      </c>
      <c r="L33" s="15"/>
    </row>
    <row r="34" spans="2:12" ht="16.5" x14ac:dyDescent="0.3">
      <c r="B34" s="10"/>
      <c r="C34" s="146" t="s">
        <v>1247</v>
      </c>
      <c r="D34" s="179" t="s">
        <v>641</v>
      </c>
      <c r="E34" s="147" t="s">
        <v>1241</v>
      </c>
      <c r="F34" s="147" t="s">
        <v>1248</v>
      </c>
      <c r="G34" s="135" t="s">
        <v>2367</v>
      </c>
      <c r="H34" s="135" t="s">
        <v>6</v>
      </c>
      <c r="I34" s="126">
        <v>6.8849999999999998</v>
      </c>
      <c r="J34" s="126">
        <v>509.61750000000001</v>
      </c>
      <c r="K34" s="148">
        <v>1</v>
      </c>
      <c r="L34" s="15"/>
    </row>
    <row r="35" spans="2:12" ht="16.5" x14ac:dyDescent="0.3">
      <c r="B35" s="10"/>
      <c r="C35" s="146" t="s">
        <v>1249</v>
      </c>
      <c r="D35" s="179" t="s">
        <v>641</v>
      </c>
      <c r="E35" s="147" t="s">
        <v>1241</v>
      </c>
      <c r="F35" s="147" t="s">
        <v>1250</v>
      </c>
      <c r="G35" s="135" t="s">
        <v>2368</v>
      </c>
      <c r="H35" s="135" t="s">
        <v>6</v>
      </c>
      <c r="I35" s="126">
        <v>4.93</v>
      </c>
      <c r="J35" s="126">
        <v>514.54750000000001</v>
      </c>
      <c r="K35" s="148">
        <v>1</v>
      </c>
      <c r="L35" s="15"/>
    </row>
    <row r="36" spans="2:12" ht="16.5" x14ac:dyDescent="0.3">
      <c r="B36" s="10"/>
      <c r="C36" s="146" t="s">
        <v>1347</v>
      </c>
      <c r="D36" s="179" t="s">
        <v>1348</v>
      </c>
      <c r="E36" s="147" t="s">
        <v>1349</v>
      </c>
      <c r="F36" s="147"/>
      <c r="G36" s="135" t="s">
        <v>2325</v>
      </c>
      <c r="H36" s="135" t="s">
        <v>6</v>
      </c>
      <c r="I36" s="126">
        <v>45.56</v>
      </c>
      <c r="J36" s="126">
        <v>560.10750000000007</v>
      </c>
      <c r="K36" s="148">
        <v>1</v>
      </c>
      <c r="L36" s="15"/>
    </row>
    <row r="37" spans="2:12" ht="16.5" x14ac:dyDescent="0.3">
      <c r="B37" s="10"/>
      <c r="C37" s="146" t="s">
        <v>1369</v>
      </c>
      <c r="D37" s="179" t="s">
        <v>1370</v>
      </c>
      <c r="E37" s="147" t="s">
        <v>1371</v>
      </c>
      <c r="F37" s="147"/>
      <c r="G37" s="135" t="s">
        <v>2370</v>
      </c>
      <c r="H37" s="135" t="s">
        <v>6</v>
      </c>
      <c r="I37" s="126">
        <v>15.299999999999999</v>
      </c>
      <c r="J37" s="126">
        <v>575.40750000000003</v>
      </c>
      <c r="K37" s="148">
        <v>1</v>
      </c>
      <c r="L37" s="15"/>
    </row>
    <row r="38" spans="2:12" ht="16.5" x14ac:dyDescent="0.3">
      <c r="B38" s="10"/>
      <c r="C38" s="146" t="s">
        <v>1392</v>
      </c>
      <c r="D38" s="179" t="s">
        <v>1393</v>
      </c>
      <c r="E38" s="147" t="s">
        <v>1394</v>
      </c>
      <c r="F38" s="147" t="s">
        <v>1397</v>
      </c>
      <c r="G38" s="135" t="s">
        <v>2371</v>
      </c>
      <c r="H38" s="135" t="s">
        <v>6</v>
      </c>
      <c r="I38" s="126">
        <v>34.339999999999996</v>
      </c>
      <c r="J38" s="126">
        <v>609.74750000000006</v>
      </c>
      <c r="K38" s="148">
        <v>1</v>
      </c>
      <c r="L38" s="15"/>
    </row>
    <row r="39" spans="2:12" ht="16.5" x14ac:dyDescent="0.3">
      <c r="B39" s="10"/>
      <c r="C39" s="146" t="s">
        <v>1398</v>
      </c>
      <c r="D39" s="179" t="s">
        <v>1393</v>
      </c>
      <c r="E39" s="147" t="s">
        <v>1394</v>
      </c>
      <c r="F39" s="147" t="s">
        <v>1399</v>
      </c>
      <c r="G39" s="135" t="s">
        <v>2372</v>
      </c>
      <c r="H39" s="135" t="s">
        <v>6</v>
      </c>
      <c r="I39" s="126">
        <v>17.935000000000002</v>
      </c>
      <c r="J39" s="126">
        <v>627.68250000000012</v>
      </c>
      <c r="K39" s="148">
        <v>1</v>
      </c>
      <c r="L39" s="15"/>
    </row>
    <row r="40" spans="2:12" ht="16.5" x14ac:dyDescent="0.3">
      <c r="B40" s="10"/>
      <c r="C40" s="146" t="s">
        <v>1543</v>
      </c>
      <c r="D40" s="179" t="s">
        <v>1544</v>
      </c>
      <c r="E40" s="147" t="s">
        <v>1545</v>
      </c>
      <c r="F40" s="147" t="s">
        <v>1547</v>
      </c>
      <c r="G40" s="135" t="s">
        <v>2006</v>
      </c>
      <c r="H40" s="135" t="s">
        <v>6</v>
      </c>
      <c r="I40" s="126">
        <v>7.6499999999999995</v>
      </c>
      <c r="J40" s="126">
        <v>635.3325000000001</v>
      </c>
      <c r="K40" s="148">
        <v>1</v>
      </c>
      <c r="L40" s="15"/>
    </row>
    <row r="41" spans="2:12" ht="16.5" x14ac:dyDescent="0.3">
      <c r="B41" s="10"/>
      <c r="C41" s="146" t="s">
        <v>1569</v>
      </c>
      <c r="D41" s="179" t="s">
        <v>458</v>
      </c>
      <c r="E41" s="147" t="s">
        <v>1570</v>
      </c>
      <c r="F41" s="147"/>
      <c r="G41" s="135" t="s">
        <v>2375</v>
      </c>
      <c r="H41" s="135" t="s">
        <v>6</v>
      </c>
      <c r="I41" s="126">
        <v>25.5</v>
      </c>
      <c r="J41" s="126">
        <v>660.8325000000001</v>
      </c>
      <c r="K41" s="148">
        <v>1</v>
      </c>
      <c r="L41" s="15"/>
    </row>
    <row r="42" spans="2:12" ht="16.5" x14ac:dyDescent="0.3">
      <c r="B42" s="10"/>
      <c r="C42" s="146" t="s">
        <v>1640</v>
      </c>
      <c r="D42" s="179" t="s">
        <v>1641</v>
      </c>
      <c r="E42" s="147" t="s">
        <v>1642</v>
      </c>
      <c r="F42" s="147" t="s">
        <v>155</v>
      </c>
      <c r="G42" s="135" t="s">
        <v>2379</v>
      </c>
      <c r="H42" s="135" t="s">
        <v>6</v>
      </c>
      <c r="I42" s="126">
        <v>20.74</v>
      </c>
      <c r="J42" s="126">
        <v>681.5725000000001</v>
      </c>
      <c r="K42" s="148">
        <v>1</v>
      </c>
      <c r="L42" s="15"/>
    </row>
    <row r="43" spans="2:12" ht="16.5" x14ac:dyDescent="0.3">
      <c r="B43" s="10"/>
      <c r="C43" s="146" t="s">
        <v>1719</v>
      </c>
      <c r="D43" s="179" t="s">
        <v>40</v>
      </c>
      <c r="E43" s="147" t="s">
        <v>1720</v>
      </c>
      <c r="F43" s="147" t="s">
        <v>1723</v>
      </c>
      <c r="G43" s="135" t="s">
        <v>2042</v>
      </c>
      <c r="H43" s="135" t="s">
        <v>6</v>
      </c>
      <c r="I43" s="126">
        <v>16.574999999999999</v>
      </c>
      <c r="J43" s="126">
        <v>698.14750000000015</v>
      </c>
      <c r="K43" s="148">
        <v>1</v>
      </c>
      <c r="L43" s="15"/>
    </row>
    <row r="44" spans="2:12" ht="16.5" x14ac:dyDescent="0.3">
      <c r="B44" s="10"/>
      <c r="C44" s="146" t="s">
        <v>1771</v>
      </c>
      <c r="D44" s="179" t="s">
        <v>1313</v>
      </c>
      <c r="E44" s="147" t="s">
        <v>1772</v>
      </c>
      <c r="F44" s="147">
        <v>1</v>
      </c>
      <c r="G44" s="135" t="s">
        <v>2381</v>
      </c>
      <c r="H44" s="135" t="s">
        <v>6</v>
      </c>
      <c r="I44" s="126">
        <v>15.299999999999999</v>
      </c>
      <c r="J44" s="126">
        <v>713.4475000000001</v>
      </c>
      <c r="K44" s="148">
        <v>1</v>
      </c>
      <c r="L44" s="15"/>
    </row>
    <row r="45" spans="2:12" ht="16.5" x14ac:dyDescent="0.3">
      <c r="B45" s="10"/>
      <c r="C45" s="146" t="s">
        <v>1775</v>
      </c>
      <c r="D45" s="179" t="s">
        <v>1313</v>
      </c>
      <c r="E45" s="147" t="s">
        <v>1776</v>
      </c>
      <c r="F45" s="147">
        <v>3</v>
      </c>
      <c r="G45" s="135" t="s">
        <v>2382</v>
      </c>
      <c r="H45" s="135" t="s">
        <v>6</v>
      </c>
      <c r="I45" s="126">
        <v>18.7</v>
      </c>
      <c r="J45" s="126">
        <v>732.14750000000015</v>
      </c>
      <c r="K45" s="148">
        <v>1</v>
      </c>
      <c r="L45" s="15"/>
    </row>
    <row r="46" spans="2:12" ht="16.5" x14ac:dyDescent="0.3">
      <c r="B46" s="10"/>
      <c r="C46" s="146" t="s">
        <v>1824</v>
      </c>
      <c r="D46" s="179" t="s">
        <v>128</v>
      </c>
      <c r="E46" s="147" t="s">
        <v>1825</v>
      </c>
      <c r="F46" s="147" t="s">
        <v>956</v>
      </c>
      <c r="G46" s="135" t="s">
        <v>2383</v>
      </c>
      <c r="H46" s="135" t="s">
        <v>6</v>
      </c>
      <c r="I46" s="126">
        <v>22.95</v>
      </c>
      <c r="J46" s="126">
        <v>755.0975000000002</v>
      </c>
      <c r="K46" s="148">
        <v>1</v>
      </c>
      <c r="L46" s="15"/>
    </row>
    <row r="47" spans="2:12" ht="16.5" x14ac:dyDescent="0.3">
      <c r="B47" s="10"/>
      <c r="C47" s="146" t="s">
        <v>232</v>
      </c>
      <c r="D47" s="179" t="s">
        <v>233</v>
      </c>
      <c r="E47" s="147" t="s">
        <v>233</v>
      </c>
      <c r="F47" s="147"/>
      <c r="G47" s="135" t="s">
        <v>2271</v>
      </c>
      <c r="H47" s="135" t="s">
        <v>6</v>
      </c>
      <c r="I47" s="126">
        <v>8.4150000000000009</v>
      </c>
      <c r="J47" s="126">
        <v>763.51250000000016</v>
      </c>
      <c r="K47" s="148">
        <v>1</v>
      </c>
      <c r="L47" s="15"/>
    </row>
    <row r="48" spans="2:12" ht="16.5" x14ac:dyDescent="0.3">
      <c r="B48" s="10"/>
      <c r="C48" s="146" t="s">
        <v>237</v>
      </c>
      <c r="D48" s="179" t="s">
        <v>238</v>
      </c>
      <c r="E48" s="147" t="s">
        <v>239</v>
      </c>
      <c r="F48" s="147" t="s">
        <v>242</v>
      </c>
      <c r="G48" s="135" t="s">
        <v>2336</v>
      </c>
      <c r="H48" s="135" t="s">
        <v>6</v>
      </c>
      <c r="I48" s="126">
        <v>8.0749999999999993</v>
      </c>
      <c r="J48" s="126">
        <v>771.5875000000002</v>
      </c>
      <c r="K48" s="148">
        <v>1</v>
      </c>
      <c r="L48" s="15"/>
    </row>
    <row r="49" spans="2:12" ht="16.5" x14ac:dyDescent="0.3">
      <c r="B49" s="10"/>
      <c r="C49" s="146" t="s">
        <v>299</v>
      </c>
      <c r="D49" s="179" t="s">
        <v>294</v>
      </c>
      <c r="E49" s="147" t="s">
        <v>300</v>
      </c>
      <c r="F49" s="147" t="s">
        <v>300</v>
      </c>
      <c r="G49" s="135" t="s">
        <v>302</v>
      </c>
      <c r="H49" s="135" t="s">
        <v>6</v>
      </c>
      <c r="I49" s="126">
        <v>37.4</v>
      </c>
      <c r="J49" s="126">
        <v>808.98750000000018</v>
      </c>
      <c r="K49" s="148">
        <v>1</v>
      </c>
      <c r="L49" s="15"/>
    </row>
    <row r="50" spans="2:12" ht="16.5" x14ac:dyDescent="0.3">
      <c r="B50" s="10"/>
      <c r="C50" s="146" t="s">
        <v>333</v>
      </c>
      <c r="D50" s="179" t="s">
        <v>334</v>
      </c>
      <c r="E50" s="147" t="s">
        <v>335</v>
      </c>
      <c r="F50" s="147"/>
      <c r="G50" s="135" t="s">
        <v>2338</v>
      </c>
      <c r="H50" s="135" t="s">
        <v>6</v>
      </c>
      <c r="I50" s="126">
        <v>11.9</v>
      </c>
      <c r="J50" s="126">
        <v>820.88750000000016</v>
      </c>
      <c r="K50" s="148">
        <v>1</v>
      </c>
      <c r="L50" s="15"/>
    </row>
    <row r="51" spans="2:12" ht="16.5" x14ac:dyDescent="0.3">
      <c r="B51" s="10"/>
      <c r="C51" s="146" t="s">
        <v>363</v>
      </c>
      <c r="D51" s="179" t="s">
        <v>364</v>
      </c>
      <c r="E51" s="147" t="s">
        <v>365</v>
      </c>
      <c r="F51" s="147"/>
      <c r="G51" s="135" t="s">
        <v>2339</v>
      </c>
      <c r="H51" s="135" t="s">
        <v>6</v>
      </c>
      <c r="I51" s="126">
        <v>10.625</v>
      </c>
      <c r="J51" s="126">
        <v>831.51250000000016</v>
      </c>
      <c r="K51" s="148">
        <v>1</v>
      </c>
      <c r="L51" s="15"/>
    </row>
    <row r="52" spans="2:12" ht="16.5" x14ac:dyDescent="0.3">
      <c r="B52" s="10"/>
      <c r="C52" s="146" t="s">
        <v>596</v>
      </c>
      <c r="D52" s="179" t="s">
        <v>597</v>
      </c>
      <c r="E52" s="147" t="s">
        <v>598</v>
      </c>
      <c r="F52" s="147"/>
      <c r="G52" s="135" t="s">
        <v>2341</v>
      </c>
      <c r="H52" s="135" t="s">
        <v>6</v>
      </c>
      <c r="I52" s="126">
        <v>11.559999999999999</v>
      </c>
      <c r="J52" s="126">
        <v>843.0725000000001</v>
      </c>
      <c r="K52" s="148">
        <v>1</v>
      </c>
      <c r="L52" s="15"/>
    </row>
    <row r="53" spans="2:12" ht="16.5" x14ac:dyDescent="0.3">
      <c r="B53" s="10"/>
      <c r="C53" s="146" t="s">
        <v>707</v>
      </c>
      <c r="D53" s="179" t="s">
        <v>708</v>
      </c>
      <c r="E53" s="147" t="s">
        <v>709</v>
      </c>
      <c r="F53" s="147" t="s">
        <v>711</v>
      </c>
      <c r="G53" s="135" t="s">
        <v>2344</v>
      </c>
      <c r="H53" s="135" t="s">
        <v>6</v>
      </c>
      <c r="I53" s="126">
        <v>9.35</v>
      </c>
      <c r="J53" s="126">
        <v>852.42250000000013</v>
      </c>
      <c r="K53" s="148">
        <v>1</v>
      </c>
      <c r="L53" s="15"/>
    </row>
    <row r="54" spans="2:12" ht="16.5" x14ac:dyDescent="0.3">
      <c r="B54" s="10"/>
      <c r="C54" s="146" t="s">
        <v>806</v>
      </c>
      <c r="D54" s="179" t="s">
        <v>807</v>
      </c>
      <c r="E54" s="147" t="s">
        <v>808</v>
      </c>
      <c r="F54" s="147"/>
      <c r="G54" s="135" t="s">
        <v>2348</v>
      </c>
      <c r="H54" s="135" t="s">
        <v>6</v>
      </c>
      <c r="I54" s="126">
        <v>12.392999999999999</v>
      </c>
      <c r="J54" s="126">
        <v>864.81550000000016</v>
      </c>
      <c r="K54" s="148">
        <v>1</v>
      </c>
      <c r="L54" s="15"/>
    </row>
    <row r="55" spans="2:12" ht="16.5" x14ac:dyDescent="0.3">
      <c r="B55" s="10"/>
      <c r="C55" s="146" t="s">
        <v>884</v>
      </c>
      <c r="D55" s="179" t="s">
        <v>885</v>
      </c>
      <c r="E55" s="147" t="s">
        <v>886</v>
      </c>
      <c r="F55" s="147" t="s">
        <v>889</v>
      </c>
      <c r="G55" s="135" t="s">
        <v>2350</v>
      </c>
      <c r="H55" s="135" t="s">
        <v>6</v>
      </c>
      <c r="I55" s="126">
        <v>13.174999999999999</v>
      </c>
      <c r="J55" s="126">
        <v>877.99050000000011</v>
      </c>
      <c r="K55" s="148">
        <v>1</v>
      </c>
      <c r="L55" s="15"/>
    </row>
    <row r="56" spans="2:12" ht="16.5" x14ac:dyDescent="0.3">
      <c r="B56" s="10"/>
      <c r="C56" s="146" t="s">
        <v>890</v>
      </c>
      <c r="D56" s="179" t="s">
        <v>885</v>
      </c>
      <c r="E56" s="147" t="s">
        <v>891</v>
      </c>
      <c r="F56" s="147" t="s">
        <v>892</v>
      </c>
      <c r="G56" s="135" t="s">
        <v>2351</v>
      </c>
      <c r="H56" s="135" t="s">
        <v>6</v>
      </c>
      <c r="I56" s="126">
        <v>16.574999999999999</v>
      </c>
      <c r="J56" s="126">
        <v>894.56550000000016</v>
      </c>
      <c r="K56" s="148">
        <v>1</v>
      </c>
      <c r="L56" s="15"/>
    </row>
    <row r="57" spans="2:12" ht="16.5" x14ac:dyDescent="0.3">
      <c r="B57" s="10"/>
      <c r="C57" s="146" t="s">
        <v>923</v>
      </c>
      <c r="D57" s="179" t="s">
        <v>924</v>
      </c>
      <c r="E57" s="147" t="s">
        <v>925</v>
      </c>
      <c r="F57" s="147" t="s">
        <v>927</v>
      </c>
      <c r="G57" s="135" t="s">
        <v>2352</v>
      </c>
      <c r="H57" s="135" t="s">
        <v>6</v>
      </c>
      <c r="I57" s="126">
        <v>21.675000000000001</v>
      </c>
      <c r="J57" s="126">
        <v>916.24050000000011</v>
      </c>
      <c r="K57" s="148">
        <v>1</v>
      </c>
      <c r="L57" s="15"/>
    </row>
    <row r="58" spans="2:12" ht="16.5" x14ac:dyDescent="0.3">
      <c r="B58" s="10"/>
      <c r="C58" s="146" t="s">
        <v>951</v>
      </c>
      <c r="D58" s="179" t="s">
        <v>952</v>
      </c>
      <c r="E58" s="147" t="s">
        <v>953</v>
      </c>
      <c r="F58" s="147" t="s">
        <v>956</v>
      </c>
      <c r="G58" s="135" t="s">
        <v>2297</v>
      </c>
      <c r="H58" s="135" t="s">
        <v>6</v>
      </c>
      <c r="I58" s="126">
        <v>13.6</v>
      </c>
      <c r="J58" s="126">
        <v>929.84050000000013</v>
      </c>
      <c r="K58" s="148">
        <v>1</v>
      </c>
      <c r="L58" s="15"/>
    </row>
    <row r="59" spans="2:12" ht="16.5" x14ac:dyDescent="0.3">
      <c r="B59" s="10"/>
      <c r="C59" s="146" t="s">
        <v>975</v>
      </c>
      <c r="D59" s="179" t="s">
        <v>976</v>
      </c>
      <c r="E59" s="147" t="s">
        <v>977</v>
      </c>
      <c r="F59" s="147"/>
      <c r="G59" s="135" t="s">
        <v>2354</v>
      </c>
      <c r="H59" s="135" t="s">
        <v>6</v>
      </c>
      <c r="I59" s="126">
        <v>12.494999999999999</v>
      </c>
      <c r="J59" s="126">
        <v>942.33550000000014</v>
      </c>
      <c r="K59" s="148">
        <v>1</v>
      </c>
      <c r="L59" s="15"/>
    </row>
    <row r="60" spans="2:12" ht="16.5" x14ac:dyDescent="0.3">
      <c r="B60" s="10"/>
      <c r="C60" s="146" t="s">
        <v>1002</v>
      </c>
      <c r="D60" s="179" t="s">
        <v>1003</v>
      </c>
      <c r="E60" s="147" t="s">
        <v>1004</v>
      </c>
      <c r="F60" s="147" t="s">
        <v>1004</v>
      </c>
      <c r="G60" s="135" t="s">
        <v>2355</v>
      </c>
      <c r="H60" s="135" t="s">
        <v>6</v>
      </c>
      <c r="I60" s="126">
        <v>38.335000000000001</v>
      </c>
      <c r="J60" s="126">
        <v>980.67050000000017</v>
      </c>
      <c r="K60" s="148">
        <v>1</v>
      </c>
      <c r="L60" s="15"/>
    </row>
    <row r="61" spans="2:12" ht="16.5" x14ac:dyDescent="0.3">
      <c r="B61" s="10"/>
      <c r="C61" s="146" t="s">
        <v>1062</v>
      </c>
      <c r="D61" s="179" t="s">
        <v>1057</v>
      </c>
      <c r="E61" s="147" t="s">
        <v>1058</v>
      </c>
      <c r="F61" s="147" t="s">
        <v>1063</v>
      </c>
      <c r="G61" s="135" t="s">
        <v>2152</v>
      </c>
      <c r="H61" s="135" t="s">
        <v>6</v>
      </c>
      <c r="I61" s="126">
        <v>11.73</v>
      </c>
      <c r="J61" s="126">
        <v>992.40050000000019</v>
      </c>
      <c r="K61" s="148">
        <v>1</v>
      </c>
      <c r="L61" s="15"/>
    </row>
    <row r="62" spans="2:12" ht="16.5" x14ac:dyDescent="0.3">
      <c r="B62" s="10"/>
      <c r="C62" s="146" t="s">
        <v>1064</v>
      </c>
      <c r="D62" s="179" t="s">
        <v>1057</v>
      </c>
      <c r="E62" s="147" t="s">
        <v>1058</v>
      </c>
      <c r="F62" s="147" t="s">
        <v>1065</v>
      </c>
      <c r="G62" s="135" t="s">
        <v>2053</v>
      </c>
      <c r="H62" s="135" t="s">
        <v>6</v>
      </c>
      <c r="I62" s="126">
        <v>1.2749999999999999</v>
      </c>
      <c r="J62" s="126">
        <v>993.67550000000017</v>
      </c>
      <c r="K62" s="148">
        <v>1</v>
      </c>
      <c r="L62" s="15"/>
    </row>
    <row r="63" spans="2:12" ht="16.5" x14ac:dyDescent="0.3">
      <c r="B63" s="10"/>
      <c r="C63" s="146" t="s">
        <v>1066</v>
      </c>
      <c r="D63" s="179" t="s">
        <v>1057</v>
      </c>
      <c r="E63" s="147" t="s">
        <v>1058</v>
      </c>
      <c r="F63" s="147" t="s">
        <v>33</v>
      </c>
      <c r="G63" s="135" t="s">
        <v>1988</v>
      </c>
      <c r="H63" s="135" t="s">
        <v>6</v>
      </c>
      <c r="I63" s="126">
        <v>2.38</v>
      </c>
      <c r="J63" s="126">
        <v>996.05550000000017</v>
      </c>
      <c r="K63" s="148">
        <v>1</v>
      </c>
      <c r="L63" s="15"/>
    </row>
    <row r="64" spans="2:12" ht="16.5" x14ac:dyDescent="0.3">
      <c r="B64" s="10"/>
      <c r="C64" s="146" t="s">
        <v>1067</v>
      </c>
      <c r="D64" s="179" t="s">
        <v>1057</v>
      </c>
      <c r="E64" s="147" t="s">
        <v>1058</v>
      </c>
      <c r="F64" s="147" t="s">
        <v>1068</v>
      </c>
      <c r="G64" s="135" t="s">
        <v>2053</v>
      </c>
      <c r="H64" s="135" t="s">
        <v>6</v>
      </c>
      <c r="I64" s="126">
        <v>1.2749999999999999</v>
      </c>
      <c r="J64" s="126">
        <v>997.33050000000014</v>
      </c>
      <c r="K64" s="148">
        <v>1</v>
      </c>
      <c r="L64" s="15"/>
    </row>
    <row r="65" spans="2:12" ht="16.5" x14ac:dyDescent="0.3">
      <c r="B65" s="10"/>
      <c r="C65" s="146" t="s">
        <v>1108</v>
      </c>
      <c r="D65" s="179" t="s">
        <v>458</v>
      </c>
      <c r="E65" s="147" t="s">
        <v>1109</v>
      </c>
      <c r="F65" s="147"/>
      <c r="G65" s="135" t="s">
        <v>2357</v>
      </c>
      <c r="H65" s="135" t="s">
        <v>6</v>
      </c>
      <c r="I65" s="126">
        <v>13.344999999999999</v>
      </c>
      <c r="J65" s="126">
        <v>1010.6755000000002</v>
      </c>
      <c r="K65" s="148">
        <v>1</v>
      </c>
      <c r="L65" s="15"/>
    </row>
    <row r="66" spans="2:12" ht="16.5" x14ac:dyDescent="0.3">
      <c r="B66" s="10"/>
      <c r="C66" s="146" t="s">
        <v>1188</v>
      </c>
      <c r="D66" s="179" t="s">
        <v>121</v>
      </c>
      <c r="E66" s="147" t="s">
        <v>1189</v>
      </c>
      <c r="F66" s="147" t="s">
        <v>1191</v>
      </c>
      <c r="G66" s="135" t="s">
        <v>2360</v>
      </c>
      <c r="H66" s="135" t="s">
        <v>6</v>
      </c>
      <c r="I66" s="126">
        <v>23.8</v>
      </c>
      <c r="J66" s="126">
        <v>1034.4755000000002</v>
      </c>
      <c r="K66" s="148">
        <v>1</v>
      </c>
      <c r="L66" s="15"/>
    </row>
    <row r="67" spans="2:12" ht="16.5" x14ac:dyDescent="0.3">
      <c r="B67" s="10"/>
      <c r="C67" s="146" t="s">
        <v>1221</v>
      </c>
      <c r="D67" s="179" t="s">
        <v>1222</v>
      </c>
      <c r="E67" s="147" t="s">
        <v>1223</v>
      </c>
      <c r="F67" s="147"/>
      <c r="G67" s="135" t="s">
        <v>2361</v>
      </c>
      <c r="H67" s="135" t="s">
        <v>6</v>
      </c>
      <c r="I67" s="126">
        <v>21.59</v>
      </c>
      <c r="J67" s="126">
        <v>1056.0655000000002</v>
      </c>
      <c r="K67" s="148">
        <v>1</v>
      </c>
      <c r="L67" s="15"/>
    </row>
    <row r="68" spans="2:12" ht="16.5" x14ac:dyDescent="0.3">
      <c r="B68" s="10"/>
      <c r="C68" s="146" t="s">
        <v>1231</v>
      </c>
      <c r="D68" s="179" t="s">
        <v>1232</v>
      </c>
      <c r="E68" s="147" t="s">
        <v>1233</v>
      </c>
      <c r="F68" s="147"/>
      <c r="G68" s="135" t="s">
        <v>2364</v>
      </c>
      <c r="H68" s="135" t="s">
        <v>6</v>
      </c>
      <c r="I68" s="126">
        <v>13.26</v>
      </c>
      <c r="J68" s="126">
        <v>1069.3255000000001</v>
      </c>
      <c r="K68" s="148">
        <v>1</v>
      </c>
      <c r="L68" s="15"/>
    </row>
    <row r="69" spans="2:12" ht="16.5" x14ac:dyDescent="0.3">
      <c r="B69" s="10"/>
      <c r="C69" s="146" t="s">
        <v>1425</v>
      </c>
      <c r="D69" s="179" t="s">
        <v>1426</v>
      </c>
      <c r="E69" s="147" t="s">
        <v>1427</v>
      </c>
      <c r="F69" s="147"/>
      <c r="G69" s="135" t="s">
        <v>2301</v>
      </c>
      <c r="H69" s="135" t="s">
        <v>6</v>
      </c>
      <c r="I69" s="126">
        <v>12.324999999999999</v>
      </c>
      <c r="J69" s="126">
        <v>1081.6505000000002</v>
      </c>
      <c r="K69" s="148">
        <v>1</v>
      </c>
      <c r="L69" s="15"/>
    </row>
    <row r="70" spans="2:12" ht="16.5" x14ac:dyDescent="0.3">
      <c r="B70" s="10"/>
      <c r="C70" s="146" t="s">
        <v>1492</v>
      </c>
      <c r="D70" s="179" t="s">
        <v>597</v>
      </c>
      <c r="E70" s="147" t="s">
        <v>1493</v>
      </c>
      <c r="F70" s="147"/>
      <c r="G70" s="135" t="s">
        <v>2263</v>
      </c>
      <c r="H70" s="135" t="s">
        <v>6</v>
      </c>
      <c r="I70" s="126">
        <v>12.75</v>
      </c>
      <c r="J70" s="126">
        <v>1094.4005000000002</v>
      </c>
      <c r="K70" s="148">
        <v>1</v>
      </c>
      <c r="L70" s="15"/>
    </row>
    <row r="71" spans="2:12" ht="16.5" x14ac:dyDescent="0.3">
      <c r="B71" s="10"/>
      <c r="C71" s="146" t="s">
        <v>1505</v>
      </c>
      <c r="D71" s="179" t="s">
        <v>1506</v>
      </c>
      <c r="E71" s="147" t="s">
        <v>1507</v>
      </c>
      <c r="F71" s="147" t="s">
        <v>1507</v>
      </c>
      <c r="G71" s="135" t="s">
        <v>2373</v>
      </c>
      <c r="H71" s="135" t="s">
        <v>6</v>
      </c>
      <c r="I71" s="126">
        <v>2.125</v>
      </c>
      <c r="J71" s="126">
        <v>1096.5255000000002</v>
      </c>
      <c r="K71" s="148">
        <v>1</v>
      </c>
      <c r="L71" s="15"/>
    </row>
    <row r="72" spans="2:12" ht="16.5" x14ac:dyDescent="0.3">
      <c r="B72" s="10"/>
      <c r="C72" s="146" t="s">
        <v>1510</v>
      </c>
      <c r="D72" s="179" t="s">
        <v>1506</v>
      </c>
      <c r="E72" s="147" t="s">
        <v>1511</v>
      </c>
      <c r="F72" s="147" t="s">
        <v>1511</v>
      </c>
      <c r="G72" s="135" t="s">
        <v>2374</v>
      </c>
      <c r="H72" s="135" t="s">
        <v>6</v>
      </c>
      <c r="I72" s="126">
        <v>12.324999999999999</v>
      </c>
      <c r="J72" s="126">
        <v>1108.8505000000002</v>
      </c>
      <c r="K72" s="148">
        <v>1</v>
      </c>
      <c r="L72" s="15"/>
    </row>
    <row r="73" spans="2:12" ht="16.5" x14ac:dyDescent="0.3">
      <c r="B73" s="10"/>
      <c r="C73" s="146" t="s">
        <v>1558</v>
      </c>
      <c r="D73" s="179" t="s">
        <v>1559</v>
      </c>
      <c r="E73" s="147" t="s">
        <v>1560</v>
      </c>
      <c r="F73" s="147"/>
      <c r="G73" s="135">
        <v>2009</v>
      </c>
      <c r="H73" s="135" t="s">
        <v>6</v>
      </c>
      <c r="I73" s="126">
        <v>14.45</v>
      </c>
      <c r="J73" s="126">
        <v>1123.3005000000003</v>
      </c>
      <c r="K73" s="148">
        <v>1</v>
      </c>
      <c r="L73" s="15"/>
    </row>
    <row r="74" spans="2:12" ht="16.5" x14ac:dyDescent="0.3">
      <c r="B74" s="10"/>
      <c r="C74" s="146" t="s">
        <v>1594</v>
      </c>
      <c r="D74" s="179" t="s">
        <v>1595</v>
      </c>
      <c r="E74" s="147" t="s">
        <v>1596</v>
      </c>
      <c r="F74" s="147"/>
      <c r="G74" s="135" t="s">
        <v>2376</v>
      </c>
      <c r="H74" s="135" t="s">
        <v>6</v>
      </c>
      <c r="I74" s="126">
        <v>13.6</v>
      </c>
      <c r="J74" s="126">
        <v>1136.9005000000002</v>
      </c>
      <c r="K74" s="148">
        <v>1</v>
      </c>
      <c r="L74" s="15"/>
    </row>
    <row r="75" spans="2:12" ht="16.5" x14ac:dyDescent="0.3">
      <c r="B75" s="10"/>
      <c r="C75" s="146" t="s">
        <v>1624</v>
      </c>
      <c r="D75" s="179" t="s">
        <v>1625</v>
      </c>
      <c r="E75" s="147" t="s">
        <v>1626</v>
      </c>
      <c r="F75" s="147"/>
      <c r="G75" s="135" t="s">
        <v>2377</v>
      </c>
      <c r="H75" s="135" t="s">
        <v>6</v>
      </c>
      <c r="I75" s="126">
        <v>45.9</v>
      </c>
      <c r="J75" s="126">
        <v>1182.8005000000003</v>
      </c>
      <c r="K75" s="148">
        <v>1</v>
      </c>
      <c r="L75" s="15"/>
    </row>
    <row r="76" spans="2:12" ht="16.5" x14ac:dyDescent="0.3">
      <c r="B76" s="10"/>
      <c r="C76" s="146" t="s">
        <v>1635</v>
      </c>
      <c r="D76" s="179" t="s">
        <v>1636</v>
      </c>
      <c r="E76" s="147" t="s">
        <v>1637</v>
      </c>
      <c r="F76" s="147"/>
      <c r="G76" s="135" t="s">
        <v>2378</v>
      </c>
      <c r="H76" s="135" t="s">
        <v>6</v>
      </c>
      <c r="I76" s="126">
        <v>24.564999999999998</v>
      </c>
      <c r="J76" s="126">
        <v>1207.3655000000003</v>
      </c>
      <c r="K76" s="148">
        <v>1</v>
      </c>
      <c r="L76" s="15"/>
    </row>
    <row r="77" spans="2:12" ht="16.5" x14ac:dyDescent="0.3">
      <c r="B77" s="10"/>
      <c r="C77" s="146" t="s">
        <v>1688</v>
      </c>
      <c r="D77" s="179" t="s">
        <v>1689</v>
      </c>
      <c r="E77" s="147"/>
      <c r="F77" s="147"/>
      <c r="G77" s="135" t="s">
        <v>2443</v>
      </c>
      <c r="H77" s="135" t="s">
        <v>6</v>
      </c>
      <c r="I77" s="126">
        <v>13.939999999999998</v>
      </c>
      <c r="J77" s="126">
        <v>1221.3055000000004</v>
      </c>
      <c r="K77" s="148">
        <v>1</v>
      </c>
      <c r="L77" s="15"/>
    </row>
    <row r="78" spans="2:12" ht="16.5" x14ac:dyDescent="0.3">
      <c r="B78" s="10"/>
      <c r="C78" s="146" t="s">
        <v>1692</v>
      </c>
      <c r="D78" s="179" t="s">
        <v>1693</v>
      </c>
      <c r="E78" s="147" t="s">
        <v>1693</v>
      </c>
      <c r="F78" s="147"/>
      <c r="G78" s="135" t="s">
        <v>2380</v>
      </c>
      <c r="H78" s="135" t="s">
        <v>6</v>
      </c>
      <c r="I78" s="126">
        <v>20.399999999999999</v>
      </c>
      <c r="J78" s="126">
        <v>1241.7055000000005</v>
      </c>
      <c r="K78" s="148">
        <v>1</v>
      </c>
      <c r="L78" s="15"/>
    </row>
    <row r="79" spans="2:12" ht="16.5" x14ac:dyDescent="0.3">
      <c r="B79" s="10"/>
      <c r="C79" s="146" t="s">
        <v>1937</v>
      </c>
      <c r="D79" s="179" t="s">
        <v>1938</v>
      </c>
      <c r="E79" s="147" t="s">
        <v>1939</v>
      </c>
      <c r="F79" s="147">
        <v>1</v>
      </c>
      <c r="G79" s="135" t="s">
        <v>2387</v>
      </c>
      <c r="H79" s="135" t="s">
        <v>6</v>
      </c>
      <c r="I79" s="126">
        <v>10.285</v>
      </c>
      <c r="J79" s="126">
        <v>1251.9905000000006</v>
      </c>
      <c r="K79" s="148">
        <v>1</v>
      </c>
      <c r="L79" s="15"/>
    </row>
    <row r="80" spans="2:12" ht="16.5" x14ac:dyDescent="0.3">
      <c r="B80" s="10"/>
      <c r="C80" s="146" t="s">
        <v>928</v>
      </c>
      <c r="D80" s="179" t="s">
        <v>929</v>
      </c>
      <c r="E80" s="147" t="s">
        <v>929</v>
      </c>
      <c r="F80" s="147"/>
      <c r="G80" s="135" t="s">
        <v>2353</v>
      </c>
      <c r="H80" s="135" t="s">
        <v>6</v>
      </c>
      <c r="I80" s="126">
        <v>10.718499999999999</v>
      </c>
      <c r="J80" s="126">
        <v>1262.7090000000005</v>
      </c>
      <c r="K80" s="148">
        <v>1</v>
      </c>
      <c r="L80" s="15"/>
    </row>
    <row r="81" spans="2:12" ht="16.5" x14ac:dyDescent="0.3">
      <c r="B81" s="10"/>
      <c r="C81" s="146" t="s">
        <v>56</v>
      </c>
      <c r="D81" s="179" t="s">
        <v>57</v>
      </c>
      <c r="E81" s="147" t="s">
        <v>58</v>
      </c>
      <c r="F81" s="147"/>
      <c r="G81" s="135" t="s">
        <v>2331</v>
      </c>
      <c r="H81" s="135" t="s">
        <v>6</v>
      </c>
      <c r="I81" s="126">
        <v>10.625</v>
      </c>
      <c r="J81" s="126">
        <v>1273.3340000000005</v>
      </c>
      <c r="K81" s="148">
        <v>1</v>
      </c>
      <c r="L81" s="15"/>
    </row>
    <row r="82" spans="2:12" ht="16.5" x14ac:dyDescent="0.3">
      <c r="B82" s="10"/>
      <c r="C82" s="146" t="s">
        <v>88</v>
      </c>
      <c r="D82" s="179" t="s">
        <v>89</v>
      </c>
      <c r="E82" s="147" t="s">
        <v>90</v>
      </c>
      <c r="F82" s="147" t="s">
        <v>93</v>
      </c>
      <c r="G82" s="135" t="s">
        <v>2332</v>
      </c>
      <c r="H82" s="135" t="s">
        <v>6</v>
      </c>
      <c r="I82" s="126">
        <v>8.5</v>
      </c>
      <c r="J82" s="126">
        <v>1281.8340000000005</v>
      </c>
      <c r="K82" s="148">
        <v>1</v>
      </c>
      <c r="L82" s="15"/>
    </row>
    <row r="83" spans="2:12" ht="16.5" x14ac:dyDescent="0.3">
      <c r="B83" s="10"/>
      <c r="C83" s="146" t="s">
        <v>1903</v>
      </c>
      <c r="D83" s="179" t="s">
        <v>1904</v>
      </c>
      <c r="E83" s="147" t="s">
        <v>977</v>
      </c>
      <c r="F83" s="147"/>
      <c r="G83" s="135" t="s">
        <v>2053</v>
      </c>
      <c r="H83" s="135" t="s">
        <v>6</v>
      </c>
      <c r="I83" s="126">
        <v>25.5</v>
      </c>
      <c r="J83" s="126">
        <v>1307.3340000000005</v>
      </c>
      <c r="K83" s="148">
        <v>1</v>
      </c>
      <c r="L83" s="15"/>
    </row>
    <row r="84" spans="2:12" ht="16.5" x14ac:dyDescent="0.3">
      <c r="B84" s="10"/>
      <c r="C84" s="146" t="s">
        <v>700</v>
      </c>
      <c r="D84" s="179" t="s">
        <v>701</v>
      </c>
      <c r="E84" s="147" t="s">
        <v>702</v>
      </c>
      <c r="F84" s="147"/>
      <c r="G84" s="135" t="s">
        <v>2343</v>
      </c>
      <c r="H84" s="135" t="s">
        <v>6</v>
      </c>
      <c r="I84" s="126">
        <v>14.45</v>
      </c>
      <c r="J84" s="126">
        <v>1321.7840000000006</v>
      </c>
      <c r="K84" s="148">
        <v>1</v>
      </c>
      <c r="L84" s="15"/>
    </row>
    <row r="85" spans="2:12" ht="16.5" x14ac:dyDescent="0.3">
      <c r="B85" s="10"/>
      <c r="C85" s="146" t="s">
        <v>1885</v>
      </c>
      <c r="D85" s="179" t="s">
        <v>1886</v>
      </c>
      <c r="E85" s="147"/>
      <c r="F85" s="147" t="s">
        <v>1834</v>
      </c>
      <c r="G85" s="135" t="s">
        <v>2442</v>
      </c>
      <c r="H85" s="135" t="s">
        <v>6</v>
      </c>
      <c r="I85" s="126">
        <v>10.115</v>
      </c>
      <c r="J85" s="126">
        <v>1331.8990000000006</v>
      </c>
      <c r="K85" s="148">
        <v>1</v>
      </c>
      <c r="L85" s="15"/>
    </row>
    <row r="86" spans="2:12" ht="16.5" x14ac:dyDescent="0.3">
      <c r="B86" s="10"/>
      <c r="C86" s="146" t="s">
        <v>1889</v>
      </c>
      <c r="D86" s="179" t="s">
        <v>1886</v>
      </c>
      <c r="E86" s="147"/>
      <c r="F86" s="147" t="s">
        <v>1890</v>
      </c>
      <c r="G86" s="135" t="s">
        <v>2440</v>
      </c>
      <c r="H86" s="135" t="s">
        <v>6</v>
      </c>
      <c r="I86" s="126">
        <v>5.8650000000000002</v>
      </c>
      <c r="J86" s="126">
        <v>1337.7640000000006</v>
      </c>
      <c r="K86" s="148">
        <v>1</v>
      </c>
      <c r="L86" s="15"/>
    </row>
    <row r="87" spans="2:12" ht="16.5" x14ac:dyDescent="0.3">
      <c r="B87" s="10"/>
      <c r="C87" s="146" t="s">
        <v>1353</v>
      </c>
      <c r="D87" s="179" t="s">
        <v>597</v>
      </c>
      <c r="E87" s="147" t="s">
        <v>1354</v>
      </c>
      <c r="F87" s="147" t="s">
        <v>1357</v>
      </c>
      <c r="G87" s="135" t="s">
        <v>2369</v>
      </c>
      <c r="H87" s="135" t="s">
        <v>6</v>
      </c>
      <c r="I87" s="126">
        <v>9.86</v>
      </c>
      <c r="J87" s="126">
        <v>1347.6240000000005</v>
      </c>
      <c r="K87" s="148">
        <v>1</v>
      </c>
      <c r="L87" s="15"/>
    </row>
    <row r="88" spans="2:12" ht="16.5" x14ac:dyDescent="0.3">
      <c r="B88" s="10"/>
      <c r="C88" s="146" t="s">
        <v>1910</v>
      </c>
      <c r="D88" s="179" t="s">
        <v>1911</v>
      </c>
      <c r="E88" s="147" t="s">
        <v>1912</v>
      </c>
      <c r="F88" s="147"/>
      <c r="G88" s="135" t="s">
        <v>2385</v>
      </c>
      <c r="H88" s="135" t="s">
        <v>6</v>
      </c>
      <c r="I88" s="126">
        <v>7.3949999999999996</v>
      </c>
      <c r="J88" s="126">
        <v>1355.0190000000005</v>
      </c>
      <c r="K88" s="148">
        <v>1</v>
      </c>
      <c r="L88" s="15"/>
    </row>
    <row r="89" spans="2:12" ht="16.5" x14ac:dyDescent="0.3">
      <c r="B89" s="10"/>
      <c r="C89" s="146" t="s">
        <v>1915</v>
      </c>
      <c r="D89" s="179" t="s">
        <v>1911</v>
      </c>
      <c r="E89" s="147" t="s">
        <v>1011</v>
      </c>
      <c r="F89" s="147"/>
      <c r="G89" s="135" t="s">
        <v>2386</v>
      </c>
      <c r="H89" s="135" t="s">
        <v>6</v>
      </c>
      <c r="I89" s="126">
        <v>10.199999999999999</v>
      </c>
      <c r="J89" s="126">
        <v>1365.2190000000005</v>
      </c>
      <c r="K89" s="148">
        <v>1</v>
      </c>
      <c r="L89" s="15"/>
    </row>
    <row r="90" spans="2:12" ht="16.5" x14ac:dyDescent="0.3">
      <c r="B90" s="10"/>
      <c r="C90" s="146" t="s">
        <v>1863</v>
      </c>
      <c r="D90" s="179" t="s">
        <v>1864</v>
      </c>
      <c r="E90" s="147" t="s">
        <v>1865</v>
      </c>
      <c r="F90" s="147"/>
      <c r="G90" s="135" t="s">
        <v>2330</v>
      </c>
      <c r="H90" s="135" t="s">
        <v>6</v>
      </c>
      <c r="I90" s="126">
        <v>23.8</v>
      </c>
      <c r="J90" s="126">
        <v>1389.0190000000005</v>
      </c>
      <c r="K90" s="148">
        <v>1</v>
      </c>
      <c r="L90" s="15"/>
    </row>
    <row r="91" spans="2:12" ht="16.5" x14ac:dyDescent="0.3">
      <c r="B91" s="10"/>
      <c r="C91" s="146" t="s">
        <v>901</v>
      </c>
      <c r="D91" s="179" t="s">
        <v>902</v>
      </c>
      <c r="E91" s="147" t="s">
        <v>903</v>
      </c>
      <c r="F91" s="147"/>
      <c r="G91" s="135" t="s">
        <v>2042</v>
      </c>
      <c r="H91" s="135" t="s">
        <v>6</v>
      </c>
      <c r="I91" s="126">
        <v>28.389999999999997</v>
      </c>
      <c r="J91" s="126">
        <v>1417.4090000000006</v>
      </c>
      <c r="K91" s="148">
        <v>1</v>
      </c>
      <c r="L91" s="15"/>
    </row>
    <row r="92" spans="2:12" ht="16.5" x14ac:dyDescent="0.3">
      <c r="B92" s="10"/>
      <c r="C92" s="146" t="s">
        <v>1661</v>
      </c>
      <c r="D92" s="179" t="s">
        <v>1662</v>
      </c>
      <c r="E92" s="147" t="s">
        <v>1663</v>
      </c>
      <c r="F92" s="147"/>
      <c r="G92" s="135" t="s">
        <v>2028</v>
      </c>
      <c r="H92" s="135" t="s">
        <v>6</v>
      </c>
      <c r="I92" s="126">
        <v>15.895</v>
      </c>
      <c r="J92" s="126">
        <v>1433.3040000000005</v>
      </c>
      <c r="K92" s="148">
        <v>1</v>
      </c>
      <c r="L92" s="15"/>
    </row>
    <row r="93" spans="2:12" ht="16.5" x14ac:dyDescent="0.3">
      <c r="B93" s="10"/>
      <c r="C93" s="146" t="s">
        <v>1846</v>
      </c>
      <c r="D93" s="179" t="s">
        <v>1847</v>
      </c>
      <c r="E93" s="147" t="s">
        <v>1848</v>
      </c>
      <c r="F93" s="147"/>
      <c r="G93" s="135" t="s">
        <v>2384</v>
      </c>
      <c r="H93" s="135" t="s">
        <v>6</v>
      </c>
      <c r="I93" s="126">
        <v>8.9249999999999989</v>
      </c>
      <c r="J93" s="126">
        <v>1442.2290000000005</v>
      </c>
      <c r="K93" s="148">
        <v>1</v>
      </c>
      <c r="L93" s="15"/>
    </row>
    <row r="94" spans="2:12" ht="16.5" x14ac:dyDescent="0.3">
      <c r="B94" s="10"/>
      <c r="C94" s="146" t="s">
        <v>1434</v>
      </c>
      <c r="D94" s="179" t="s">
        <v>1435</v>
      </c>
      <c r="E94" s="147" t="s">
        <v>1063</v>
      </c>
      <c r="F94" s="147"/>
      <c r="G94" s="135">
        <v>1962</v>
      </c>
      <c r="H94" s="135" t="s">
        <v>6</v>
      </c>
      <c r="I94" s="126">
        <v>8.0749999999999993</v>
      </c>
      <c r="J94" s="126">
        <v>1450.3040000000005</v>
      </c>
      <c r="K94" s="148">
        <v>1</v>
      </c>
      <c r="L94" s="15"/>
    </row>
    <row r="95" spans="2:12" ht="16.5" x14ac:dyDescent="0.3">
      <c r="B95" s="10"/>
      <c r="C95" s="146" t="s">
        <v>1440</v>
      </c>
      <c r="D95" s="179" t="s">
        <v>1435</v>
      </c>
      <c r="E95" s="147" t="s">
        <v>33</v>
      </c>
      <c r="F95" s="147"/>
      <c r="G95" s="135">
        <v>1972</v>
      </c>
      <c r="H95" s="135" t="s">
        <v>6</v>
      </c>
      <c r="I95" s="126">
        <v>8.33</v>
      </c>
      <c r="J95" s="126">
        <v>1458.6340000000005</v>
      </c>
      <c r="K95" s="148">
        <v>1</v>
      </c>
      <c r="L95" s="15"/>
    </row>
    <row r="96" spans="2:12" ht="16.5" x14ac:dyDescent="0.3">
      <c r="B96" s="10"/>
      <c r="C96" s="146" t="s">
        <v>1008</v>
      </c>
      <c r="D96" s="179" t="s">
        <v>1003</v>
      </c>
      <c r="E96" s="147" t="s">
        <v>1009</v>
      </c>
      <c r="F96" s="147" t="s">
        <v>1011</v>
      </c>
      <c r="G96" s="135" t="s">
        <v>2356</v>
      </c>
      <c r="H96" s="135" t="s">
        <v>6</v>
      </c>
      <c r="I96" s="126">
        <v>15.299999999999999</v>
      </c>
      <c r="J96" s="126">
        <v>1473.9340000000004</v>
      </c>
      <c r="K96" s="148">
        <v>1</v>
      </c>
      <c r="L96" s="15"/>
    </row>
    <row r="97" spans="2:12" ht="16.5" x14ac:dyDescent="0.3">
      <c r="B97" s="10"/>
      <c r="C97" s="146"/>
      <c r="D97" s="179" t="s">
        <v>1980</v>
      </c>
      <c r="E97" s="147"/>
      <c r="F97" s="147"/>
      <c r="G97" s="135"/>
      <c r="H97" s="135" t="s">
        <v>6</v>
      </c>
      <c r="I97" s="126">
        <v>100.88352499999999</v>
      </c>
      <c r="J97" s="126">
        <v>1574.8175250000004</v>
      </c>
      <c r="K97" s="148">
        <v>1</v>
      </c>
      <c r="L97" s="15"/>
    </row>
    <row r="98" spans="2:12" ht="16.5" x14ac:dyDescent="0.3">
      <c r="B98" s="10"/>
      <c r="C98" s="146" t="s">
        <v>351</v>
      </c>
      <c r="D98" s="179" t="s">
        <v>352</v>
      </c>
      <c r="E98" s="147" t="s">
        <v>353</v>
      </c>
      <c r="F98" s="147" t="s">
        <v>354</v>
      </c>
      <c r="G98" s="135" t="s">
        <v>2284</v>
      </c>
      <c r="H98" s="135" t="s">
        <v>1</v>
      </c>
      <c r="I98" s="126">
        <v>1254.9000000000001</v>
      </c>
      <c r="J98" s="126">
        <v>2829.7175250000005</v>
      </c>
      <c r="K98" s="148">
        <v>17.866666666666664</v>
      </c>
      <c r="L98" s="15"/>
    </row>
    <row r="99" spans="2:12" ht="16.5" x14ac:dyDescent="0.3">
      <c r="B99" s="10"/>
      <c r="C99" s="146" t="s">
        <v>566</v>
      </c>
      <c r="D99" s="179" t="s">
        <v>352</v>
      </c>
      <c r="E99" s="147" t="s">
        <v>567</v>
      </c>
      <c r="F99" s="147" t="s">
        <v>569</v>
      </c>
      <c r="G99" s="135" t="s">
        <v>2285</v>
      </c>
      <c r="H99" s="135" t="s">
        <v>1</v>
      </c>
      <c r="I99" s="126">
        <v>1210.4000000000001</v>
      </c>
      <c r="J99" s="126">
        <v>4040.1175250000006</v>
      </c>
      <c r="K99" s="148">
        <v>17.866666666666664</v>
      </c>
      <c r="L99" s="15"/>
    </row>
    <row r="100" spans="2:12" ht="16.5" x14ac:dyDescent="0.3">
      <c r="B100" s="10"/>
      <c r="C100" s="146" t="s">
        <v>617</v>
      </c>
      <c r="D100" s="179" t="s">
        <v>352</v>
      </c>
      <c r="E100" s="147" t="s">
        <v>618</v>
      </c>
      <c r="F100" s="147" t="s">
        <v>620</v>
      </c>
      <c r="G100" s="135" t="s">
        <v>2286</v>
      </c>
      <c r="H100" s="135" t="s">
        <v>1</v>
      </c>
      <c r="I100" s="126">
        <v>1254.9000000000001</v>
      </c>
      <c r="J100" s="126">
        <v>5295.0175250000011</v>
      </c>
      <c r="K100" s="148">
        <v>17.866666666666664</v>
      </c>
      <c r="L100" s="15"/>
    </row>
    <row r="101" spans="2:12" ht="16.5" x14ac:dyDescent="0.3">
      <c r="B101" s="10"/>
      <c r="C101" s="146" t="s">
        <v>755</v>
      </c>
      <c r="D101" s="179" t="s">
        <v>128</v>
      </c>
      <c r="E101" s="147" t="s">
        <v>756</v>
      </c>
      <c r="F101" s="147" t="s">
        <v>142</v>
      </c>
      <c r="G101" s="135" t="s">
        <v>2287</v>
      </c>
      <c r="H101" s="135" t="s">
        <v>1</v>
      </c>
      <c r="I101" s="126">
        <v>1146.32</v>
      </c>
      <c r="J101" s="126">
        <v>6441.3375250000008</v>
      </c>
      <c r="K101" s="148">
        <v>17.866666666666664</v>
      </c>
      <c r="L101" s="15"/>
    </row>
    <row r="102" spans="2:12" ht="16.5" x14ac:dyDescent="0.3">
      <c r="B102" s="10"/>
      <c r="C102" s="146" t="s">
        <v>1179</v>
      </c>
      <c r="D102" s="179" t="s">
        <v>128</v>
      </c>
      <c r="E102" s="147" t="s">
        <v>1180</v>
      </c>
      <c r="F102" s="147" t="s">
        <v>1181</v>
      </c>
      <c r="G102" s="135" t="s">
        <v>2288</v>
      </c>
      <c r="H102" s="135" t="s">
        <v>1</v>
      </c>
      <c r="I102" s="126">
        <v>1189.04</v>
      </c>
      <c r="J102" s="126">
        <v>7630.3775250000008</v>
      </c>
      <c r="K102" s="148">
        <v>17.866666666666664</v>
      </c>
      <c r="L102" s="15"/>
    </row>
    <row r="103" spans="2:12" ht="16.5" x14ac:dyDescent="0.3">
      <c r="B103" s="10"/>
      <c r="C103" s="146" t="s">
        <v>1338</v>
      </c>
      <c r="D103" s="179" t="s">
        <v>40</v>
      </c>
      <c r="E103" s="147" t="s">
        <v>1339</v>
      </c>
      <c r="F103" s="147" t="s">
        <v>1342</v>
      </c>
      <c r="G103" s="135" t="s">
        <v>2289</v>
      </c>
      <c r="H103" s="135" t="s">
        <v>1</v>
      </c>
      <c r="I103" s="126">
        <v>1165.9000000000001</v>
      </c>
      <c r="J103" s="126">
        <v>8796.2775250000013</v>
      </c>
      <c r="K103" s="148">
        <v>17.866666666666664</v>
      </c>
      <c r="L103" s="15"/>
    </row>
    <row r="104" spans="2:12" ht="16.5" x14ac:dyDescent="0.3">
      <c r="B104" s="10"/>
      <c r="C104" s="146" t="s">
        <v>1483</v>
      </c>
      <c r="D104" s="179" t="s">
        <v>40</v>
      </c>
      <c r="E104" s="147" t="s">
        <v>1484</v>
      </c>
      <c r="F104" s="147" t="s">
        <v>1487</v>
      </c>
      <c r="G104" s="135" t="s">
        <v>2290</v>
      </c>
      <c r="H104" s="135" t="s">
        <v>1</v>
      </c>
      <c r="I104" s="126">
        <v>1247.78</v>
      </c>
      <c r="J104" s="126">
        <v>10044.057525000002</v>
      </c>
      <c r="K104" s="148">
        <v>17.866666666666664</v>
      </c>
      <c r="L104" s="15"/>
    </row>
    <row r="105" spans="2:12" ht="16.5" x14ac:dyDescent="0.3">
      <c r="B105" s="10"/>
      <c r="C105" s="146" t="s">
        <v>1048</v>
      </c>
      <c r="D105" s="179" t="s">
        <v>622</v>
      </c>
      <c r="E105" s="147" t="s">
        <v>1049</v>
      </c>
      <c r="F105" s="147" t="s">
        <v>1052</v>
      </c>
      <c r="G105" s="135" t="s">
        <v>2103</v>
      </c>
      <c r="H105" s="135" t="s">
        <v>2</v>
      </c>
      <c r="I105" s="126">
        <v>17.661000000000001</v>
      </c>
      <c r="J105" s="126">
        <v>10061.718525000002</v>
      </c>
      <c r="K105" s="148">
        <v>31.770110701107011</v>
      </c>
      <c r="L105" s="15"/>
    </row>
    <row r="106" spans="2:12" ht="16.5" x14ac:dyDescent="0.3">
      <c r="B106" s="10"/>
      <c r="C106" s="146" t="s">
        <v>935</v>
      </c>
      <c r="D106" s="179" t="s">
        <v>622</v>
      </c>
      <c r="E106" s="147" t="s">
        <v>936</v>
      </c>
      <c r="F106" s="147" t="s">
        <v>939</v>
      </c>
      <c r="G106" s="135" t="s">
        <v>2100</v>
      </c>
      <c r="H106" s="135" t="s">
        <v>2</v>
      </c>
      <c r="I106" s="126">
        <v>20.2014</v>
      </c>
      <c r="J106" s="126">
        <v>10081.919925000002</v>
      </c>
      <c r="K106" s="148">
        <v>31.93747680890538</v>
      </c>
      <c r="L106" s="15"/>
    </row>
    <row r="107" spans="2:12" ht="16.5" x14ac:dyDescent="0.3">
      <c r="B107" s="10"/>
      <c r="C107" s="146" t="s">
        <v>725</v>
      </c>
      <c r="D107" s="179" t="s">
        <v>128</v>
      </c>
      <c r="E107" s="147" t="s">
        <v>726</v>
      </c>
      <c r="F107" s="147" t="s">
        <v>729</v>
      </c>
      <c r="G107" s="135" t="s">
        <v>2092</v>
      </c>
      <c r="H107" s="135" t="s">
        <v>2</v>
      </c>
      <c r="I107" s="126">
        <v>922.2</v>
      </c>
      <c r="J107" s="126">
        <v>11004.119925000003</v>
      </c>
      <c r="K107" s="148">
        <v>32.106716417910455</v>
      </c>
      <c r="L107" s="15"/>
    </row>
    <row r="108" spans="2:12" ht="16.5" x14ac:dyDescent="0.3">
      <c r="B108" s="10"/>
      <c r="C108" s="146" t="s">
        <v>730</v>
      </c>
      <c r="D108" s="179" t="s">
        <v>128</v>
      </c>
      <c r="E108" s="147" t="s">
        <v>731</v>
      </c>
      <c r="F108" s="147" t="s">
        <v>732</v>
      </c>
      <c r="G108" s="135" t="s">
        <v>2093</v>
      </c>
      <c r="H108" s="135" t="s">
        <v>2</v>
      </c>
      <c r="I108" s="126">
        <v>922.2</v>
      </c>
      <c r="J108" s="126">
        <v>11926.319925000003</v>
      </c>
      <c r="K108" s="148">
        <v>32.106716417910455</v>
      </c>
      <c r="L108" s="15"/>
    </row>
    <row r="109" spans="2:12" ht="16.5" x14ac:dyDescent="0.3">
      <c r="B109" s="10"/>
      <c r="C109" s="146" t="s">
        <v>273</v>
      </c>
      <c r="D109" s="179" t="s">
        <v>23</v>
      </c>
      <c r="E109" s="147" t="s">
        <v>266</v>
      </c>
      <c r="F109" s="147" t="s">
        <v>251</v>
      </c>
      <c r="G109" s="135" t="s">
        <v>2079</v>
      </c>
      <c r="H109" s="135" t="s">
        <v>2</v>
      </c>
      <c r="I109" s="126">
        <v>556.79999999999995</v>
      </c>
      <c r="J109" s="126">
        <v>12483.119925000003</v>
      </c>
      <c r="K109" s="148">
        <v>32.106716417910455</v>
      </c>
      <c r="L109" s="15"/>
    </row>
    <row r="110" spans="2:12" ht="16.5" x14ac:dyDescent="0.3">
      <c r="B110" s="10"/>
      <c r="C110" s="146" t="s">
        <v>386</v>
      </c>
      <c r="D110" s="179" t="s">
        <v>380</v>
      </c>
      <c r="E110" s="147" t="s">
        <v>381</v>
      </c>
      <c r="F110" s="147" t="s">
        <v>387</v>
      </c>
      <c r="G110" s="135" t="s">
        <v>2081</v>
      </c>
      <c r="H110" s="135" t="s">
        <v>2</v>
      </c>
      <c r="I110" s="126">
        <v>78.995999999999995</v>
      </c>
      <c r="J110" s="126">
        <v>12562.115925000002</v>
      </c>
      <c r="K110" s="148">
        <v>32.450943396226421</v>
      </c>
      <c r="L110" s="15"/>
    </row>
    <row r="111" spans="2:12" ht="16.5" x14ac:dyDescent="0.3">
      <c r="B111" s="10"/>
      <c r="C111" s="146" t="s">
        <v>1012</v>
      </c>
      <c r="D111" s="179" t="s">
        <v>1013</v>
      </c>
      <c r="E111" s="147" t="s">
        <v>1014</v>
      </c>
      <c r="F111" s="147" t="s">
        <v>327</v>
      </c>
      <c r="G111" s="135" t="s">
        <v>2102</v>
      </c>
      <c r="H111" s="135" t="s">
        <v>2</v>
      </c>
      <c r="I111" s="126">
        <v>65.510999999999996</v>
      </c>
      <c r="J111" s="126">
        <v>12627.626925000002</v>
      </c>
      <c r="K111" s="148">
        <v>32.450943396226421</v>
      </c>
      <c r="L111" s="15"/>
    </row>
    <row r="112" spans="2:12" ht="16.5" x14ac:dyDescent="0.3">
      <c r="B112" s="10"/>
      <c r="C112" s="146" t="s">
        <v>133</v>
      </c>
      <c r="D112" s="179" t="s">
        <v>128</v>
      </c>
      <c r="E112" s="147" t="s">
        <v>129</v>
      </c>
      <c r="F112" s="147" t="s">
        <v>134</v>
      </c>
      <c r="G112" s="135" t="s">
        <v>2069</v>
      </c>
      <c r="H112" s="135" t="s">
        <v>2</v>
      </c>
      <c r="I112" s="126">
        <v>563.76</v>
      </c>
      <c r="J112" s="126">
        <v>13191.386925000003</v>
      </c>
      <c r="K112" s="148">
        <v>32.625996204933593</v>
      </c>
      <c r="L112" s="15"/>
    </row>
    <row r="113" spans="2:12" ht="16.5" x14ac:dyDescent="0.3">
      <c r="B113" s="10"/>
      <c r="C113" s="146" t="s">
        <v>135</v>
      </c>
      <c r="D113" s="179" t="s">
        <v>128</v>
      </c>
      <c r="E113" s="147" t="s">
        <v>129</v>
      </c>
      <c r="F113" s="147" t="s">
        <v>136</v>
      </c>
      <c r="G113" s="135" t="s">
        <v>2070</v>
      </c>
      <c r="H113" s="135" t="s">
        <v>2</v>
      </c>
      <c r="I113" s="126">
        <v>546.36</v>
      </c>
      <c r="J113" s="126">
        <v>13737.746925000003</v>
      </c>
      <c r="K113" s="148">
        <v>32.803053435114506</v>
      </c>
      <c r="L113" s="15"/>
    </row>
    <row r="114" spans="2:12" ht="16.5" x14ac:dyDescent="0.3">
      <c r="B114" s="10"/>
      <c r="C114" s="146" t="s">
        <v>137</v>
      </c>
      <c r="D114" s="179" t="s">
        <v>128</v>
      </c>
      <c r="E114" s="147" t="s">
        <v>129</v>
      </c>
      <c r="F114" s="147" t="s">
        <v>138</v>
      </c>
      <c r="G114" s="135" t="s">
        <v>2071</v>
      </c>
      <c r="H114" s="135" t="s">
        <v>2</v>
      </c>
      <c r="I114" s="126">
        <v>821.28</v>
      </c>
      <c r="J114" s="126">
        <v>14559.026925000004</v>
      </c>
      <c r="K114" s="148">
        <v>33.909486166007916</v>
      </c>
      <c r="L114" s="15"/>
    </row>
    <row r="115" spans="2:12" ht="16.5" x14ac:dyDescent="0.3">
      <c r="B115" s="10"/>
      <c r="C115" s="146" t="s">
        <v>247</v>
      </c>
      <c r="D115" s="179" t="s">
        <v>23</v>
      </c>
      <c r="E115" s="147" t="s">
        <v>248</v>
      </c>
      <c r="F115" s="147" t="s">
        <v>251</v>
      </c>
      <c r="G115" s="135" t="s">
        <v>2075</v>
      </c>
      <c r="H115" s="135" t="s">
        <v>2</v>
      </c>
      <c r="I115" s="126">
        <v>761.25</v>
      </c>
      <c r="J115" s="126">
        <v>15320.276925000004</v>
      </c>
      <c r="K115" s="148">
        <v>34.296000000000006</v>
      </c>
      <c r="L115" s="15"/>
    </row>
    <row r="116" spans="2:12" ht="16.5" x14ac:dyDescent="0.3">
      <c r="B116" s="10"/>
      <c r="C116" s="146" t="s">
        <v>271</v>
      </c>
      <c r="D116" s="179" t="s">
        <v>23</v>
      </c>
      <c r="E116" s="147" t="s">
        <v>266</v>
      </c>
      <c r="F116" s="147" t="s">
        <v>272</v>
      </c>
      <c r="G116" s="135" t="s">
        <v>2078</v>
      </c>
      <c r="H116" s="135" t="s">
        <v>2</v>
      </c>
      <c r="I116" s="126">
        <v>745.59</v>
      </c>
      <c r="J116" s="126">
        <v>16065.866925000004</v>
      </c>
      <c r="K116" s="148">
        <v>34.296000000000006</v>
      </c>
      <c r="L116" s="15"/>
    </row>
    <row r="117" spans="2:12" ht="16.5" x14ac:dyDescent="0.3">
      <c r="B117" s="10"/>
      <c r="C117" s="146" t="s">
        <v>1933</v>
      </c>
      <c r="D117" s="179" t="s">
        <v>1934</v>
      </c>
      <c r="E117" s="147"/>
      <c r="F117" s="147"/>
      <c r="G117" s="135" t="s">
        <v>2444</v>
      </c>
      <c r="H117" s="135" t="s">
        <v>2</v>
      </c>
      <c r="I117" s="126">
        <v>15.225</v>
      </c>
      <c r="J117" s="126">
        <v>16081.091925000004</v>
      </c>
      <c r="K117" s="148">
        <v>34.296000000000006</v>
      </c>
      <c r="L117" s="15"/>
    </row>
    <row r="118" spans="2:12" ht="16.5" x14ac:dyDescent="0.3">
      <c r="B118" s="10"/>
      <c r="C118" s="146" t="s">
        <v>252</v>
      </c>
      <c r="D118" s="179" t="s">
        <v>40</v>
      </c>
      <c r="E118" s="147" t="s">
        <v>253</v>
      </c>
      <c r="F118" s="147" t="s">
        <v>254</v>
      </c>
      <c r="G118" s="135" t="s">
        <v>2076</v>
      </c>
      <c r="H118" s="135" t="s">
        <v>2</v>
      </c>
      <c r="I118" s="126">
        <v>761.25</v>
      </c>
      <c r="J118" s="126">
        <v>16842.341925000004</v>
      </c>
      <c r="K118" s="148">
        <v>34.492756539235415</v>
      </c>
      <c r="L118" s="15"/>
    </row>
    <row r="119" spans="2:12" ht="16.5" x14ac:dyDescent="0.3">
      <c r="B119" s="10"/>
      <c r="C119" s="146" t="s">
        <v>391</v>
      </c>
      <c r="D119" s="179" t="s">
        <v>392</v>
      </c>
      <c r="E119" s="147" t="s">
        <v>393</v>
      </c>
      <c r="F119" s="147">
        <v>1</v>
      </c>
      <c r="G119" s="135" t="s">
        <v>2082</v>
      </c>
      <c r="H119" s="135" t="s">
        <v>2</v>
      </c>
      <c r="I119" s="126">
        <v>64.38</v>
      </c>
      <c r="J119" s="126">
        <v>16906.721925000005</v>
      </c>
      <c r="K119" s="148">
        <v>34.492756539235415</v>
      </c>
      <c r="L119" s="15"/>
    </row>
    <row r="120" spans="2:12" ht="16.5" x14ac:dyDescent="0.3">
      <c r="B120" s="10"/>
      <c r="C120" s="146" t="s">
        <v>1669</v>
      </c>
      <c r="D120" s="179" t="s">
        <v>23</v>
      </c>
      <c r="E120" s="147" t="s">
        <v>1667</v>
      </c>
      <c r="F120" s="147" t="s">
        <v>139</v>
      </c>
      <c r="G120" s="135" t="s">
        <v>2111</v>
      </c>
      <c r="H120" s="135" t="s">
        <v>2</v>
      </c>
      <c r="I120" s="126">
        <v>652.5</v>
      </c>
      <c r="J120" s="126">
        <v>17559.221925000005</v>
      </c>
      <c r="K120" s="148">
        <v>34.691902834008104</v>
      </c>
      <c r="L120" s="15"/>
    </row>
    <row r="121" spans="2:12" ht="16.5" x14ac:dyDescent="0.3">
      <c r="B121" s="10"/>
      <c r="C121" s="146" t="s">
        <v>662</v>
      </c>
      <c r="D121" s="179" t="s">
        <v>663</v>
      </c>
      <c r="E121" s="147" t="s">
        <v>664</v>
      </c>
      <c r="F121" s="147" t="s">
        <v>666</v>
      </c>
      <c r="G121" s="135" t="s">
        <v>2091</v>
      </c>
      <c r="H121" s="135" t="s">
        <v>2</v>
      </c>
      <c r="I121" s="126">
        <v>39.15</v>
      </c>
      <c r="J121" s="126">
        <v>17598.371925000007</v>
      </c>
      <c r="K121" s="148">
        <v>34.893482688391046</v>
      </c>
      <c r="L121" s="15"/>
    </row>
    <row r="122" spans="2:12" ht="16.5" x14ac:dyDescent="0.3">
      <c r="B122" s="10"/>
      <c r="C122" s="146" t="s">
        <v>1666</v>
      </c>
      <c r="D122" s="179" t="s">
        <v>23</v>
      </c>
      <c r="E122" s="147" t="s">
        <v>1667</v>
      </c>
      <c r="F122" s="147" t="s">
        <v>140</v>
      </c>
      <c r="G122" s="135" t="s">
        <v>2110</v>
      </c>
      <c r="H122" s="135" t="s">
        <v>2</v>
      </c>
      <c r="I122" s="126">
        <v>652.5</v>
      </c>
      <c r="J122" s="126">
        <v>18250.871925000007</v>
      </c>
      <c r="K122" s="148">
        <v>34.893482688391046</v>
      </c>
      <c r="L122" s="15"/>
    </row>
    <row r="123" spans="2:12" ht="16.5" x14ac:dyDescent="0.3">
      <c r="B123" s="10"/>
      <c r="C123" s="146" t="s">
        <v>409</v>
      </c>
      <c r="D123" s="179" t="s">
        <v>410</v>
      </c>
      <c r="E123" s="147" t="s">
        <v>411</v>
      </c>
      <c r="F123" s="147"/>
      <c r="G123" s="135" t="s">
        <v>2083</v>
      </c>
      <c r="H123" s="135" t="s">
        <v>2</v>
      </c>
      <c r="I123" s="126">
        <v>42.63</v>
      </c>
      <c r="J123" s="126">
        <v>18293.501925000008</v>
      </c>
      <c r="K123" s="148">
        <v>35.097540983606564</v>
      </c>
      <c r="L123" s="15"/>
    </row>
    <row r="124" spans="2:12" ht="16.5" x14ac:dyDescent="0.3">
      <c r="B124" s="10"/>
      <c r="C124" s="146" t="s">
        <v>1461</v>
      </c>
      <c r="D124" s="179" t="s">
        <v>23</v>
      </c>
      <c r="E124" s="147" t="s">
        <v>1462</v>
      </c>
      <c r="F124" s="147" t="s">
        <v>140</v>
      </c>
      <c r="G124" s="135" t="s">
        <v>2104</v>
      </c>
      <c r="H124" s="135" t="s">
        <v>2</v>
      </c>
      <c r="I124" s="126">
        <v>404.55</v>
      </c>
      <c r="J124" s="126">
        <v>18698.051925000007</v>
      </c>
      <c r="K124" s="148">
        <v>35.097540983606564</v>
      </c>
      <c r="L124" s="15"/>
    </row>
    <row r="125" spans="2:12" ht="16.5" x14ac:dyDescent="0.3">
      <c r="B125" s="10"/>
      <c r="C125" s="146" t="s">
        <v>1465</v>
      </c>
      <c r="D125" s="179" t="s">
        <v>23</v>
      </c>
      <c r="E125" s="147" t="s">
        <v>1462</v>
      </c>
      <c r="F125" s="147" t="s">
        <v>139</v>
      </c>
      <c r="G125" s="135" t="s">
        <v>2105</v>
      </c>
      <c r="H125" s="135" t="s">
        <v>2</v>
      </c>
      <c r="I125" s="126">
        <v>404.55</v>
      </c>
      <c r="J125" s="126">
        <v>19102.601925000006</v>
      </c>
      <c r="K125" s="148">
        <v>35.097540983606564</v>
      </c>
      <c r="L125" s="15"/>
    </row>
    <row r="126" spans="2:12" ht="16.5" x14ac:dyDescent="0.3">
      <c r="B126" s="10"/>
      <c r="C126" s="146" t="s">
        <v>1466</v>
      </c>
      <c r="D126" s="179" t="s">
        <v>23</v>
      </c>
      <c r="E126" s="147" t="s">
        <v>1462</v>
      </c>
      <c r="F126" s="147" t="s">
        <v>142</v>
      </c>
      <c r="G126" s="135" t="s">
        <v>2106</v>
      </c>
      <c r="H126" s="135" t="s">
        <v>2</v>
      </c>
      <c r="I126" s="126">
        <v>404.55</v>
      </c>
      <c r="J126" s="126">
        <v>19507.151925000006</v>
      </c>
      <c r="K126" s="148">
        <v>35.097540983606564</v>
      </c>
      <c r="L126" s="15"/>
    </row>
    <row r="127" spans="2:12" ht="16.5" x14ac:dyDescent="0.3">
      <c r="B127" s="10"/>
      <c r="C127" s="146" t="s">
        <v>1467</v>
      </c>
      <c r="D127" s="179" t="s">
        <v>23</v>
      </c>
      <c r="E127" s="147" t="s">
        <v>1462</v>
      </c>
      <c r="F127" s="147" t="s">
        <v>131</v>
      </c>
      <c r="G127" s="135" t="s">
        <v>2107</v>
      </c>
      <c r="H127" s="135" t="s">
        <v>2</v>
      </c>
      <c r="I127" s="126">
        <v>404.55</v>
      </c>
      <c r="J127" s="126">
        <v>19911.701925000005</v>
      </c>
      <c r="K127" s="148">
        <v>35.097540983606564</v>
      </c>
      <c r="L127" s="15"/>
    </row>
    <row r="128" spans="2:12" ht="16.5" x14ac:dyDescent="0.3">
      <c r="B128" s="10"/>
      <c r="C128" s="146" t="s">
        <v>1468</v>
      </c>
      <c r="D128" s="179" t="s">
        <v>23</v>
      </c>
      <c r="E128" s="147" t="s">
        <v>1462</v>
      </c>
      <c r="F128" s="147" t="s">
        <v>143</v>
      </c>
      <c r="G128" s="135" t="s">
        <v>2108</v>
      </c>
      <c r="H128" s="135" t="s">
        <v>2</v>
      </c>
      <c r="I128" s="126">
        <v>404.55</v>
      </c>
      <c r="J128" s="126">
        <v>20316.251925000004</v>
      </c>
      <c r="K128" s="148">
        <v>35.097540983606564</v>
      </c>
      <c r="L128" s="15"/>
    </row>
    <row r="129" spans="2:12" ht="16.5" x14ac:dyDescent="0.3">
      <c r="B129" s="10"/>
      <c r="C129" s="146" t="s">
        <v>1611</v>
      </c>
      <c r="D129" s="179" t="s">
        <v>278</v>
      </c>
      <c r="E129" s="147" t="s">
        <v>1612</v>
      </c>
      <c r="F129" s="147" t="s">
        <v>140</v>
      </c>
      <c r="G129" s="135" t="s">
        <v>2083</v>
      </c>
      <c r="H129" s="135" t="s">
        <v>2</v>
      </c>
      <c r="I129" s="126">
        <v>391.5</v>
      </c>
      <c r="J129" s="126">
        <v>20707.751925000004</v>
      </c>
      <c r="K129" s="148">
        <v>35.097540983606564</v>
      </c>
      <c r="L129" s="15"/>
    </row>
    <row r="130" spans="2:12" ht="16.5" x14ac:dyDescent="0.3">
      <c r="B130" s="10"/>
      <c r="C130" s="146" t="s">
        <v>1613</v>
      </c>
      <c r="D130" s="179" t="s">
        <v>278</v>
      </c>
      <c r="E130" s="147" t="s">
        <v>1612</v>
      </c>
      <c r="F130" s="147" t="s">
        <v>139</v>
      </c>
      <c r="G130" s="135" t="s">
        <v>2083</v>
      </c>
      <c r="H130" s="135" t="s">
        <v>2</v>
      </c>
      <c r="I130" s="126">
        <v>391.5</v>
      </c>
      <c r="J130" s="126">
        <v>21099.251925000004</v>
      </c>
      <c r="K130" s="148">
        <v>35.097540983606564</v>
      </c>
      <c r="L130" s="15"/>
    </row>
    <row r="131" spans="2:12" ht="16.5" x14ac:dyDescent="0.3">
      <c r="B131" s="10"/>
      <c r="C131" s="146" t="s">
        <v>146</v>
      </c>
      <c r="D131" s="179" t="s">
        <v>147</v>
      </c>
      <c r="E131" s="147" t="s">
        <v>148</v>
      </c>
      <c r="F131" s="147" t="s">
        <v>150</v>
      </c>
      <c r="G131" s="135" t="s">
        <v>2074</v>
      </c>
      <c r="H131" s="135" t="s">
        <v>2</v>
      </c>
      <c r="I131" s="126">
        <v>8.6999999999999993</v>
      </c>
      <c r="J131" s="126">
        <v>21107.951925000005</v>
      </c>
      <c r="K131" s="148">
        <v>35.30412371134021</v>
      </c>
      <c r="L131" s="15"/>
    </row>
    <row r="132" spans="2:12" ht="16.5" x14ac:dyDescent="0.3">
      <c r="B132" s="10"/>
      <c r="C132" s="146" t="s">
        <v>151</v>
      </c>
      <c r="D132" s="179" t="s">
        <v>147</v>
      </c>
      <c r="E132" s="147" t="s">
        <v>148</v>
      </c>
      <c r="F132" s="147" t="s">
        <v>152</v>
      </c>
      <c r="G132" s="135" t="s">
        <v>2074</v>
      </c>
      <c r="H132" s="135" t="s">
        <v>2</v>
      </c>
      <c r="I132" s="126">
        <v>8.6999999999999993</v>
      </c>
      <c r="J132" s="126">
        <v>21116.651925000006</v>
      </c>
      <c r="K132" s="148">
        <v>35.30412371134021</v>
      </c>
      <c r="L132" s="15"/>
    </row>
    <row r="133" spans="2:12" ht="16.5" x14ac:dyDescent="0.3">
      <c r="B133" s="10"/>
      <c r="C133" s="146" t="s">
        <v>269</v>
      </c>
      <c r="D133" s="179" t="s">
        <v>23</v>
      </c>
      <c r="E133" s="147" t="s">
        <v>266</v>
      </c>
      <c r="F133" s="147" t="s">
        <v>270</v>
      </c>
      <c r="G133" s="135" t="s">
        <v>2063</v>
      </c>
      <c r="H133" s="135" t="s">
        <v>2</v>
      </c>
      <c r="I133" s="126">
        <v>404.55</v>
      </c>
      <c r="J133" s="126">
        <v>21521.201925000005</v>
      </c>
      <c r="K133" s="148">
        <v>35.513278008298762</v>
      </c>
      <c r="L133" s="15"/>
    </row>
    <row r="134" spans="2:12" ht="16.5" x14ac:dyDescent="0.3">
      <c r="B134" s="10"/>
      <c r="C134" s="146" t="s">
        <v>1796</v>
      </c>
      <c r="D134" s="179" t="s">
        <v>1756</v>
      </c>
      <c r="E134" s="147" t="s">
        <v>1797</v>
      </c>
      <c r="F134" s="180"/>
      <c r="G134" s="135" t="s">
        <v>2113</v>
      </c>
      <c r="H134" s="135" t="s">
        <v>2</v>
      </c>
      <c r="I134" s="126">
        <v>26.97</v>
      </c>
      <c r="J134" s="126">
        <v>21548.171925000006</v>
      </c>
      <c r="K134" s="148">
        <v>35.513278008298762</v>
      </c>
      <c r="L134" s="15"/>
    </row>
    <row r="135" spans="2:12" ht="16.5" x14ac:dyDescent="0.3">
      <c r="B135" s="10"/>
      <c r="C135" s="146" t="s">
        <v>265</v>
      </c>
      <c r="D135" s="179" t="s">
        <v>23</v>
      </c>
      <c r="E135" s="147" t="s">
        <v>266</v>
      </c>
      <c r="F135" s="180" t="s">
        <v>268</v>
      </c>
      <c r="G135" s="135" t="s">
        <v>2077</v>
      </c>
      <c r="H135" s="135" t="s">
        <v>2</v>
      </c>
      <c r="I135" s="126">
        <v>404.55</v>
      </c>
      <c r="J135" s="126">
        <v>21952.721925000005</v>
      </c>
      <c r="K135" s="148">
        <v>35.725052192066812</v>
      </c>
      <c r="L135" s="15"/>
    </row>
    <row r="136" spans="2:12" ht="16.5" x14ac:dyDescent="0.3">
      <c r="B136" s="10"/>
      <c r="C136" s="146" t="s">
        <v>1927</v>
      </c>
      <c r="D136" s="179" t="s">
        <v>1928</v>
      </c>
      <c r="E136" s="147" t="s">
        <v>1929</v>
      </c>
      <c r="F136" s="147" t="s">
        <v>1932</v>
      </c>
      <c r="G136" s="135" t="s">
        <v>2114</v>
      </c>
      <c r="H136" s="135" t="s">
        <v>2</v>
      </c>
      <c r="I136" s="126">
        <v>20.271000000000001</v>
      </c>
      <c r="J136" s="126">
        <v>21972.992925000006</v>
      </c>
      <c r="K136" s="148">
        <v>35.725052192066812</v>
      </c>
      <c r="L136" s="15"/>
    </row>
    <row r="137" spans="2:12" ht="16.5" x14ac:dyDescent="0.3">
      <c r="B137" s="10"/>
      <c r="C137" s="146" t="s">
        <v>621</v>
      </c>
      <c r="D137" s="179" t="s">
        <v>622</v>
      </c>
      <c r="E137" s="147" t="s">
        <v>623</v>
      </c>
      <c r="F137" s="147" t="s">
        <v>626</v>
      </c>
      <c r="G137" s="135" t="s">
        <v>2090</v>
      </c>
      <c r="H137" s="135" t="s">
        <v>2</v>
      </c>
      <c r="I137" s="126">
        <v>12.615</v>
      </c>
      <c r="J137" s="126">
        <v>21985.607925000008</v>
      </c>
      <c r="K137" s="148">
        <v>36.156659619450323</v>
      </c>
      <c r="L137" s="15"/>
    </row>
    <row r="138" spans="2:12" ht="16.5" x14ac:dyDescent="0.3">
      <c r="B138" s="10"/>
      <c r="C138" s="146"/>
      <c r="D138" s="179" t="s">
        <v>1980</v>
      </c>
      <c r="E138" s="147"/>
      <c r="F138" s="147"/>
      <c r="G138" s="135"/>
      <c r="H138" s="135" t="s">
        <v>2</v>
      </c>
      <c r="I138" s="126">
        <v>19.764659999999999</v>
      </c>
      <c r="J138" s="126">
        <v>22005.372585000008</v>
      </c>
      <c r="K138" s="148">
        <v>36.376595744680856</v>
      </c>
      <c r="L138" s="15"/>
    </row>
    <row r="139" spans="2:12" ht="16.5" x14ac:dyDescent="0.3">
      <c r="B139" s="10"/>
      <c r="C139" s="146" t="s">
        <v>980</v>
      </c>
      <c r="D139" s="179" t="s">
        <v>981</v>
      </c>
      <c r="E139" s="147" t="s">
        <v>982</v>
      </c>
      <c r="F139" s="147"/>
      <c r="G139" s="135" t="s">
        <v>2101</v>
      </c>
      <c r="H139" s="135" t="s">
        <v>2</v>
      </c>
      <c r="I139" s="126">
        <v>29.145</v>
      </c>
      <c r="J139" s="126">
        <v>22034.517585000009</v>
      </c>
      <c r="K139" s="148">
        <v>36.599357601713074</v>
      </c>
      <c r="L139" s="15"/>
    </row>
    <row r="140" spans="2:12" ht="16.5" x14ac:dyDescent="0.3">
      <c r="B140" s="10"/>
      <c r="C140" s="146" t="s">
        <v>379</v>
      </c>
      <c r="D140" s="179" t="s">
        <v>380</v>
      </c>
      <c r="E140" s="147" t="s">
        <v>381</v>
      </c>
      <c r="F140" s="147" t="s">
        <v>383</v>
      </c>
      <c r="G140" s="135" t="s">
        <v>2080</v>
      </c>
      <c r="H140" s="135" t="s">
        <v>2</v>
      </c>
      <c r="I140" s="126">
        <v>49.415999999999997</v>
      </c>
      <c r="J140" s="126">
        <v>22083.93358500001</v>
      </c>
      <c r="K140" s="148">
        <v>36.82500000000001</v>
      </c>
      <c r="L140" s="15"/>
    </row>
    <row r="141" spans="2:12" ht="16.5" x14ac:dyDescent="0.3">
      <c r="B141" s="10"/>
      <c r="C141" s="146" t="s">
        <v>668</v>
      </c>
      <c r="D141" s="179" t="s">
        <v>128</v>
      </c>
      <c r="E141" s="147" t="s">
        <v>669</v>
      </c>
      <c r="F141" s="147" t="s">
        <v>669</v>
      </c>
      <c r="G141" s="135" t="s">
        <v>2061</v>
      </c>
      <c r="H141" s="135" t="s">
        <v>2</v>
      </c>
      <c r="I141" s="126">
        <v>153.12</v>
      </c>
      <c r="J141" s="126">
        <v>22237.053585000009</v>
      </c>
      <c r="K141" s="148">
        <v>36.82500000000001</v>
      </c>
      <c r="L141" s="15"/>
    </row>
    <row r="142" spans="2:12" ht="16.5" x14ac:dyDescent="0.3">
      <c r="B142" s="10"/>
      <c r="C142" s="146" t="s">
        <v>482</v>
      </c>
      <c r="D142" s="179" t="s">
        <v>483</v>
      </c>
      <c r="E142" s="147" t="s">
        <v>484</v>
      </c>
      <c r="F142" s="147"/>
      <c r="G142" s="135" t="s">
        <v>2085</v>
      </c>
      <c r="H142" s="135" t="s">
        <v>2</v>
      </c>
      <c r="I142" s="126">
        <v>8.0910000000000011</v>
      </c>
      <c r="J142" s="126">
        <v>22245.144585000009</v>
      </c>
      <c r="K142" s="148">
        <v>37.998440979955461</v>
      </c>
      <c r="L142" s="15"/>
    </row>
    <row r="143" spans="2:12" ht="16.5" x14ac:dyDescent="0.3">
      <c r="B143" s="10"/>
      <c r="C143" s="146" t="s">
        <v>1652</v>
      </c>
      <c r="D143" s="179" t="s">
        <v>1653</v>
      </c>
      <c r="E143" s="147" t="s">
        <v>1654</v>
      </c>
      <c r="F143" s="147"/>
      <c r="G143" s="135" t="s">
        <v>2109</v>
      </c>
      <c r="H143" s="135" t="s">
        <v>2</v>
      </c>
      <c r="I143" s="126">
        <v>39.15</v>
      </c>
      <c r="J143" s="126">
        <v>22284.294585000011</v>
      </c>
      <c r="K143" s="148">
        <v>38.995194508009156</v>
      </c>
      <c r="L143" s="15"/>
    </row>
    <row r="144" spans="2:12" ht="16.5" x14ac:dyDescent="0.3">
      <c r="B144" s="10"/>
      <c r="C144" s="146" t="s">
        <v>739</v>
      </c>
      <c r="D144" s="179" t="s">
        <v>128</v>
      </c>
      <c r="E144" s="147" t="s">
        <v>734</v>
      </c>
      <c r="F144" s="147" t="s">
        <v>143</v>
      </c>
      <c r="G144" s="135" t="s">
        <v>2098</v>
      </c>
      <c r="H144" s="135" t="s">
        <v>2</v>
      </c>
      <c r="I144" s="126">
        <v>525.48</v>
      </c>
      <c r="J144" s="126">
        <v>22809.77458500001</v>
      </c>
      <c r="K144" s="148">
        <v>39.779439252336459</v>
      </c>
      <c r="L144" s="15"/>
    </row>
    <row r="145" spans="2:12" ht="16.5" x14ac:dyDescent="0.3">
      <c r="B145" s="10"/>
      <c r="C145" s="146" t="s">
        <v>738</v>
      </c>
      <c r="D145" s="179" t="s">
        <v>128</v>
      </c>
      <c r="E145" s="147" t="s">
        <v>734</v>
      </c>
      <c r="F145" s="147" t="s">
        <v>131</v>
      </c>
      <c r="G145" s="135" t="s">
        <v>2097</v>
      </c>
      <c r="H145" s="135" t="s">
        <v>2</v>
      </c>
      <c r="I145" s="126">
        <v>528.09</v>
      </c>
      <c r="J145" s="126">
        <v>23337.86458500001</v>
      </c>
      <c r="K145" s="148">
        <v>40.048235294117646</v>
      </c>
      <c r="L145" s="15"/>
    </row>
    <row r="146" spans="2:12" ht="16.5" x14ac:dyDescent="0.3">
      <c r="B146" s="10"/>
      <c r="C146" s="146" t="s">
        <v>609</v>
      </c>
      <c r="D146" s="179" t="s">
        <v>128</v>
      </c>
      <c r="E146" s="147" t="s">
        <v>603</v>
      </c>
      <c r="F146" s="147" t="s">
        <v>134</v>
      </c>
      <c r="G146" s="135" t="s">
        <v>2089</v>
      </c>
      <c r="H146" s="135" t="s">
        <v>2</v>
      </c>
      <c r="I146" s="126">
        <v>570.72</v>
      </c>
      <c r="J146" s="126">
        <v>23908.584585000011</v>
      </c>
      <c r="K146" s="148">
        <v>40.048235294117646</v>
      </c>
      <c r="L146" s="15"/>
    </row>
    <row r="147" spans="2:12" ht="16.5" x14ac:dyDescent="0.3">
      <c r="B147" s="10"/>
      <c r="C147" s="146" t="s">
        <v>607</v>
      </c>
      <c r="D147" s="179" t="s">
        <v>128</v>
      </c>
      <c r="E147" s="147" t="s">
        <v>603</v>
      </c>
      <c r="F147" s="147" t="s">
        <v>136</v>
      </c>
      <c r="G147" s="135" t="s">
        <v>2088</v>
      </c>
      <c r="H147" s="135" t="s">
        <v>2</v>
      </c>
      <c r="I147" s="126">
        <v>576.80999999999995</v>
      </c>
      <c r="J147" s="126">
        <v>24485.394585000013</v>
      </c>
      <c r="K147" s="148">
        <v>40.320853080568725</v>
      </c>
      <c r="L147" s="15"/>
    </row>
    <row r="148" spans="2:12" ht="16.5" x14ac:dyDescent="0.3">
      <c r="B148" s="10"/>
      <c r="C148" s="146" t="s">
        <v>733</v>
      </c>
      <c r="D148" s="179" t="s">
        <v>128</v>
      </c>
      <c r="E148" s="147" t="s">
        <v>734</v>
      </c>
      <c r="F148" s="147" t="s">
        <v>142</v>
      </c>
      <c r="G148" s="135" t="s">
        <v>2094</v>
      </c>
      <c r="H148" s="135" t="s">
        <v>2</v>
      </c>
      <c r="I148" s="126">
        <v>254.04</v>
      </c>
      <c r="J148" s="126">
        <v>24739.434585000014</v>
      </c>
      <c r="K148" s="148">
        <v>40.597374701670645</v>
      </c>
      <c r="L148" s="15"/>
    </row>
    <row r="149" spans="2:12" ht="16.5" x14ac:dyDescent="0.3">
      <c r="B149" s="10"/>
      <c r="C149" s="146" t="s">
        <v>736</v>
      </c>
      <c r="D149" s="179" t="s">
        <v>128</v>
      </c>
      <c r="E149" s="147" t="s">
        <v>734</v>
      </c>
      <c r="F149" s="147" t="s">
        <v>140</v>
      </c>
      <c r="G149" s="135" t="s">
        <v>2095</v>
      </c>
      <c r="H149" s="135" t="s">
        <v>2</v>
      </c>
      <c r="I149" s="126">
        <v>255.78</v>
      </c>
      <c r="J149" s="126">
        <v>24995.214585000012</v>
      </c>
      <c r="K149" s="148">
        <v>40.87788461538463</v>
      </c>
      <c r="L149" s="15"/>
    </row>
    <row r="150" spans="2:12" ht="16.5" x14ac:dyDescent="0.3">
      <c r="B150" s="10"/>
      <c r="C150" s="146" t="s">
        <v>737</v>
      </c>
      <c r="D150" s="179" t="s">
        <v>128</v>
      </c>
      <c r="E150" s="147" t="s">
        <v>734</v>
      </c>
      <c r="F150" s="147" t="s">
        <v>139</v>
      </c>
      <c r="G150" s="135" t="s">
        <v>2096</v>
      </c>
      <c r="H150" s="135" t="s">
        <v>2</v>
      </c>
      <c r="I150" s="126">
        <v>255.78</v>
      </c>
      <c r="J150" s="126">
        <v>25250.994585000011</v>
      </c>
      <c r="K150" s="148">
        <v>40.87788461538463</v>
      </c>
      <c r="L150" s="15"/>
    </row>
    <row r="151" spans="2:12" ht="16.5" x14ac:dyDescent="0.3">
      <c r="B151" s="10"/>
      <c r="C151" s="146" t="s">
        <v>127</v>
      </c>
      <c r="D151" s="179" t="s">
        <v>128</v>
      </c>
      <c r="E151" s="147" t="s">
        <v>129</v>
      </c>
      <c r="F151" s="147" t="s">
        <v>131</v>
      </c>
      <c r="G151" s="135" t="s">
        <v>2068</v>
      </c>
      <c r="H151" s="135" t="s">
        <v>2</v>
      </c>
      <c r="I151" s="126">
        <v>258.39</v>
      </c>
      <c r="J151" s="126">
        <v>25509.384585000011</v>
      </c>
      <c r="K151" s="148">
        <v>42.041584158415851</v>
      </c>
      <c r="L151" s="15"/>
    </row>
    <row r="152" spans="2:12" ht="16.5" x14ac:dyDescent="0.3">
      <c r="B152" s="10"/>
      <c r="C152" s="146" t="s">
        <v>606</v>
      </c>
      <c r="D152" s="179" t="s">
        <v>128</v>
      </c>
      <c r="E152" s="147" t="s">
        <v>603</v>
      </c>
      <c r="F152" s="147" t="s">
        <v>132</v>
      </c>
      <c r="G152" s="135" t="s">
        <v>2087</v>
      </c>
      <c r="H152" s="135" t="s">
        <v>2</v>
      </c>
      <c r="I152" s="126">
        <v>279.27</v>
      </c>
      <c r="J152" s="126">
        <v>25788.654585000011</v>
      </c>
      <c r="K152" s="148">
        <v>42.34339152119702</v>
      </c>
      <c r="L152" s="15"/>
    </row>
    <row r="153" spans="2:12" ht="16.5" x14ac:dyDescent="0.3">
      <c r="B153" s="10"/>
      <c r="C153" s="146" t="s">
        <v>634</v>
      </c>
      <c r="D153" s="179" t="s">
        <v>630</v>
      </c>
      <c r="E153" s="147" t="s">
        <v>631</v>
      </c>
      <c r="F153" s="147" t="s">
        <v>635</v>
      </c>
      <c r="G153" s="135" t="s">
        <v>2003</v>
      </c>
      <c r="H153" s="135" t="s">
        <v>3</v>
      </c>
      <c r="I153" s="126">
        <v>24.18</v>
      </c>
      <c r="J153" s="126">
        <v>25812.834585000011</v>
      </c>
      <c r="K153" s="148">
        <v>42.609920634920634</v>
      </c>
      <c r="L153" s="15"/>
    </row>
    <row r="154" spans="2:12" ht="16.5" x14ac:dyDescent="0.3">
      <c r="B154" s="10"/>
      <c r="C154" s="146" t="s">
        <v>141</v>
      </c>
      <c r="D154" s="179" t="s">
        <v>128</v>
      </c>
      <c r="E154" s="147" t="s">
        <v>129</v>
      </c>
      <c r="F154" s="147" t="s">
        <v>142</v>
      </c>
      <c r="G154" s="135" t="s">
        <v>2072</v>
      </c>
      <c r="H154" s="135" t="s">
        <v>2</v>
      </c>
      <c r="I154" s="126">
        <v>256.64999999999998</v>
      </c>
      <c r="J154" s="126">
        <v>26069.484585000013</v>
      </c>
      <c r="K154" s="148">
        <v>42.960759493670892</v>
      </c>
      <c r="L154" s="15"/>
    </row>
    <row r="155" spans="2:12" ht="16.5" x14ac:dyDescent="0.3">
      <c r="B155" s="10"/>
      <c r="C155" s="146" t="s">
        <v>602</v>
      </c>
      <c r="D155" s="179" t="s">
        <v>128</v>
      </c>
      <c r="E155" s="147" t="s">
        <v>603</v>
      </c>
      <c r="F155" s="147" t="s">
        <v>143</v>
      </c>
      <c r="G155" s="135" t="s">
        <v>2086</v>
      </c>
      <c r="H155" s="135" t="s">
        <v>2</v>
      </c>
      <c r="I155" s="126">
        <v>279.27</v>
      </c>
      <c r="J155" s="126">
        <v>26348.754585000013</v>
      </c>
      <c r="K155" s="148">
        <v>42.960759493670892</v>
      </c>
      <c r="L155" s="15"/>
    </row>
    <row r="156" spans="2:12" ht="16.5" x14ac:dyDescent="0.3">
      <c r="B156" s="10"/>
      <c r="C156" s="146" t="s">
        <v>1949</v>
      </c>
      <c r="D156" s="179" t="s">
        <v>1950</v>
      </c>
      <c r="E156" s="147" t="s">
        <v>1951</v>
      </c>
      <c r="F156" s="147" t="s">
        <v>1954</v>
      </c>
      <c r="G156" s="135" t="s">
        <v>2084</v>
      </c>
      <c r="H156" s="135" t="s">
        <v>2</v>
      </c>
      <c r="I156" s="126">
        <v>16.965</v>
      </c>
      <c r="J156" s="126">
        <v>26365.719585000013</v>
      </c>
      <c r="K156" s="148">
        <v>43.276530612244912</v>
      </c>
      <c r="L156" s="15"/>
    </row>
    <row r="157" spans="2:12" ht="16.5" x14ac:dyDescent="0.3">
      <c r="B157" s="10"/>
      <c r="C157" s="146" t="s">
        <v>447</v>
      </c>
      <c r="D157" s="179" t="s">
        <v>448</v>
      </c>
      <c r="E157" s="147" t="s">
        <v>449</v>
      </c>
      <c r="F157" s="147"/>
      <c r="G157" s="135" t="s">
        <v>2084</v>
      </c>
      <c r="H157" s="135" t="s">
        <v>2</v>
      </c>
      <c r="I157" s="126">
        <v>23.925000000000001</v>
      </c>
      <c r="J157" s="126">
        <v>26389.644585000013</v>
      </c>
      <c r="K157" s="148">
        <v>43.276530612244912</v>
      </c>
      <c r="L157" s="15"/>
    </row>
    <row r="158" spans="2:12" ht="16.5" x14ac:dyDescent="0.3">
      <c r="B158" s="10"/>
      <c r="C158" s="146" t="s">
        <v>637</v>
      </c>
      <c r="D158" s="179" t="s">
        <v>630</v>
      </c>
      <c r="E158" s="147" t="s">
        <v>631</v>
      </c>
      <c r="F158" s="147" t="s">
        <v>638</v>
      </c>
      <c r="G158" s="135" t="s">
        <v>2004</v>
      </c>
      <c r="H158" s="135" t="s">
        <v>3</v>
      </c>
      <c r="I158" s="126">
        <v>25.740000000000002</v>
      </c>
      <c r="J158" s="126">
        <v>26415.384585000014</v>
      </c>
      <c r="K158" s="148">
        <v>43.746890927624875</v>
      </c>
      <c r="L158" s="15"/>
    </row>
    <row r="159" spans="2:12" ht="16.5" x14ac:dyDescent="0.3">
      <c r="B159" s="10"/>
      <c r="C159" s="146" t="s">
        <v>922</v>
      </c>
      <c r="D159" s="179" t="s">
        <v>918</v>
      </c>
      <c r="E159" s="147" t="s">
        <v>101</v>
      </c>
      <c r="F159" s="147" t="s">
        <v>383</v>
      </c>
      <c r="G159" s="135" t="s">
        <v>2020</v>
      </c>
      <c r="H159" s="135" t="s">
        <v>3</v>
      </c>
      <c r="I159" s="126">
        <v>51.480000000000004</v>
      </c>
      <c r="J159" s="126">
        <v>26466.864585000014</v>
      </c>
      <c r="K159" s="148">
        <v>43.746890927624875</v>
      </c>
      <c r="L159" s="15"/>
    </row>
    <row r="160" spans="2:12" ht="16.5" x14ac:dyDescent="0.3">
      <c r="B160" s="10"/>
      <c r="C160" s="146" t="s">
        <v>639</v>
      </c>
      <c r="D160" s="179" t="s">
        <v>630</v>
      </c>
      <c r="E160" s="147" t="s">
        <v>631</v>
      </c>
      <c r="F160" s="147" t="s">
        <v>640</v>
      </c>
      <c r="G160" s="135" t="s">
        <v>2005</v>
      </c>
      <c r="H160" s="135" t="s">
        <v>3</v>
      </c>
      <c r="I160" s="126">
        <v>25.740000000000002</v>
      </c>
      <c r="J160" s="126">
        <v>26492.604585000016</v>
      </c>
      <c r="K160" s="148">
        <v>45.363915343915345</v>
      </c>
      <c r="L160" s="15"/>
    </row>
    <row r="161" spans="2:12" ht="16.5" x14ac:dyDescent="0.3">
      <c r="B161" s="10"/>
      <c r="C161" s="146" t="s">
        <v>291</v>
      </c>
      <c r="D161" s="179" t="s">
        <v>282</v>
      </c>
      <c r="E161" s="147" t="s">
        <v>283</v>
      </c>
      <c r="F161" s="180" t="s">
        <v>292</v>
      </c>
      <c r="G161" s="135" t="s">
        <v>1997</v>
      </c>
      <c r="H161" s="135" t="s">
        <v>3</v>
      </c>
      <c r="I161" s="126">
        <v>33.774000000000001</v>
      </c>
      <c r="J161" s="126">
        <v>26526.378585000017</v>
      </c>
      <c r="K161" s="148">
        <v>45.78760683760683</v>
      </c>
      <c r="L161" s="15"/>
    </row>
    <row r="162" spans="2:12" ht="16.5" x14ac:dyDescent="0.3">
      <c r="B162" s="10"/>
      <c r="C162" s="146" t="s">
        <v>1277</v>
      </c>
      <c r="D162" s="179" t="s">
        <v>1260</v>
      </c>
      <c r="E162" s="147" t="s">
        <v>1278</v>
      </c>
      <c r="F162" s="180" t="s">
        <v>1279</v>
      </c>
      <c r="G162" s="135" t="s">
        <v>2035</v>
      </c>
      <c r="H162" s="135" t="s">
        <v>3</v>
      </c>
      <c r="I162" s="126">
        <v>53.352000000000004</v>
      </c>
      <c r="J162" s="126">
        <v>26579.730585000016</v>
      </c>
      <c r="K162" s="148">
        <v>46.219525350593301</v>
      </c>
      <c r="L162" s="15"/>
    </row>
    <row r="163" spans="2:12" ht="16.5" x14ac:dyDescent="0.3">
      <c r="B163" s="10"/>
      <c r="C163" s="146" t="s">
        <v>1258</v>
      </c>
      <c r="D163" s="179" t="s">
        <v>1252</v>
      </c>
      <c r="E163" s="147" t="s">
        <v>1253</v>
      </c>
      <c r="F163" s="147" t="s">
        <v>640</v>
      </c>
      <c r="G163" s="135" t="s">
        <v>2032</v>
      </c>
      <c r="H163" s="135" t="s">
        <v>3</v>
      </c>
      <c r="I163" s="126">
        <v>657.54000000000008</v>
      </c>
      <c r="J163" s="126">
        <v>27237.270585000017</v>
      </c>
      <c r="K163" s="148">
        <v>46.316648648648645</v>
      </c>
      <c r="L163" s="15"/>
    </row>
    <row r="164" spans="2:12" ht="16.5" x14ac:dyDescent="0.3">
      <c r="B164" s="10"/>
      <c r="C164" s="146" t="s">
        <v>798</v>
      </c>
      <c r="D164" s="179" t="s">
        <v>793</v>
      </c>
      <c r="E164" s="147" t="s">
        <v>799</v>
      </c>
      <c r="F164" s="147" t="s">
        <v>139</v>
      </c>
      <c r="G164" s="135" t="s">
        <v>2012</v>
      </c>
      <c r="H164" s="135" t="s">
        <v>3</v>
      </c>
      <c r="I164" s="126">
        <v>624</v>
      </c>
      <c r="J164" s="126">
        <v>27861.270585000017</v>
      </c>
      <c r="K164" s="148">
        <v>46.316648648648645</v>
      </c>
      <c r="L164" s="15"/>
    </row>
    <row r="165" spans="2:12" ht="16.5" x14ac:dyDescent="0.3">
      <c r="B165" s="10"/>
      <c r="C165" s="146" t="s">
        <v>792</v>
      </c>
      <c r="D165" s="179" t="s">
        <v>793</v>
      </c>
      <c r="E165" s="147" t="s">
        <v>794</v>
      </c>
      <c r="F165" s="147" t="s">
        <v>140</v>
      </c>
      <c r="G165" s="135" t="s">
        <v>2010</v>
      </c>
      <c r="H165" s="135" t="s">
        <v>3</v>
      </c>
      <c r="I165" s="126">
        <v>624</v>
      </c>
      <c r="J165" s="126">
        <v>28485.270585000017</v>
      </c>
      <c r="K165" s="148">
        <v>46.316648648648645</v>
      </c>
      <c r="L165" s="15"/>
    </row>
    <row r="166" spans="2:12" ht="16.5" x14ac:dyDescent="0.3">
      <c r="B166" s="10"/>
      <c r="C166" s="146" t="s">
        <v>1858</v>
      </c>
      <c r="D166" s="179" t="s">
        <v>329</v>
      </c>
      <c r="E166" s="147" t="s">
        <v>1859</v>
      </c>
      <c r="F166" s="147" t="s">
        <v>1859</v>
      </c>
      <c r="G166" s="135" t="s">
        <v>2054</v>
      </c>
      <c r="H166" s="135" t="s">
        <v>3</v>
      </c>
      <c r="I166" s="126">
        <v>570.18000000000006</v>
      </c>
      <c r="J166" s="126">
        <v>29055.450585000017</v>
      </c>
      <c r="K166" s="148">
        <v>46.316648648648645</v>
      </c>
      <c r="L166" s="15"/>
    </row>
    <row r="167" spans="2:12" ht="16.5" x14ac:dyDescent="0.3">
      <c r="B167" s="10"/>
      <c r="C167" s="146" t="s">
        <v>322</v>
      </c>
      <c r="D167" s="179" t="s">
        <v>314</v>
      </c>
      <c r="E167" s="147" t="s">
        <v>323</v>
      </c>
      <c r="F167" s="180" t="s">
        <v>325</v>
      </c>
      <c r="G167" s="135" t="s">
        <v>1998</v>
      </c>
      <c r="H167" s="135" t="s">
        <v>3</v>
      </c>
      <c r="I167" s="126">
        <v>92.820000000000007</v>
      </c>
      <c r="J167" s="126">
        <v>29148.270585000017</v>
      </c>
      <c r="K167" s="148">
        <v>46.561304347826081</v>
      </c>
      <c r="L167" s="15"/>
    </row>
    <row r="168" spans="2:12" ht="16.5" x14ac:dyDescent="0.3">
      <c r="B168" s="10"/>
      <c r="C168" s="146" t="s">
        <v>817</v>
      </c>
      <c r="D168" s="179" t="s">
        <v>160</v>
      </c>
      <c r="E168" s="147" t="s">
        <v>818</v>
      </c>
      <c r="F168" s="180" t="s">
        <v>143</v>
      </c>
      <c r="G168" s="135" t="s">
        <v>2013</v>
      </c>
      <c r="H168" s="135" t="s">
        <v>3</v>
      </c>
      <c r="I168" s="126">
        <v>595.68600000000004</v>
      </c>
      <c r="J168" s="126">
        <v>29743.956585000018</v>
      </c>
      <c r="K168" s="148">
        <v>46.561304347826081</v>
      </c>
      <c r="L168" s="15"/>
    </row>
    <row r="169" spans="2:12" ht="16.5" x14ac:dyDescent="0.3">
      <c r="B169" s="10"/>
      <c r="C169" s="146" t="s">
        <v>973</v>
      </c>
      <c r="D169" s="179" t="s">
        <v>40</v>
      </c>
      <c r="E169" s="147" t="s">
        <v>959</v>
      </c>
      <c r="F169" s="147" t="s">
        <v>974</v>
      </c>
      <c r="G169" s="135" t="s">
        <v>2023</v>
      </c>
      <c r="H169" s="135" t="s">
        <v>3</v>
      </c>
      <c r="I169" s="126">
        <v>650.52</v>
      </c>
      <c r="J169" s="126">
        <v>30394.476585000019</v>
      </c>
      <c r="K169" s="148">
        <v>46.561304347826081</v>
      </c>
      <c r="L169" s="15"/>
    </row>
    <row r="170" spans="2:12" ht="16.5" x14ac:dyDescent="0.3">
      <c r="B170" s="10"/>
      <c r="C170" s="146" t="s">
        <v>462</v>
      </c>
      <c r="D170" s="179" t="s">
        <v>463</v>
      </c>
      <c r="E170" s="147" t="s">
        <v>459</v>
      </c>
      <c r="F170" s="147" t="s">
        <v>464</v>
      </c>
      <c r="G170" s="135" t="s">
        <v>2001</v>
      </c>
      <c r="H170" s="135" t="s">
        <v>3</v>
      </c>
      <c r="I170" s="126">
        <v>565.5</v>
      </c>
      <c r="J170" s="126">
        <v>30959.976585000019</v>
      </c>
      <c r="K170" s="148">
        <v>46.808633879781411</v>
      </c>
      <c r="L170" s="15"/>
    </row>
    <row r="171" spans="2:12" ht="16.5" x14ac:dyDescent="0.3">
      <c r="B171" s="10"/>
      <c r="C171" s="146" t="s">
        <v>881</v>
      </c>
      <c r="D171" s="179" t="s">
        <v>458</v>
      </c>
      <c r="E171" s="147" t="s">
        <v>882</v>
      </c>
      <c r="F171" s="147" t="s">
        <v>883</v>
      </c>
      <c r="G171" s="135" t="s">
        <v>2017</v>
      </c>
      <c r="H171" s="135" t="s">
        <v>3</v>
      </c>
      <c r="I171" s="126">
        <v>350.22</v>
      </c>
      <c r="J171" s="126">
        <v>31310.19658500002</v>
      </c>
      <c r="K171" s="148">
        <v>46.808633879781411</v>
      </c>
      <c r="L171" s="15"/>
    </row>
    <row r="172" spans="2:12" ht="16.5" x14ac:dyDescent="0.3">
      <c r="B172" s="10"/>
      <c r="C172" s="146" t="s">
        <v>1217</v>
      </c>
      <c r="D172" s="179" t="s">
        <v>1218</v>
      </c>
      <c r="E172" s="147" t="s">
        <v>1219</v>
      </c>
      <c r="F172" s="147"/>
      <c r="G172" s="135" t="s">
        <v>2028</v>
      </c>
      <c r="H172" s="135" t="s">
        <v>3</v>
      </c>
      <c r="I172" s="126">
        <v>573.30000000000007</v>
      </c>
      <c r="J172" s="126">
        <v>31883.496585000019</v>
      </c>
      <c r="K172" s="148">
        <v>46.808633879781411</v>
      </c>
      <c r="L172" s="15"/>
    </row>
    <row r="173" spans="2:12" ht="16.5" x14ac:dyDescent="0.3">
      <c r="B173" s="10"/>
      <c r="C173" s="146" t="s">
        <v>1947</v>
      </c>
      <c r="D173" s="179" t="s">
        <v>329</v>
      </c>
      <c r="E173" s="147" t="s">
        <v>1943</v>
      </c>
      <c r="F173" s="147" t="s">
        <v>1948</v>
      </c>
      <c r="G173" s="135" t="s">
        <v>1989</v>
      </c>
      <c r="H173" s="135" t="s">
        <v>3</v>
      </c>
      <c r="I173" s="126">
        <v>368.16</v>
      </c>
      <c r="J173" s="126">
        <v>32251.656585000019</v>
      </c>
      <c r="K173" s="148">
        <v>47.311491712707181</v>
      </c>
      <c r="L173" s="15"/>
    </row>
    <row r="174" spans="2:12" ht="16.5" x14ac:dyDescent="0.3">
      <c r="B174" s="10"/>
      <c r="C174" s="146" t="s">
        <v>515</v>
      </c>
      <c r="D174" s="179" t="s">
        <v>493</v>
      </c>
      <c r="E174" s="147" t="s">
        <v>226</v>
      </c>
      <c r="F174" s="147" t="s">
        <v>516</v>
      </c>
      <c r="G174" s="135" t="s">
        <v>2160</v>
      </c>
      <c r="H174" s="135" t="s">
        <v>226</v>
      </c>
      <c r="I174" s="126">
        <v>529.54999999999995</v>
      </c>
      <c r="J174" s="126">
        <v>32781.206585000022</v>
      </c>
      <c r="K174" s="148">
        <v>47.602287581699343</v>
      </c>
      <c r="L174" s="15"/>
    </row>
    <row r="175" spans="2:12" ht="16.5" x14ac:dyDescent="0.3">
      <c r="B175" s="10"/>
      <c r="C175" s="146" t="s">
        <v>629</v>
      </c>
      <c r="D175" s="179" t="s">
        <v>630</v>
      </c>
      <c r="E175" s="147" t="s">
        <v>631</v>
      </c>
      <c r="F175" s="147" t="s">
        <v>285</v>
      </c>
      <c r="G175" s="135" t="s">
        <v>2138</v>
      </c>
      <c r="H175" s="135" t="s">
        <v>226</v>
      </c>
      <c r="I175" s="126">
        <v>69.42</v>
      </c>
      <c r="J175" s="126">
        <v>32850.62658500002</v>
      </c>
      <c r="K175" s="148">
        <v>47.602287581699343</v>
      </c>
      <c r="L175" s="15"/>
    </row>
    <row r="176" spans="2:12" ht="16.5" x14ac:dyDescent="0.3">
      <c r="B176" s="10"/>
      <c r="C176" s="146" t="s">
        <v>309</v>
      </c>
      <c r="D176" s="179" t="s">
        <v>310</v>
      </c>
      <c r="E176" s="147" t="s">
        <v>311</v>
      </c>
      <c r="F176" s="147" t="s">
        <v>312</v>
      </c>
      <c r="G176" s="135" t="s">
        <v>2138</v>
      </c>
      <c r="H176" s="135" t="s">
        <v>226</v>
      </c>
      <c r="I176" s="126">
        <v>395.60500000000002</v>
      </c>
      <c r="J176" s="126">
        <v>33246.231585000023</v>
      </c>
      <c r="K176" s="148">
        <v>47.602287581699343</v>
      </c>
      <c r="L176" s="15"/>
    </row>
    <row r="177" spans="2:12" ht="16.5" x14ac:dyDescent="0.3">
      <c r="B177" s="10"/>
      <c r="C177" s="146" t="s">
        <v>856</v>
      </c>
      <c r="D177" s="179" t="s">
        <v>40</v>
      </c>
      <c r="E177" s="147" t="s">
        <v>853</v>
      </c>
      <c r="F177" s="147" t="s">
        <v>857</v>
      </c>
      <c r="G177" s="135" t="s">
        <v>2016</v>
      </c>
      <c r="H177" s="135" t="s">
        <v>3</v>
      </c>
      <c r="I177" s="126">
        <v>606.84</v>
      </c>
      <c r="J177" s="126">
        <v>33853.07158500002</v>
      </c>
      <c r="K177" s="148">
        <v>47.825586592178766</v>
      </c>
      <c r="L177" s="15"/>
    </row>
    <row r="178" spans="2:12" ht="16.5" x14ac:dyDescent="0.3">
      <c r="B178" s="10"/>
      <c r="C178" s="146" t="s">
        <v>915</v>
      </c>
      <c r="D178" s="179" t="s">
        <v>160</v>
      </c>
      <c r="E178" s="147" t="s">
        <v>914</v>
      </c>
      <c r="F178" s="147" t="s">
        <v>139</v>
      </c>
      <c r="G178" s="135" t="s">
        <v>2019</v>
      </c>
      <c r="H178" s="135" t="s">
        <v>3</v>
      </c>
      <c r="I178" s="126">
        <v>619.32000000000005</v>
      </c>
      <c r="J178" s="126">
        <v>34472.391585000019</v>
      </c>
      <c r="K178" s="148">
        <v>47.825586592178766</v>
      </c>
      <c r="L178" s="15"/>
    </row>
    <row r="179" spans="2:12" ht="16.5" x14ac:dyDescent="0.3">
      <c r="B179" s="10"/>
      <c r="C179" s="146" t="s">
        <v>1742</v>
      </c>
      <c r="D179" s="179" t="s">
        <v>40</v>
      </c>
      <c r="E179" s="147" t="s">
        <v>1743</v>
      </c>
      <c r="F179" s="147" t="s">
        <v>1745</v>
      </c>
      <c r="G179" s="135" t="s">
        <v>2042</v>
      </c>
      <c r="H179" s="135" t="s">
        <v>3</v>
      </c>
      <c r="I179" s="126">
        <v>17.628</v>
      </c>
      <c r="J179" s="126">
        <v>34490.019585000016</v>
      </c>
      <c r="K179" s="148">
        <v>47.825586592178766</v>
      </c>
      <c r="L179" s="15"/>
    </row>
    <row r="180" spans="2:12" ht="16.5" x14ac:dyDescent="0.3">
      <c r="B180" s="10"/>
      <c r="C180" s="146" t="s">
        <v>1675</v>
      </c>
      <c r="D180" s="179" t="s">
        <v>1676</v>
      </c>
      <c r="E180" s="147" t="s">
        <v>1677</v>
      </c>
      <c r="F180" s="147" t="s">
        <v>1680</v>
      </c>
      <c r="G180" s="135" t="s">
        <v>2260</v>
      </c>
      <c r="H180" s="135" t="s">
        <v>226</v>
      </c>
      <c r="I180" s="126">
        <v>139.72999999999999</v>
      </c>
      <c r="J180" s="126">
        <v>34629.74958500002</v>
      </c>
      <c r="K180" s="148">
        <v>47.943786008230454</v>
      </c>
      <c r="L180" s="15"/>
    </row>
    <row r="181" spans="2:12" ht="16.5" x14ac:dyDescent="0.3">
      <c r="B181" s="10"/>
      <c r="C181" s="146" t="s">
        <v>1696</v>
      </c>
      <c r="D181" s="179" t="s">
        <v>1697</v>
      </c>
      <c r="E181" s="147" t="s">
        <v>1698</v>
      </c>
      <c r="F181" s="147"/>
      <c r="G181" s="135" t="s">
        <v>2262</v>
      </c>
      <c r="H181" s="135" t="s">
        <v>226</v>
      </c>
      <c r="I181" s="126">
        <v>89</v>
      </c>
      <c r="J181" s="126">
        <v>34718.74958500002</v>
      </c>
      <c r="K181" s="148">
        <v>47.943786008230454</v>
      </c>
      <c r="L181" s="15"/>
    </row>
    <row r="182" spans="2:12" ht="16.5" x14ac:dyDescent="0.3">
      <c r="B182" s="10"/>
      <c r="C182" s="146" t="s">
        <v>577</v>
      </c>
      <c r="D182" s="179" t="s">
        <v>571</v>
      </c>
      <c r="E182" s="147" t="s">
        <v>575</v>
      </c>
      <c r="F182" s="147" t="s">
        <v>578</v>
      </c>
      <c r="G182" s="135">
        <v>2014</v>
      </c>
      <c r="H182" s="135" t="s">
        <v>226</v>
      </c>
      <c r="I182" s="126">
        <v>29.014000000000003</v>
      </c>
      <c r="J182" s="126">
        <v>34747.763585000022</v>
      </c>
      <c r="K182" s="148">
        <v>48.290381426202323</v>
      </c>
      <c r="L182" s="15"/>
    </row>
    <row r="183" spans="2:12" ht="16.5" x14ac:dyDescent="0.3">
      <c r="B183" s="10"/>
      <c r="C183" s="146" t="s">
        <v>591</v>
      </c>
      <c r="D183" s="179" t="s">
        <v>586</v>
      </c>
      <c r="E183" s="147" t="s">
        <v>587</v>
      </c>
      <c r="F183" s="147" t="s">
        <v>592</v>
      </c>
      <c r="G183" s="135" t="s">
        <v>2168</v>
      </c>
      <c r="H183" s="135" t="s">
        <v>226</v>
      </c>
      <c r="I183" s="126">
        <v>5.9630000000000001</v>
      </c>
      <c r="J183" s="126">
        <v>34753.726585000026</v>
      </c>
      <c r="K183" s="148">
        <v>48.290381426202323</v>
      </c>
      <c r="L183" s="15"/>
    </row>
    <row r="184" spans="2:12" ht="16.5" x14ac:dyDescent="0.3">
      <c r="B184" s="10"/>
      <c r="C184" s="146" t="s">
        <v>328</v>
      </c>
      <c r="D184" s="179" t="s">
        <v>329</v>
      </c>
      <c r="E184" s="147" t="s">
        <v>330</v>
      </c>
      <c r="F184" s="147" t="s">
        <v>330</v>
      </c>
      <c r="G184" s="135" t="s">
        <v>1992</v>
      </c>
      <c r="H184" s="135" t="s">
        <v>3</v>
      </c>
      <c r="I184" s="126">
        <v>273</v>
      </c>
      <c r="J184" s="126">
        <v>35026.726585000026</v>
      </c>
      <c r="K184" s="148">
        <v>48.351299435028245</v>
      </c>
      <c r="L184" s="15"/>
    </row>
    <row r="185" spans="2:12" ht="16.5" x14ac:dyDescent="0.3">
      <c r="B185" s="10"/>
      <c r="C185" s="146" t="s">
        <v>53</v>
      </c>
      <c r="D185" s="179" t="s">
        <v>40</v>
      </c>
      <c r="E185" s="147" t="s">
        <v>41</v>
      </c>
      <c r="F185" s="147" t="s">
        <v>54</v>
      </c>
      <c r="G185" s="135" t="s">
        <v>1988</v>
      </c>
      <c r="H185" s="135" t="s">
        <v>3</v>
      </c>
      <c r="I185" s="126">
        <v>262.08</v>
      </c>
      <c r="J185" s="126">
        <v>35288.806585000028</v>
      </c>
      <c r="K185" s="148">
        <v>48.618636363636362</v>
      </c>
      <c r="L185" s="15"/>
    </row>
    <row r="186" spans="2:12" ht="16.5" x14ac:dyDescent="0.3">
      <c r="B186" s="10"/>
      <c r="C186" s="146" t="s">
        <v>769</v>
      </c>
      <c r="D186" s="179" t="s">
        <v>770</v>
      </c>
      <c r="E186" s="147" t="s">
        <v>765</v>
      </c>
      <c r="F186" s="147" t="s">
        <v>226</v>
      </c>
      <c r="G186" s="135" t="s">
        <v>2181</v>
      </c>
      <c r="H186" s="135" t="s">
        <v>226</v>
      </c>
      <c r="I186" s="126">
        <v>49.964600000000004</v>
      </c>
      <c r="J186" s="126">
        <v>35338.771185000027</v>
      </c>
      <c r="K186" s="148">
        <v>48.642188805346699</v>
      </c>
      <c r="L186" s="15"/>
    </row>
    <row r="187" spans="2:12" ht="16.5" x14ac:dyDescent="0.3">
      <c r="B187" s="10"/>
      <c r="C187" s="146" t="s">
        <v>823</v>
      </c>
      <c r="D187" s="179" t="s">
        <v>824</v>
      </c>
      <c r="E187" s="147" t="s">
        <v>825</v>
      </c>
      <c r="F187" s="180" t="s">
        <v>825</v>
      </c>
      <c r="G187" s="135" t="s">
        <v>2185</v>
      </c>
      <c r="H187" s="135" t="s">
        <v>226</v>
      </c>
      <c r="I187" s="126">
        <v>204.70000000000002</v>
      </c>
      <c r="J187" s="126">
        <v>35543.471185000024</v>
      </c>
      <c r="K187" s="148">
        <v>48.642188805346699</v>
      </c>
      <c r="L187" s="15"/>
    </row>
    <row r="188" spans="2:12" ht="16.5" x14ac:dyDescent="0.3">
      <c r="B188" s="10"/>
      <c r="C188" s="146" t="s">
        <v>912</v>
      </c>
      <c r="D188" s="179" t="s">
        <v>561</v>
      </c>
      <c r="E188" s="147" t="s">
        <v>913</v>
      </c>
      <c r="F188" s="147"/>
      <c r="G188" s="135" t="s">
        <v>2191</v>
      </c>
      <c r="H188" s="135" t="s">
        <v>226</v>
      </c>
      <c r="I188" s="126">
        <v>382.7</v>
      </c>
      <c r="J188" s="126">
        <v>35926.171185000021</v>
      </c>
      <c r="K188" s="148">
        <v>48.642188805346699</v>
      </c>
      <c r="L188" s="15"/>
    </row>
    <row r="189" spans="2:12" ht="16.5" x14ac:dyDescent="0.3">
      <c r="B189" s="10"/>
      <c r="C189" s="146" t="s">
        <v>83</v>
      </c>
      <c r="D189" s="179" t="s">
        <v>79</v>
      </c>
      <c r="E189" s="147" t="s">
        <v>84</v>
      </c>
      <c r="F189" s="147" t="s">
        <v>84</v>
      </c>
      <c r="G189" s="135" t="s">
        <v>2119</v>
      </c>
      <c r="H189" s="135" t="s">
        <v>226</v>
      </c>
      <c r="I189" s="126">
        <v>41.83</v>
      </c>
      <c r="J189" s="126">
        <v>35968.001185000023</v>
      </c>
      <c r="K189" s="148">
        <v>48.642188805346699</v>
      </c>
      <c r="L189" s="15"/>
    </row>
    <row r="190" spans="2:12" ht="16.5" x14ac:dyDescent="0.3">
      <c r="B190" s="10"/>
      <c r="C190" s="146" t="s">
        <v>1287</v>
      </c>
      <c r="D190" s="179" t="s">
        <v>1282</v>
      </c>
      <c r="E190" s="147" t="s">
        <v>1283</v>
      </c>
      <c r="F190" s="147" t="s">
        <v>1288</v>
      </c>
      <c r="G190" s="135" t="s">
        <v>2028</v>
      </c>
      <c r="H190" s="135" t="s">
        <v>226</v>
      </c>
      <c r="I190" s="126">
        <v>24.385999999999999</v>
      </c>
      <c r="J190" s="126">
        <v>35992.387185000021</v>
      </c>
      <c r="K190" s="148">
        <v>48.642188805346699</v>
      </c>
      <c r="L190" s="15"/>
    </row>
    <row r="191" spans="2:12" ht="16.5" x14ac:dyDescent="0.3">
      <c r="B191" s="10"/>
      <c r="C191" s="146" t="s">
        <v>971</v>
      </c>
      <c r="D191" s="179" t="s">
        <v>40</v>
      </c>
      <c r="E191" s="147" t="s">
        <v>959</v>
      </c>
      <c r="F191" s="147" t="s">
        <v>972</v>
      </c>
      <c r="G191" s="135" t="s">
        <v>2022</v>
      </c>
      <c r="H191" s="135" t="s">
        <v>3</v>
      </c>
      <c r="I191" s="126">
        <v>403.26</v>
      </c>
      <c r="J191" s="126">
        <v>36395.647185000023</v>
      </c>
      <c r="K191" s="148">
        <v>48.889028571428568</v>
      </c>
      <c r="L191" s="15"/>
    </row>
    <row r="192" spans="2:12" ht="16.5" x14ac:dyDescent="0.3">
      <c r="B192" s="10"/>
      <c r="C192" s="146" t="s">
        <v>1251</v>
      </c>
      <c r="D192" s="179" t="s">
        <v>1252</v>
      </c>
      <c r="E192" s="147" t="s">
        <v>1253</v>
      </c>
      <c r="F192" s="147" t="s">
        <v>327</v>
      </c>
      <c r="G192" s="135" t="s">
        <v>2029</v>
      </c>
      <c r="H192" s="135" t="s">
        <v>3</v>
      </c>
      <c r="I192" s="126">
        <v>198.9</v>
      </c>
      <c r="J192" s="126">
        <v>36594.547185000025</v>
      </c>
      <c r="K192" s="148">
        <v>48.889028571428568</v>
      </c>
      <c r="L192" s="15"/>
    </row>
    <row r="193" spans="2:12" ht="16.5" x14ac:dyDescent="0.3">
      <c r="B193" s="10"/>
      <c r="C193" s="146" t="s">
        <v>1592</v>
      </c>
      <c r="D193" s="179" t="s">
        <v>1584</v>
      </c>
      <c r="E193" s="147" t="s">
        <v>1585</v>
      </c>
      <c r="F193" s="147" t="s">
        <v>1593</v>
      </c>
      <c r="G193" s="135" t="s">
        <v>2040</v>
      </c>
      <c r="H193" s="135" t="s">
        <v>3</v>
      </c>
      <c r="I193" s="126">
        <v>39</v>
      </c>
      <c r="J193" s="126">
        <v>36633.547185000025</v>
      </c>
      <c r="K193" s="148">
        <v>48.889028571428568</v>
      </c>
      <c r="L193" s="15"/>
    </row>
    <row r="194" spans="2:12" ht="16.5" x14ac:dyDescent="0.3">
      <c r="B194" s="10"/>
      <c r="C194" s="146" t="s">
        <v>123</v>
      </c>
      <c r="D194" s="179" t="s">
        <v>124</v>
      </c>
      <c r="E194" s="147" t="s">
        <v>125</v>
      </c>
      <c r="F194" s="147"/>
      <c r="G194" s="135" t="s">
        <v>2123</v>
      </c>
      <c r="H194" s="135" t="s">
        <v>226</v>
      </c>
      <c r="I194" s="126">
        <v>69.42</v>
      </c>
      <c r="J194" s="126">
        <v>36702.967185000023</v>
      </c>
      <c r="K194" s="148">
        <v>49.361916878710765</v>
      </c>
      <c r="L194" s="15"/>
    </row>
    <row r="195" spans="2:12" ht="16.5" x14ac:dyDescent="0.3">
      <c r="B195" s="10"/>
      <c r="C195" s="146" t="s">
        <v>897</v>
      </c>
      <c r="D195" s="179" t="s">
        <v>23</v>
      </c>
      <c r="E195" s="147" t="s">
        <v>898</v>
      </c>
      <c r="F195" s="147" t="s">
        <v>900</v>
      </c>
      <c r="G195" s="135" t="s">
        <v>2018</v>
      </c>
      <c r="H195" s="135" t="s">
        <v>3</v>
      </c>
      <c r="I195" s="126">
        <v>538.20000000000005</v>
      </c>
      <c r="J195" s="126">
        <v>37241.16718500002</v>
      </c>
      <c r="K195" s="148">
        <v>49.439190751445082</v>
      </c>
      <c r="L195" s="15"/>
    </row>
    <row r="196" spans="2:12" ht="16.5" x14ac:dyDescent="0.3">
      <c r="B196" s="10"/>
      <c r="C196" s="146" t="s">
        <v>287</v>
      </c>
      <c r="D196" s="179" t="s">
        <v>282</v>
      </c>
      <c r="E196" s="147" t="s">
        <v>283</v>
      </c>
      <c r="F196" s="180" t="s">
        <v>226</v>
      </c>
      <c r="G196" s="135" t="s">
        <v>2136</v>
      </c>
      <c r="H196" s="135" t="s">
        <v>226</v>
      </c>
      <c r="I196" s="126">
        <v>65.86</v>
      </c>
      <c r="J196" s="126">
        <v>37307.027185000021</v>
      </c>
      <c r="K196" s="148">
        <v>49.73008547008547</v>
      </c>
      <c r="L196" s="15"/>
    </row>
    <row r="197" spans="2:12" ht="16.5" x14ac:dyDescent="0.3">
      <c r="B197" s="10"/>
      <c r="C197" s="146" t="s">
        <v>1112</v>
      </c>
      <c r="D197" s="179" t="s">
        <v>227</v>
      </c>
      <c r="E197" s="147" t="s">
        <v>1113</v>
      </c>
      <c r="F197" s="180"/>
      <c r="G197" s="135" t="s">
        <v>2209</v>
      </c>
      <c r="H197" s="135" t="s">
        <v>226</v>
      </c>
      <c r="I197" s="126">
        <v>148.63</v>
      </c>
      <c r="J197" s="126">
        <v>37455.657185000018</v>
      </c>
      <c r="K197" s="148">
        <v>49.73008547008547</v>
      </c>
      <c r="L197" s="15"/>
    </row>
    <row r="198" spans="2:12" ht="16.5" x14ac:dyDescent="0.3">
      <c r="B198" s="10"/>
      <c r="C198" s="146" t="s">
        <v>1152</v>
      </c>
      <c r="D198" s="179" t="s">
        <v>1133</v>
      </c>
      <c r="E198" s="147" t="s">
        <v>1139</v>
      </c>
      <c r="F198" s="147" t="s">
        <v>1153</v>
      </c>
      <c r="G198" s="135" t="s">
        <v>2323</v>
      </c>
      <c r="H198" s="135" t="s">
        <v>226</v>
      </c>
      <c r="I198" s="126">
        <v>17.8</v>
      </c>
      <c r="J198" s="126">
        <v>37473.457185000021</v>
      </c>
      <c r="K198" s="148">
        <v>49.73008547008547</v>
      </c>
      <c r="L198" s="15"/>
    </row>
    <row r="199" spans="2:12" ht="16.5" x14ac:dyDescent="0.3">
      <c r="B199" s="10"/>
      <c r="C199" s="146" t="s">
        <v>1174</v>
      </c>
      <c r="D199" s="179" t="s">
        <v>160</v>
      </c>
      <c r="E199" s="147" t="s">
        <v>1165</v>
      </c>
      <c r="F199" s="180" t="s">
        <v>131</v>
      </c>
      <c r="G199" s="135" t="s">
        <v>2213</v>
      </c>
      <c r="H199" s="135" t="s">
        <v>226</v>
      </c>
      <c r="I199" s="126">
        <v>789.43000000000006</v>
      </c>
      <c r="J199" s="126">
        <v>38262.887185000021</v>
      </c>
      <c r="K199" s="148">
        <v>49.73008547008547</v>
      </c>
      <c r="L199" s="15"/>
    </row>
    <row r="200" spans="2:12" ht="16.5" x14ac:dyDescent="0.3">
      <c r="B200" s="10"/>
      <c r="C200" s="146" t="s">
        <v>1497</v>
      </c>
      <c r="D200" s="179" t="s">
        <v>512</v>
      </c>
      <c r="E200" s="147" t="s">
        <v>1498</v>
      </c>
      <c r="F200" s="180"/>
      <c r="G200" s="135" t="s">
        <v>2239</v>
      </c>
      <c r="H200" s="135" t="s">
        <v>226</v>
      </c>
      <c r="I200" s="126">
        <v>105.465</v>
      </c>
      <c r="J200" s="126">
        <v>38368.352185000018</v>
      </c>
      <c r="K200" s="148">
        <v>49.73008547008547</v>
      </c>
      <c r="L200" s="15"/>
    </row>
    <row r="201" spans="2:12" ht="33" x14ac:dyDescent="0.3">
      <c r="B201" s="10"/>
      <c r="C201" s="146" t="s">
        <v>784</v>
      </c>
      <c r="D201" s="358" t="s">
        <v>785</v>
      </c>
      <c r="E201" s="147" t="s">
        <v>786</v>
      </c>
      <c r="F201" s="147" t="s">
        <v>786</v>
      </c>
      <c r="G201" s="135" t="s">
        <v>2182</v>
      </c>
      <c r="H201" s="135" t="s">
        <v>226</v>
      </c>
      <c r="I201" s="126">
        <v>113.03</v>
      </c>
      <c r="J201" s="126">
        <v>38481.382185000017</v>
      </c>
      <c r="K201" s="148">
        <v>50.103962101636519</v>
      </c>
      <c r="L201" s="15"/>
    </row>
    <row r="202" spans="2:12" ht="16.5" x14ac:dyDescent="0.3">
      <c r="B202" s="10"/>
      <c r="C202" s="146" t="s">
        <v>874</v>
      </c>
      <c r="D202" s="358" t="s">
        <v>875</v>
      </c>
      <c r="E202" s="147" t="s">
        <v>876</v>
      </c>
      <c r="F202" s="147" t="s">
        <v>876</v>
      </c>
      <c r="G202" s="135" t="s">
        <v>2189</v>
      </c>
      <c r="H202" s="135" t="s">
        <v>226</v>
      </c>
      <c r="I202" s="126">
        <v>61.410000000000004</v>
      </c>
      <c r="J202" s="126">
        <v>38542.79218500002</v>
      </c>
      <c r="K202" s="148">
        <v>50.103962101636519</v>
      </c>
      <c r="L202" s="15"/>
    </row>
    <row r="203" spans="2:12" ht="16.5" x14ac:dyDescent="0.3">
      <c r="B203" s="10"/>
      <c r="C203" s="146" t="s">
        <v>1923</v>
      </c>
      <c r="D203" s="179" t="s">
        <v>1917</v>
      </c>
      <c r="E203" s="147" t="s">
        <v>1918</v>
      </c>
      <c r="F203" s="147" t="s">
        <v>1924</v>
      </c>
      <c r="G203" s="135" t="s">
        <v>2042</v>
      </c>
      <c r="H203" s="135" t="s">
        <v>226</v>
      </c>
      <c r="I203" s="126">
        <v>26.254999999999999</v>
      </c>
      <c r="J203" s="126">
        <v>38569.047185000018</v>
      </c>
      <c r="K203" s="148">
        <v>50.103962101636519</v>
      </c>
      <c r="L203" s="15"/>
    </row>
    <row r="204" spans="2:12" ht="16.5" x14ac:dyDescent="0.3">
      <c r="B204" s="10"/>
      <c r="C204" s="146" t="s">
        <v>1878</v>
      </c>
      <c r="D204" s="179" t="s">
        <v>124</v>
      </c>
      <c r="E204" s="147" t="s">
        <v>1879</v>
      </c>
      <c r="F204" s="147" t="s">
        <v>1880</v>
      </c>
      <c r="G204" s="135" t="s">
        <v>2055</v>
      </c>
      <c r="H204" s="135" t="s">
        <v>3</v>
      </c>
      <c r="I204" s="126">
        <v>47.97</v>
      </c>
      <c r="J204" s="126">
        <v>38617.017185000019</v>
      </c>
      <c r="K204" s="148">
        <v>50.288705882352943</v>
      </c>
      <c r="L204" s="15"/>
    </row>
    <row r="205" spans="2:12" ht="16.5" x14ac:dyDescent="0.3">
      <c r="B205" s="10"/>
      <c r="C205" s="146" t="s">
        <v>1881</v>
      </c>
      <c r="D205" s="358" t="s">
        <v>124</v>
      </c>
      <c r="E205" s="147" t="s">
        <v>1879</v>
      </c>
      <c r="F205" s="147" t="s">
        <v>1882</v>
      </c>
      <c r="G205" s="135" t="s">
        <v>2055</v>
      </c>
      <c r="H205" s="135" t="s">
        <v>3</v>
      </c>
      <c r="I205" s="126">
        <v>47.97</v>
      </c>
      <c r="J205" s="126">
        <v>38664.98718500002</v>
      </c>
      <c r="K205" s="148">
        <v>50.288705882352943</v>
      </c>
      <c r="L205" s="15"/>
    </row>
    <row r="206" spans="2:12" ht="66" x14ac:dyDescent="0.3">
      <c r="B206" s="10"/>
      <c r="C206" s="146" t="s">
        <v>811</v>
      </c>
      <c r="D206" s="358" t="s">
        <v>812</v>
      </c>
      <c r="E206" s="147" t="s">
        <v>813</v>
      </c>
      <c r="F206" s="147" t="s">
        <v>638</v>
      </c>
      <c r="G206" s="135" t="s">
        <v>2184</v>
      </c>
      <c r="H206" s="135" t="s">
        <v>226</v>
      </c>
      <c r="I206" s="126">
        <v>371.21900000000005</v>
      </c>
      <c r="J206" s="126">
        <v>39036.206185000017</v>
      </c>
      <c r="K206" s="148">
        <v>50.483680555555559</v>
      </c>
      <c r="L206" s="15"/>
    </row>
    <row r="207" spans="2:12" ht="16.5" x14ac:dyDescent="0.3">
      <c r="B207" s="10"/>
      <c r="C207" s="146" t="s">
        <v>815</v>
      </c>
      <c r="D207" s="179" t="s">
        <v>812</v>
      </c>
      <c r="E207" s="147" t="s">
        <v>813</v>
      </c>
      <c r="F207" s="147" t="s">
        <v>816</v>
      </c>
      <c r="G207" s="135" t="s">
        <v>2184</v>
      </c>
      <c r="H207" s="135" t="s">
        <v>226</v>
      </c>
      <c r="I207" s="126">
        <v>374.601</v>
      </c>
      <c r="J207" s="126">
        <v>39410.80718500002</v>
      </c>
      <c r="K207" s="148">
        <v>50.483680555555559</v>
      </c>
      <c r="L207" s="15"/>
    </row>
    <row r="208" spans="2:12" ht="16.5" x14ac:dyDescent="0.3">
      <c r="B208" s="10"/>
      <c r="C208" s="146" t="s">
        <v>1015</v>
      </c>
      <c r="D208" s="179" t="s">
        <v>1013</v>
      </c>
      <c r="E208" s="147" t="s">
        <v>1016</v>
      </c>
      <c r="F208" s="147" t="s">
        <v>226</v>
      </c>
      <c r="G208" s="135" t="s">
        <v>2200</v>
      </c>
      <c r="H208" s="135" t="s">
        <v>226</v>
      </c>
      <c r="I208" s="126">
        <v>367.57</v>
      </c>
      <c r="J208" s="126">
        <v>39778.377185000019</v>
      </c>
      <c r="K208" s="148">
        <v>50.483680555555559</v>
      </c>
      <c r="L208" s="15"/>
    </row>
    <row r="209" spans="2:12" ht="16.5" x14ac:dyDescent="0.3">
      <c r="B209" s="10"/>
      <c r="C209" s="146" t="s">
        <v>869</v>
      </c>
      <c r="D209" s="179" t="s">
        <v>870</v>
      </c>
      <c r="E209" s="147" t="s">
        <v>871</v>
      </c>
      <c r="F209" s="147" t="s">
        <v>873</v>
      </c>
      <c r="G209" s="135" t="s">
        <v>2188</v>
      </c>
      <c r="H209" s="135" t="s">
        <v>226</v>
      </c>
      <c r="I209" s="126">
        <v>371.13</v>
      </c>
      <c r="J209" s="126">
        <v>40149.507185000017</v>
      </c>
      <c r="K209" s="148">
        <v>50.869378827646543</v>
      </c>
      <c r="L209" s="15"/>
    </row>
    <row r="210" spans="2:12" ht="16.5" x14ac:dyDescent="0.3">
      <c r="B210" s="10"/>
      <c r="C210" s="146" t="s">
        <v>909</v>
      </c>
      <c r="D210" s="179" t="s">
        <v>561</v>
      </c>
      <c r="E210" s="147" t="s">
        <v>910</v>
      </c>
      <c r="F210" s="147"/>
      <c r="G210" s="135" t="s">
        <v>2190</v>
      </c>
      <c r="H210" s="135" t="s">
        <v>226</v>
      </c>
      <c r="I210" s="126">
        <v>712</v>
      </c>
      <c r="J210" s="126">
        <v>40861.507185000017</v>
      </c>
      <c r="K210" s="148">
        <v>51.261199294532631</v>
      </c>
      <c r="L210" s="15"/>
    </row>
    <row r="211" spans="2:12" ht="16.5" x14ac:dyDescent="0.3">
      <c r="B211" s="10"/>
      <c r="C211" s="146" t="s">
        <v>944</v>
      </c>
      <c r="D211" s="179" t="s">
        <v>941</v>
      </c>
      <c r="E211" s="147" t="s">
        <v>942</v>
      </c>
      <c r="F211" s="147">
        <v>20</v>
      </c>
      <c r="G211" s="135" t="s">
        <v>2021</v>
      </c>
      <c r="H211" s="135" t="s">
        <v>3</v>
      </c>
      <c r="I211" s="126">
        <v>10.452</v>
      </c>
      <c r="J211" s="126">
        <v>40871.959185000014</v>
      </c>
      <c r="K211" s="148">
        <v>51.46915662650602</v>
      </c>
      <c r="L211" s="15"/>
    </row>
    <row r="212" spans="2:12" ht="16.5" x14ac:dyDescent="0.3">
      <c r="B212" s="10"/>
      <c r="C212" s="146" t="s">
        <v>224</v>
      </c>
      <c r="D212" s="179" t="s">
        <v>222</v>
      </c>
      <c r="E212" s="147" t="s">
        <v>225</v>
      </c>
      <c r="F212" s="147" t="s">
        <v>226</v>
      </c>
      <c r="G212" s="135" t="s">
        <v>2129</v>
      </c>
      <c r="H212" s="135" t="s">
        <v>226</v>
      </c>
      <c r="I212" s="126">
        <v>33.330500000000001</v>
      </c>
      <c r="J212" s="126">
        <v>40905.289685000011</v>
      </c>
      <c r="K212" s="148">
        <v>51.659288888888888</v>
      </c>
      <c r="L212" s="15"/>
    </row>
    <row r="213" spans="2:12" ht="16.5" x14ac:dyDescent="0.3">
      <c r="B213" s="10"/>
      <c r="C213" s="146" t="s">
        <v>455</v>
      </c>
      <c r="D213" s="179" t="s">
        <v>452</v>
      </c>
      <c r="E213" s="147" t="s">
        <v>456</v>
      </c>
      <c r="F213" s="147" t="s">
        <v>456</v>
      </c>
      <c r="G213" s="135" t="s">
        <v>2153</v>
      </c>
      <c r="H213" s="135" t="s">
        <v>226</v>
      </c>
      <c r="I213" s="126">
        <v>208.26</v>
      </c>
      <c r="J213" s="126">
        <v>41113.549685000013</v>
      </c>
      <c r="K213" s="148">
        <v>51.659288888888888</v>
      </c>
      <c r="L213" s="15"/>
    </row>
    <row r="214" spans="2:12" ht="16.5" x14ac:dyDescent="0.3">
      <c r="B214" s="10"/>
      <c r="C214" s="146" t="s">
        <v>585</v>
      </c>
      <c r="D214" s="179" t="s">
        <v>586</v>
      </c>
      <c r="E214" s="147" t="s">
        <v>587</v>
      </c>
      <c r="F214" s="147" t="s">
        <v>590</v>
      </c>
      <c r="G214" s="135" t="s">
        <v>2167</v>
      </c>
      <c r="H214" s="135" t="s">
        <v>226</v>
      </c>
      <c r="I214" s="126">
        <v>19.224</v>
      </c>
      <c r="J214" s="126">
        <v>41132.773685000015</v>
      </c>
      <c r="K214" s="148">
        <v>51.659288888888888</v>
      </c>
      <c r="L214" s="15"/>
    </row>
    <row r="215" spans="2:12" ht="49.5" x14ac:dyDescent="0.3">
      <c r="B215" s="10"/>
      <c r="C215" s="146" t="s">
        <v>1199</v>
      </c>
      <c r="D215" s="179" t="s">
        <v>1186</v>
      </c>
      <c r="E215" s="147" t="s">
        <v>1200</v>
      </c>
      <c r="F215" s="180" t="s">
        <v>1202</v>
      </c>
      <c r="G215" s="135" t="s">
        <v>2216</v>
      </c>
      <c r="H215" s="135" t="s">
        <v>226</v>
      </c>
      <c r="I215" s="126">
        <v>442.77500000000003</v>
      </c>
      <c r="J215" s="126">
        <v>41575.548685000016</v>
      </c>
      <c r="K215" s="148">
        <v>51.659288888888888</v>
      </c>
      <c r="L215" s="15"/>
    </row>
    <row r="216" spans="2:12" ht="16.5" x14ac:dyDescent="0.3">
      <c r="B216" s="10"/>
      <c r="C216" s="146" t="s">
        <v>1334</v>
      </c>
      <c r="D216" s="179" t="s">
        <v>1335</v>
      </c>
      <c r="E216" s="147" t="s">
        <v>1336</v>
      </c>
      <c r="F216" s="147" t="s">
        <v>226</v>
      </c>
      <c r="G216" s="135" t="s">
        <v>2229</v>
      </c>
      <c r="H216" s="135" t="s">
        <v>226</v>
      </c>
      <c r="I216" s="126">
        <v>92.684600000000003</v>
      </c>
      <c r="J216" s="126">
        <v>41668.233285000017</v>
      </c>
      <c r="K216" s="148">
        <v>51.659288888888888</v>
      </c>
      <c r="L216" s="15"/>
    </row>
    <row r="217" spans="2:12" ht="16.5" x14ac:dyDescent="0.3">
      <c r="B217" s="10"/>
      <c r="C217" s="146" t="s">
        <v>1376</v>
      </c>
      <c r="D217" s="179" t="s">
        <v>1370</v>
      </c>
      <c r="E217" s="147" t="s">
        <v>1371</v>
      </c>
      <c r="F217" s="147" t="s">
        <v>1377</v>
      </c>
      <c r="G217" s="135" t="s">
        <v>2233</v>
      </c>
      <c r="H217" s="135" t="s">
        <v>226</v>
      </c>
      <c r="I217" s="126">
        <v>66.75</v>
      </c>
      <c r="J217" s="126">
        <v>41734.983285000017</v>
      </c>
      <c r="K217" s="148">
        <v>51.659288888888888</v>
      </c>
      <c r="L217" s="15"/>
    </row>
    <row r="218" spans="2:12" ht="16.5" x14ac:dyDescent="0.3">
      <c r="B218" s="10"/>
      <c r="C218" s="146" t="s">
        <v>1378</v>
      </c>
      <c r="D218" s="179" t="s">
        <v>1370</v>
      </c>
      <c r="E218" s="147" t="s">
        <v>1371</v>
      </c>
      <c r="F218" s="147" t="s">
        <v>592</v>
      </c>
      <c r="G218" s="135" t="s">
        <v>2233</v>
      </c>
      <c r="H218" s="135" t="s">
        <v>226</v>
      </c>
      <c r="I218" s="126">
        <v>66.75</v>
      </c>
      <c r="J218" s="126">
        <v>41801.733285000017</v>
      </c>
      <c r="K218" s="148">
        <v>51.659288888888888</v>
      </c>
      <c r="L218" s="15"/>
    </row>
    <row r="219" spans="2:12" ht="16.5" x14ac:dyDescent="0.3">
      <c r="B219" s="10"/>
      <c r="C219" s="146" t="s">
        <v>1583</v>
      </c>
      <c r="D219" s="179" t="s">
        <v>1584</v>
      </c>
      <c r="E219" s="147" t="s">
        <v>1585</v>
      </c>
      <c r="F219" s="147" t="s">
        <v>84</v>
      </c>
      <c r="G219" s="135" t="s">
        <v>2253</v>
      </c>
      <c r="H219" s="135" t="s">
        <v>226</v>
      </c>
      <c r="I219" s="126">
        <v>66.75</v>
      </c>
      <c r="J219" s="126">
        <v>41868.483285000017</v>
      </c>
      <c r="K219" s="148">
        <v>51.659288888888888</v>
      </c>
      <c r="L219" s="15"/>
    </row>
    <row r="220" spans="2:12" ht="16.5" x14ac:dyDescent="0.3">
      <c r="B220" s="10"/>
      <c r="C220" s="146" t="s">
        <v>1925</v>
      </c>
      <c r="D220" s="179" t="s">
        <v>1917</v>
      </c>
      <c r="E220" s="147" t="s">
        <v>1918</v>
      </c>
      <c r="F220" s="180" t="s">
        <v>1926</v>
      </c>
      <c r="G220" s="135" t="s">
        <v>1983</v>
      </c>
      <c r="H220" s="135" t="s">
        <v>226</v>
      </c>
      <c r="I220" s="126">
        <v>39.605000000000004</v>
      </c>
      <c r="J220" s="126">
        <v>41908.08828500002</v>
      </c>
      <c r="K220" s="148">
        <v>51.659288888888888</v>
      </c>
      <c r="L220" s="15"/>
    </row>
    <row r="221" spans="2:12" ht="16.5" x14ac:dyDescent="0.3">
      <c r="B221" s="10"/>
      <c r="C221" s="146" t="s">
        <v>1017</v>
      </c>
      <c r="D221" s="179" t="s">
        <v>1013</v>
      </c>
      <c r="E221" s="147" t="s">
        <v>1014</v>
      </c>
      <c r="F221" s="147" t="s">
        <v>226</v>
      </c>
      <c r="G221" s="135" t="s">
        <v>2201</v>
      </c>
      <c r="H221" s="135" t="s">
        <v>226</v>
      </c>
      <c r="I221" s="126">
        <v>96.12</v>
      </c>
      <c r="J221" s="126">
        <v>42004.208285000022</v>
      </c>
      <c r="K221" s="148">
        <v>52.063799283154118</v>
      </c>
      <c r="L221" s="15"/>
    </row>
    <row r="222" spans="2:12" ht="16.5" x14ac:dyDescent="0.3">
      <c r="B222" s="10"/>
      <c r="C222" s="146" t="s">
        <v>1320</v>
      </c>
      <c r="D222" s="179" t="s">
        <v>1313</v>
      </c>
      <c r="E222" s="147" t="s">
        <v>1321</v>
      </c>
      <c r="F222" s="147">
        <v>2</v>
      </c>
      <c r="G222" s="135" t="s">
        <v>2226</v>
      </c>
      <c r="H222" s="135" t="s">
        <v>226</v>
      </c>
      <c r="I222" s="126">
        <v>111.161</v>
      </c>
      <c r="J222" s="126">
        <v>42115.369285000023</v>
      </c>
      <c r="K222" s="148">
        <v>52.063799283154118</v>
      </c>
      <c r="L222" s="15"/>
    </row>
    <row r="223" spans="2:12" ht="16.5" x14ac:dyDescent="0.3">
      <c r="B223" s="10"/>
      <c r="C223" s="146" t="s">
        <v>1322</v>
      </c>
      <c r="D223" s="179" t="s">
        <v>1313</v>
      </c>
      <c r="E223" s="147" t="s">
        <v>1323</v>
      </c>
      <c r="F223" s="147">
        <v>2</v>
      </c>
      <c r="G223" s="135" t="s">
        <v>2226</v>
      </c>
      <c r="H223" s="135" t="s">
        <v>226</v>
      </c>
      <c r="I223" s="126">
        <v>110.271</v>
      </c>
      <c r="J223" s="126">
        <v>42225.640285000023</v>
      </c>
      <c r="K223" s="148">
        <v>52.063799283154118</v>
      </c>
      <c r="L223" s="15"/>
    </row>
    <row r="224" spans="2:12" ht="16.5" x14ac:dyDescent="0.3">
      <c r="B224" s="10"/>
      <c r="C224" s="146" t="s">
        <v>1324</v>
      </c>
      <c r="D224" s="179" t="s">
        <v>1313</v>
      </c>
      <c r="E224" s="147" t="s">
        <v>1325</v>
      </c>
      <c r="F224" s="147">
        <v>2</v>
      </c>
      <c r="G224" s="135" t="s">
        <v>2226</v>
      </c>
      <c r="H224" s="135" t="s">
        <v>226</v>
      </c>
      <c r="I224" s="126">
        <v>113.56399999999999</v>
      </c>
      <c r="J224" s="126">
        <v>42339.204285000022</v>
      </c>
      <c r="K224" s="148">
        <v>52.063799283154118</v>
      </c>
      <c r="L224" s="15"/>
    </row>
    <row r="225" spans="2:12" ht="16.5" x14ac:dyDescent="0.3">
      <c r="B225" s="10"/>
      <c r="C225" s="146" t="s">
        <v>1566</v>
      </c>
      <c r="D225" s="179" t="s">
        <v>40</v>
      </c>
      <c r="E225" s="147" t="s">
        <v>1567</v>
      </c>
      <c r="F225" s="147" t="s">
        <v>1561</v>
      </c>
      <c r="G225" s="135" t="s">
        <v>2039</v>
      </c>
      <c r="H225" s="135" t="s">
        <v>3</v>
      </c>
      <c r="I225" s="126">
        <v>400.92</v>
      </c>
      <c r="J225" s="126">
        <v>42740.12428500002</v>
      </c>
      <c r="K225" s="148">
        <v>52.080975609756095</v>
      </c>
      <c r="L225" s="15"/>
    </row>
    <row r="226" spans="2:12" ht="16.5" x14ac:dyDescent="0.3">
      <c r="B226" s="10"/>
      <c r="C226" s="146" t="s">
        <v>1273</v>
      </c>
      <c r="D226" s="179" t="s">
        <v>1260</v>
      </c>
      <c r="E226" s="147" t="s">
        <v>1274</v>
      </c>
      <c r="F226" s="147" t="s">
        <v>1275</v>
      </c>
      <c r="G226" s="135" t="s">
        <v>2034</v>
      </c>
      <c r="H226" s="135" t="s">
        <v>3</v>
      </c>
      <c r="I226" s="126">
        <v>43.336800000000004</v>
      </c>
      <c r="J226" s="126">
        <v>42783.461085000017</v>
      </c>
      <c r="K226" s="148">
        <v>52.142979242979244</v>
      </c>
      <c r="L226" s="15"/>
    </row>
    <row r="227" spans="2:12" ht="16.5" x14ac:dyDescent="0.3">
      <c r="B227" s="10"/>
      <c r="C227" s="146" t="s">
        <v>797</v>
      </c>
      <c r="D227" s="179" t="s">
        <v>785</v>
      </c>
      <c r="E227" s="147" t="s">
        <v>788</v>
      </c>
      <c r="F227" s="147" t="s">
        <v>788</v>
      </c>
      <c r="G227" s="135" t="s">
        <v>2011</v>
      </c>
      <c r="H227" s="135" t="s">
        <v>3</v>
      </c>
      <c r="I227" s="126">
        <v>151.32</v>
      </c>
      <c r="J227" s="126">
        <v>42934.781085000017</v>
      </c>
      <c r="K227" s="148">
        <v>52.392515337423319</v>
      </c>
      <c r="L227" s="15"/>
    </row>
    <row r="228" spans="2:12" ht="16.5" x14ac:dyDescent="0.3">
      <c r="B228" s="10"/>
      <c r="C228" s="146" t="s">
        <v>1813</v>
      </c>
      <c r="D228" s="179" t="s">
        <v>1814</v>
      </c>
      <c r="E228" s="147" t="s">
        <v>1811</v>
      </c>
      <c r="F228" s="180" t="s">
        <v>1816</v>
      </c>
      <c r="G228" s="135" t="s">
        <v>2050</v>
      </c>
      <c r="H228" s="135" t="s">
        <v>3</v>
      </c>
      <c r="I228" s="126">
        <v>95.94</v>
      </c>
      <c r="J228" s="126">
        <v>43030.721085000019</v>
      </c>
      <c r="K228" s="148">
        <v>52.392515337423319</v>
      </c>
      <c r="L228" s="15"/>
    </row>
    <row r="229" spans="2:12" ht="16.5" x14ac:dyDescent="0.3">
      <c r="B229" s="10"/>
      <c r="C229" s="146" t="s">
        <v>1817</v>
      </c>
      <c r="D229" s="179" t="s">
        <v>1814</v>
      </c>
      <c r="E229" s="147" t="s">
        <v>1811</v>
      </c>
      <c r="F229" s="147" t="s">
        <v>1818</v>
      </c>
      <c r="G229" s="135" t="s">
        <v>2051</v>
      </c>
      <c r="H229" s="135" t="s">
        <v>3</v>
      </c>
      <c r="I229" s="126">
        <v>106.86</v>
      </c>
      <c r="J229" s="126">
        <v>43137.58108500002</v>
      </c>
      <c r="K229" s="148">
        <v>52.392515337423319</v>
      </c>
      <c r="L229" s="15"/>
    </row>
    <row r="230" spans="2:12" ht="16.5" x14ac:dyDescent="0.3">
      <c r="B230" s="10"/>
      <c r="C230" s="146" t="s">
        <v>1256</v>
      </c>
      <c r="D230" s="179" t="s">
        <v>1252</v>
      </c>
      <c r="E230" s="147" t="s">
        <v>1253</v>
      </c>
      <c r="F230" s="147" t="s">
        <v>1257</v>
      </c>
      <c r="G230" s="135" t="s">
        <v>2031</v>
      </c>
      <c r="H230" s="135" t="s">
        <v>3</v>
      </c>
      <c r="I230" s="126">
        <v>339.3</v>
      </c>
      <c r="J230" s="126">
        <v>43476.881085000023</v>
      </c>
      <c r="K230" s="148">
        <v>52.392515337423319</v>
      </c>
      <c r="L230" s="15"/>
    </row>
    <row r="231" spans="2:12" ht="16.5" x14ac:dyDescent="0.3">
      <c r="B231" s="10"/>
      <c r="C231" s="146" t="s">
        <v>917</v>
      </c>
      <c r="D231" s="179" t="s">
        <v>918</v>
      </c>
      <c r="E231" s="147" t="s">
        <v>101</v>
      </c>
      <c r="F231" s="147" t="s">
        <v>389</v>
      </c>
      <c r="G231" s="135" t="s">
        <v>2192</v>
      </c>
      <c r="H231" s="135" t="s">
        <v>226</v>
      </c>
      <c r="I231" s="126">
        <v>76.540000000000006</v>
      </c>
      <c r="J231" s="126">
        <v>43553.421085000024</v>
      </c>
      <c r="K231" s="148">
        <v>52.474887082204162</v>
      </c>
      <c r="L231" s="15"/>
    </row>
    <row r="232" spans="2:12" ht="16.5" x14ac:dyDescent="0.3">
      <c r="B232" s="10"/>
      <c r="C232" s="146" t="s">
        <v>1259</v>
      </c>
      <c r="D232" s="179" t="s">
        <v>1260</v>
      </c>
      <c r="E232" s="147" t="s">
        <v>1261</v>
      </c>
      <c r="F232" s="147" t="s">
        <v>1264</v>
      </c>
      <c r="G232" s="135" t="s">
        <v>2220</v>
      </c>
      <c r="H232" s="135" t="s">
        <v>226</v>
      </c>
      <c r="I232" s="126">
        <v>54.405700000000003</v>
      </c>
      <c r="J232" s="126">
        <v>43607.826785000027</v>
      </c>
      <c r="K232" s="148">
        <v>52.474887082204162</v>
      </c>
      <c r="L232" s="15"/>
    </row>
    <row r="233" spans="2:12" ht="16.5" x14ac:dyDescent="0.3">
      <c r="B233" s="10"/>
      <c r="C233" s="146" t="s">
        <v>1265</v>
      </c>
      <c r="D233" s="179" t="s">
        <v>1260</v>
      </c>
      <c r="E233" s="147" t="s">
        <v>1261</v>
      </c>
      <c r="F233" s="147" t="s">
        <v>1266</v>
      </c>
      <c r="G233" s="135" t="s">
        <v>1788</v>
      </c>
      <c r="H233" s="135" t="s">
        <v>226</v>
      </c>
      <c r="I233" s="126">
        <v>69.037300000000002</v>
      </c>
      <c r="J233" s="126">
        <v>43676.86408500003</v>
      </c>
      <c r="K233" s="148">
        <v>52.474887082204162</v>
      </c>
      <c r="L233" s="15"/>
    </row>
    <row r="234" spans="2:12" ht="16.5" x14ac:dyDescent="0.3">
      <c r="B234" s="10"/>
      <c r="C234" s="146" t="s">
        <v>1207</v>
      </c>
      <c r="D234" s="179" t="s">
        <v>641</v>
      </c>
      <c r="E234" s="147" t="s">
        <v>1208</v>
      </c>
      <c r="F234" s="147" t="s">
        <v>226</v>
      </c>
      <c r="G234" s="135" t="s">
        <v>2218</v>
      </c>
      <c r="H234" s="135" t="s">
        <v>226</v>
      </c>
      <c r="I234" s="126">
        <v>10.644400000000001</v>
      </c>
      <c r="J234" s="126">
        <v>43687.508485000028</v>
      </c>
      <c r="K234" s="148">
        <v>52.474887082204162</v>
      </c>
      <c r="L234" s="15"/>
    </row>
    <row r="235" spans="2:12" ht="16.5" x14ac:dyDescent="0.3">
      <c r="B235" s="10"/>
      <c r="C235" s="146" t="s">
        <v>749</v>
      </c>
      <c r="D235" s="179" t="s">
        <v>278</v>
      </c>
      <c r="E235" s="147" t="s">
        <v>746</v>
      </c>
      <c r="F235" s="147">
        <v>5</v>
      </c>
      <c r="G235" s="135" t="s">
        <v>2009</v>
      </c>
      <c r="H235" s="135" t="s">
        <v>3</v>
      </c>
      <c r="I235" s="126">
        <v>397.8</v>
      </c>
      <c r="J235" s="126">
        <v>44085.30848500003</v>
      </c>
      <c r="K235" s="148">
        <v>52.707901234567899</v>
      </c>
      <c r="L235" s="15"/>
    </row>
    <row r="236" spans="2:12" ht="16.5" x14ac:dyDescent="0.3">
      <c r="B236" s="10"/>
      <c r="C236" s="146" t="s">
        <v>995</v>
      </c>
      <c r="D236" s="179" t="s">
        <v>996</v>
      </c>
      <c r="E236" s="147" t="s">
        <v>997</v>
      </c>
      <c r="F236" s="147"/>
      <c r="G236" s="135" t="s">
        <v>2024</v>
      </c>
      <c r="H236" s="135" t="s">
        <v>3</v>
      </c>
      <c r="I236" s="126">
        <v>251.94</v>
      </c>
      <c r="J236" s="126">
        <v>44337.248485000033</v>
      </c>
      <c r="K236" s="148">
        <v>52.707901234567899</v>
      </c>
      <c r="L236" s="15"/>
    </row>
    <row r="237" spans="2:12" ht="16.5" x14ac:dyDescent="0.3">
      <c r="B237" s="10"/>
      <c r="C237" s="146" t="s">
        <v>1767</v>
      </c>
      <c r="D237" s="179" t="s">
        <v>1764</v>
      </c>
      <c r="E237" s="147" t="s">
        <v>1768</v>
      </c>
      <c r="F237" s="180"/>
      <c r="G237" s="135" t="s">
        <v>2045</v>
      </c>
      <c r="H237" s="135" t="s">
        <v>3</v>
      </c>
      <c r="I237" s="126">
        <v>16.146000000000001</v>
      </c>
      <c r="J237" s="126">
        <v>44353.394485000033</v>
      </c>
      <c r="K237" s="148">
        <v>52.707901234567899</v>
      </c>
      <c r="L237" s="15"/>
    </row>
    <row r="238" spans="2:12" ht="16.5" x14ac:dyDescent="0.3">
      <c r="B238" s="10"/>
      <c r="C238" s="146" t="s">
        <v>303</v>
      </c>
      <c r="D238" s="179" t="s">
        <v>304</v>
      </c>
      <c r="E238" s="147" t="s">
        <v>305</v>
      </c>
      <c r="F238" s="147" t="s">
        <v>307</v>
      </c>
      <c r="G238" s="135" t="s">
        <v>308</v>
      </c>
      <c r="H238" s="135" t="s">
        <v>226</v>
      </c>
      <c r="I238" s="126">
        <v>13.172000000000001</v>
      </c>
      <c r="J238" s="126">
        <v>44366.566485000032</v>
      </c>
      <c r="K238" s="148">
        <v>52.892714025500908</v>
      </c>
      <c r="L238" s="15"/>
    </row>
    <row r="239" spans="2:12" ht="16.5" x14ac:dyDescent="0.3">
      <c r="B239" s="10"/>
      <c r="C239" s="146" t="s">
        <v>1777</v>
      </c>
      <c r="D239" s="179" t="s">
        <v>1313</v>
      </c>
      <c r="E239" s="147" t="s">
        <v>1778</v>
      </c>
      <c r="F239" s="147">
        <v>2</v>
      </c>
      <c r="G239" s="135" t="s">
        <v>2046</v>
      </c>
      <c r="H239" s="135" t="s">
        <v>3</v>
      </c>
      <c r="I239" s="126">
        <v>259.50599999999997</v>
      </c>
      <c r="J239" s="126">
        <v>44626.072485000033</v>
      </c>
      <c r="K239" s="148">
        <v>53.027204968944091</v>
      </c>
      <c r="L239" s="15"/>
    </row>
    <row r="240" spans="2:12" ht="16.5" x14ac:dyDescent="0.3">
      <c r="B240" s="10"/>
      <c r="C240" s="146" t="s">
        <v>144</v>
      </c>
      <c r="D240" s="179" t="s">
        <v>128</v>
      </c>
      <c r="E240" s="147" t="s">
        <v>145</v>
      </c>
      <c r="F240" s="147" t="s">
        <v>145</v>
      </c>
      <c r="G240" s="135" t="s">
        <v>2073</v>
      </c>
      <c r="H240" s="135" t="s">
        <v>2</v>
      </c>
      <c r="I240" s="126">
        <v>13.05</v>
      </c>
      <c r="J240" s="126">
        <v>44639.122485000036</v>
      </c>
      <c r="K240" s="148">
        <v>53.113249211356475</v>
      </c>
      <c r="L240" s="15"/>
    </row>
    <row r="241" spans="2:12" ht="16.5" x14ac:dyDescent="0.3">
      <c r="B241" s="10"/>
      <c r="C241" s="146" t="s">
        <v>355</v>
      </c>
      <c r="D241" s="179" t="s">
        <v>356</v>
      </c>
      <c r="E241" s="147" t="s">
        <v>357</v>
      </c>
      <c r="F241" s="147"/>
      <c r="G241" s="135" t="s">
        <v>2141</v>
      </c>
      <c r="H241" s="135" t="s">
        <v>226</v>
      </c>
      <c r="I241" s="126">
        <v>106.8</v>
      </c>
      <c r="J241" s="126">
        <v>44745.922485000039</v>
      </c>
      <c r="K241" s="148">
        <v>53.317447199265381</v>
      </c>
      <c r="L241" s="15"/>
    </row>
    <row r="242" spans="2:12" ht="16.5" x14ac:dyDescent="0.3">
      <c r="B242" s="10"/>
      <c r="C242" s="146" t="s">
        <v>1019</v>
      </c>
      <c r="D242" s="179" t="s">
        <v>1013</v>
      </c>
      <c r="E242" s="147" t="s">
        <v>1020</v>
      </c>
      <c r="F242" s="147" t="s">
        <v>226</v>
      </c>
      <c r="G242" s="135" t="s">
        <v>2203</v>
      </c>
      <c r="H242" s="135" t="s">
        <v>226</v>
      </c>
      <c r="I242" s="126">
        <v>14.062000000000001</v>
      </c>
      <c r="J242" s="126">
        <v>44759.984485000037</v>
      </c>
      <c r="K242" s="148">
        <v>53.317447199265381</v>
      </c>
      <c r="L242" s="15"/>
    </row>
    <row r="243" spans="2:12" ht="16.5" x14ac:dyDescent="0.3">
      <c r="B243" s="10"/>
      <c r="C243" s="146" t="s">
        <v>199</v>
      </c>
      <c r="D243" s="179" t="s">
        <v>163</v>
      </c>
      <c r="E243" s="147" t="s">
        <v>194</v>
      </c>
      <c r="F243" s="147" t="s">
        <v>200</v>
      </c>
      <c r="G243" s="135" t="s">
        <v>1993</v>
      </c>
      <c r="H243" s="135" t="s">
        <v>3</v>
      </c>
      <c r="I243" s="126">
        <v>69.42</v>
      </c>
      <c r="J243" s="126">
        <v>44829.404485000035</v>
      </c>
      <c r="K243" s="148">
        <v>53.350499999999997</v>
      </c>
      <c r="L243" s="15"/>
    </row>
    <row r="244" spans="2:12" ht="16.5" x14ac:dyDescent="0.3">
      <c r="B244" s="10"/>
      <c r="C244" s="146" t="s">
        <v>1429</v>
      </c>
      <c r="D244" s="179" t="s">
        <v>1426</v>
      </c>
      <c r="E244" s="147" t="s">
        <v>1430</v>
      </c>
      <c r="F244" s="147"/>
      <c r="G244" s="135" t="s">
        <v>2036</v>
      </c>
      <c r="H244" s="135" t="s">
        <v>3</v>
      </c>
      <c r="I244" s="126">
        <v>42.120000000000005</v>
      </c>
      <c r="J244" s="126">
        <v>44871.524485000038</v>
      </c>
      <c r="K244" s="148">
        <v>53.350499999999997</v>
      </c>
      <c r="L244" s="15"/>
    </row>
    <row r="245" spans="2:12" ht="16.5" x14ac:dyDescent="0.3">
      <c r="B245" s="10"/>
      <c r="C245" s="146" t="s">
        <v>1480</v>
      </c>
      <c r="D245" s="179" t="s">
        <v>1475</v>
      </c>
      <c r="E245" s="147" t="s">
        <v>1475</v>
      </c>
      <c r="F245" s="147" t="s">
        <v>1481</v>
      </c>
      <c r="G245" s="135" t="s">
        <v>2038</v>
      </c>
      <c r="H245" s="135" t="s">
        <v>3</v>
      </c>
      <c r="I245" s="126">
        <v>20.981999999999999</v>
      </c>
      <c r="J245" s="126">
        <v>44892.506485000042</v>
      </c>
      <c r="K245" s="148">
        <v>53.350499999999997</v>
      </c>
      <c r="L245" s="15"/>
    </row>
    <row r="246" spans="2:12" ht="16.5" x14ac:dyDescent="0.3">
      <c r="B246" s="10"/>
      <c r="C246" s="146" t="s">
        <v>661</v>
      </c>
      <c r="D246" s="179" t="s">
        <v>519</v>
      </c>
      <c r="E246" s="147" t="s">
        <v>655</v>
      </c>
      <c r="F246" s="147" t="s">
        <v>473</v>
      </c>
      <c r="G246" s="135" t="s">
        <v>2007</v>
      </c>
      <c r="H246" s="135" t="s">
        <v>3</v>
      </c>
      <c r="I246" s="126">
        <v>47.97</v>
      </c>
      <c r="J246" s="126">
        <v>44940.476485000043</v>
      </c>
      <c r="K246" s="148">
        <v>53.677861635220125</v>
      </c>
      <c r="L246" s="15"/>
    </row>
    <row r="247" spans="2:12" ht="16.5" x14ac:dyDescent="0.3">
      <c r="B247" s="10"/>
      <c r="C247" s="146" t="s">
        <v>829</v>
      </c>
      <c r="D247" s="179" t="s">
        <v>824</v>
      </c>
      <c r="E247" s="147" t="s">
        <v>830</v>
      </c>
      <c r="F247" s="147" t="s">
        <v>831</v>
      </c>
      <c r="G247" s="135" t="s">
        <v>2014</v>
      </c>
      <c r="H247" s="135" t="s">
        <v>3</v>
      </c>
      <c r="I247" s="126">
        <v>106.08</v>
      </c>
      <c r="J247" s="126">
        <v>45046.556485000045</v>
      </c>
      <c r="K247" s="148">
        <v>53.677861635220125</v>
      </c>
      <c r="L247" s="15"/>
    </row>
    <row r="248" spans="2:12" ht="16.5" x14ac:dyDescent="0.3">
      <c r="B248" s="10"/>
      <c r="C248" s="146" t="s">
        <v>832</v>
      </c>
      <c r="D248" s="179" t="s">
        <v>824</v>
      </c>
      <c r="E248" s="147" t="s">
        <v>830</v>
      </c>
      <c r="F248" s="180" t="s">
        <v>833</v>
      </c>
      <c r="G248" s="135" t="s">
        <v>2015</v>
      </c>
      <c r="H248" s="135" t="s">
        <v>3</v>
      </c>
      <c r="I248" s="126">
        <v>106.08</v>
      </c>
      <c r="J248" s="126">
        <v>45152.636485000046</v>
      </c>
      <c r="K248" s="148">
        <v>53.677861635220125</v>
      </c>
      <c r="L248" s="15"/>
    </row>
    <row r="249" spans="2:12" ht="16.5" x14ac:dyDescent="0.3">
      <c r="B249" s="10"/>
      <c r="C249" s="146" t="s">
        <v>1794</v>
      </c>
      <c r="D249" s="179" t="s">
        <v>458</v>
      </c>
      <c r="E249" s="147" t="s">
        <v>101</v>
      </c>
      <c r="F249" s="180" t="s">
        <v>1795</v>
      </c>
      <c r="G249" s="135" t="s">
        <v>2048</v>
      </c>
      <c r="H249" s="135" t="s">
        <v>3</v>
      </c>
      <c r="I249" s="126">
        <v>164.58</v>
      </c>
      <c r="J249" s="126">
        <v>45317.216485000048</v>
      </c>
      <c r="K249" s="148">
        <v>53.677861635220125</v>
      </c>
      <c r="L249" s="15"/>
    </row>
    <row r="250" spans="2:12" ht="16.5" x14ac:dyDescent="0.3">
      <c r="B250" s="10"/>
      <c r="C250" s="146" t="s">
        <v>228</v>
      </c>
      <c r="D250" s="179" t="s">
        <v>229</v>
      </c>
      <c r="E250" s="147" t="s">
        <v>230</v>
      </c>
      <c r="F250" s="147"/>
      <c r="G250" s="135" t="s">
        <v>2130</v>
      </c>
      <c r="H250" s="135" t="s">
        <v>226</v>
      </c>
      <c r="I250" s="126">
        <v>94.34</v>
      </c>
      <c r="J250" s="126">
        <v>45411.556485000045</v>
      </c>
      <c r="K250" s="148">
        <v>53.749259259259254</v>
      </c>
      <c r="L250" s="15"/>
    </row>
    <row r="251" spans="2:12" ht="16.5" x14ac:dyDescent="0.3">
      <c r="B251" s="10"/>
      <c r="C251" s="146" t="s">
        <v>428</v>
      </c>
      <c r="D251" s="179" t="s">
        <v>160</v>
      </c>
      <c r="E251" s="147" t="s">
        <v>429</v>
      </c>
      <c r="F251" s="147" t="s">
        <v>226</v>
      </c>
      <c r="G251" s="135" t="s">
        <v>2149</v>
      </c>
      <c r="H251" s="135" t="s">
        <v>226</v>
      </c>
      <c r="I251" s="126">
        <v>521.54</v>
      </c>
      <c r="J251" s="126">
        <v>45933.096485000046</v>
      </c>
      <c r="K251" s="148">
        <v>53.749259259259254</v>
      </c>
      <c r="L251" s="15"/>
    </row>
    <row r="252" spans="2:12" ht="16.5" x14ac:dyDescent="0.3">
      <c r="B252" s="10"/>
      <c r="C252" s="146" t="s">
        <v>499</v>
      </c>
      <c r="D252" s="179" t="s">
        <v>493</v>
      </c>
      <c r="E252" s="147" t="s">
        <v>226</v>
      </c>
      <c r="F252" s="147" t="s">
        <v>501</v>
      </c>
      <c r="G252" s="135" t="s">
        <v>2155</v>
      </c>
      <c r="H252" s="135" t="s">
        <v>226</v>
      </c>
      <c r="I252" s="126">
        <v>89</v>
      </c>
      <c r="J252" s="126">
        <v>46022.096485000046</v>
      </c>
      <c r="K252" s="148">
        <v>53.749259259259254</v>
      </c>
      <c r="L252" s="15"/>
    </row>
    <row r="253" spans="2:12" ht="16.5" x14ac:dyDescent="0.3">
      <c r="B253" s="10"/>
      <c r="C253" s="146" t="s">
        <v>777</v>
      </c>
      <c r="D253" s="179" t="s">
        <v>466</v>
      </c>
      <c r="E253" s="147" t="s">
        <v>778</v>
      </c>
      <c r="F253" s="147" t="s">
        <v>779</v>
      </c>
      <c r="G253" s="135" t="s">
        <v>1987</v>
      </c>
      <c r="H253" s="135" t="s">
        <v>226</v>
      </c>
      <c r="I253" s="126">
        <v>200.25</v>
      </c>
      <c r="J253" s="126">
        <v>46222.346485000046</v>
      </c>
      <c r="K253" s="148">
        <v>53.749259259259254</v>
      </c>
      <c r="L253" s="15"/>
    </row>
    <row r="254" spans="2:12" ht="16.5" x14ac:dyDescent="0.3">
      <c r="B254" s="10"/>
      <c r="C254" s="146" t="s">
        <v>1236</v>
      </c>
      <c r="D254" s="179" t="s">
        <v>1237</v>
      </c>
      <c r="E254" s="147" t="s">
        <v>1238</v>
      </c>
      <c r="F254" s="147" t="s">
        <v>1239</v>
      </c>
      <c r="G254" s="135" t="s">
        <v>2219</v>
      </c>
      <c r="H254" s="135" t="s">
        <v>226</v>
      </c>
      <c r="I254" s="126">
        <v>386.43799999999999</v>
      </c>
      <c r="J254" s="126">
        <v>46608.784485000047</v>
      </c>
      <c r="K254" s="148">
        <v>53.749259259259254</v>
      </c>
      <c r="L254" s="15"/>
    </row>
    <row r="255" spans="2:12" ht="16.5" x14ac:dyDescent="0.3">
      <c r="B255" s="10"/>
      <c r="C255" s="146" t="s">
        <v>1095</v>
      </c>
      <c r="D255" s="179" t="s">
        <v>1096</v>
      </c>
      <c r="E255" s="147" t="s">
        <v>1097</v>
      </c>
      <c r="F255" s="147"/>
      <c r="G255" s="135" t="s">
        <v>2207</v>
      </c>
      <c r="H255" s="135" t="s">
        <v>226</v>
      </c>
      <c r="I255" s="126">
        <v>11.57</v>
      </c>
      <c r="J255" s="126">
        <v>46620.354485000047</v>
      </c>
      <c r="K255" s="148">
        <v>53.749259259259254</v>
      </c>
      <c r="L255" s="15"/>
    </row>
    <row r="256" spans="2:12" ht="16.5" x14ac:dyDescent="0.3">
      <c r="B256" s="10"/>
      <c r="C256" s="146" t="s">
        <v>205</v>
      </c>
      <c r="D256" s="179" t="s">
        <v>163</v>
      </c>
      <c r="E256" s="147" t="s">
        <v>202</v>
      </c>
      <c r="F256" s="147" t="s">
        <v>206</v>
      </c>
      <c r="G256" s="135" t="s">
        <v>1995</v>
      </c>
      <c r="H256" s="135" t="s">
        <v>3</v>
      </c>
      <c r="I256" s="126">
        <v>219.96</v>
      </c>
      <c r="J256" s="126">
        <v>46840.314485000046</v>
      </c>
      <c r="K256" s="148">
        <v>54.00936708860759</v>
      </c>
      <c r="L256" s="15"/>
    </row>
    <row r="257" spans="2:12" ht="16.5" x14ac:dyDescent="0.3">
      <c r="B257" s="10"/>
      <c r="C257" s="146" t="s">
        <v>457</v>
      </c>
      <c r="D257" s="179" t="s">
        <v>458</v>
      </c>
      <c r="E257" s="147" t="s">
        <v>459</v>
      </c>
      <c r="F257" s="147" t="s">
        <v>461</v>
      </c>
      <c r="G257" s="135" t="s">
        <v>2000</v>
      </c>
      <c r="H257" s="135" t="s">
        <v>3</v>
      </c>
      <c r="I257" s="126">
        <v>288.60000000000002</v>
      </c>
      <c r="J257" s="126">
        <v>47128.914485000045</v>
      </c>
      <c r="K257" s="148">
        <v>54.00936708860759</v>
      </c>
      <c r="L257" s="15"/>
    </row>
    <row r="258" spans="2:12" ht="16.5" x14ac:dyDescent="0.3">
      <c r="B258" s="10"/>
      <c r="C258" s="146" t="s">
        <v>660</v>
      </c>
      <c r="D258" s="179" t="s">
        <v>519</v>
      </c>
      <c r="E258" s="147" t="s">
        <v>655</v>
      </c>
      <c r="F258" s="147" t="s">
        <v>469</v>
      </c>
      <c r="G258" s="135" t="s">
        <v>2006</v>
      </c>
      <c r="H258" s="135" t="s">
        <v>3</v>
      </c>
      <c r="I258" s="126">
        <v>47.97</v>
      </c>
      <c r="J258" s="126">
        <v>47176.884485000046</v>
      </c>
      <c r="K258" s="148">
        <v>54.00936708860759</v>
      </c>
      <c r="L258" s="15"/>
    </row>
    <row r="259" spans="2:12" ht="16.5" x14ac:dyDescent="0.3">
      <c r="B259" s="10"/>
      <c r="C259" s="146" t="s">
        <v>574</v>
      </c>
      <c r="D259" s="179" t="s">
        <v>571</v>
      </c>
      <c r="E259" s="147" t="s">
        <v>575</v>
      </c>
      <c r="F259" s="147" t="s">
        <v>576</v>
      </c>
      <c r="G259" s="135" t="s">
        <v>2165</v>
      </c>
      <c r="H259" s="135" t="s">
        <v>226</v>
      </c>
      <c r="I259" s="126">
        <v>68.085000000000008</v>
      </c>
      <c r="J259" s="126">
        <v>47244.969485000045</v>
      </c>
      <c r="K259" s="148">
        <v>54.188328664799258</v>
      </c>
      <c r="L259" s="15"/>
    </row>
    <row r="260" spans="2:12" ht="16.5" x14ac:dyDescent="0.3">
      <c r="B260" s="10"/>
      <c r="C260" s="146" t="s">
        <v>1578</v>
      </c>
      <c r="D260" s="179" t="s">
        <v>1579</v>
      </c>
      <c r="E260" s="147" t="s">
        <v>1580</v>
      </c>
      <c r="F260" s="147" t="s">
        <v>1582</v>
      </c>
      <c r="G260" s="135" t="s">
        <v>2252</v>
      </c>
      <c r="H260" s="135" t="s">
        <v>226</v>
      </c>
      <c r="I260" s="126">
        <v>99.768999999999991</v>
      </c>
      <c r="J260" s="126">
        <v>47344.738485000045</v>
      </c>
      <c r="K260" s="148">
        <v>54.188328664799258</v>
      </c>
      <c r="L260" s="15"/>
    </row>
    <row r="261" spans="2:12" ht="16.5" x14ac:dyDescent="0.3">
      <c r="B261" s="10"/>
      <c r="C261" s="146" t="s">
        <v>201</v>
      </c>
      <c r="D261" s="179" t="s">
        <v>163</v>
      </c>
      <c r="E261" s="147" t="s">
        <v>202</v>
      </c>
      <c r="F261" s="147" t="s">
        <v>204</v>
      </c>
      <c r="G261" s="135" t="s">
        <v>1994</v>
      </c>
      <c r="H261" s="135" t="s">
        <v>3</v>
      </c>
      <c r="I261" s="126">
        <v>219.96</v>
      </c>
      <c r="J261" s="126">
        <v>47564.698485000044</v>
      </c>
      <c r="K261" s="148">
        <v>54.345095541401271</v>
      </c>
      <c r="L261" s="15"/>
    </row>
    <row r="262" spans="2:12" ht="16.5" x14ac:dyDescent="0.3">
      <c r="B262" s="10"/>
      <c r="C262" s="146" t="s">
        <v>1469</v>
      </c>
      <c r="D262" s="179" t="s">
        <v>278</v>
      </c>
      <c r="E262" s="147" t="s">
        <v>1470</v>
      </c>
      <c r="F262" s="180">
        <v>4</v>
      </c>
      <c r="G262" s="135" t="s">
        <v>2037</v>
      </c>
      <c r="H262" s="135" t="s">
        <v>3</v>
      </c>
      <c r="I262" s="126">
        <v>682.5</v>
      </c>
      <c r="J262" s="126">
        <v>48247.198485000044</v>
      </c>
      <c r="K262" s="148">
        <v>54.345095541401271</v>
      </c>
      <c r="L262" s="15"/>
    </row>
    <row r="263" spans="2:12" ht="16.5" x14ac:dyDescent="0.3">
      <c r="B263" s="10"/>
      <c r="C263" s="146" t="s">
        <v>1755</v>
      </c>
      <c r="D263" s="179" t="s">
        <v>1756</v>
      </c>
      <c r="E263" s="147" t="s">
        <v>1757</v>
      </c>
      <c r="F263" s="147"/>
      <c r="G263" s="135" t="s">
        <v>2112</v>
      </c>
      <c r="H263" s="135" t="s">
        <v>2</v>
      </c>
      <c r="I263" s="126">
        <v>58.29</v>
      </c>
      <c r="J263" s="126">
        <v>48305.488485000045</v>
      </c>
      <c r="K263" s="148">
        <v>54.615584415584422</v>
      </c>
      <c r="L263" s="15"/>
    </row>
    <row r="264" spans="2:12" ht="16.5" x14ac:dyDescent="0.3">
      <c r="B264" s="10"/>
      <c r="C264" s="146" t="s">
        <v>675</v>
      </c>
      <c r="D264" s="179" t="s">
        <v>676</v>
      </c>
      <c r="E264" s="147" t="s">
        <v>677</v>
      </c>
      <c r="F264" s="147" t="s">
        <v>679</v>
      </c>
      <c r="G264" s="135" t="s">
        <v>2173</v>
      </c>
      <c r="H264" s="135" t="s">
        <v>226</v>
      </c>
      <c r="I264" s="126">
        <v>35.6</v>
      </c>
      <c r="J264" s="126">
        <v>48341.088485000044</v>
      </c>
      <c r="K264" s="148">
        <v>54.63483992467043</v>
      </c>
      <c r="L264" s="15"/>
    </row>
    <row r="265" spans="2:12" ht="16.5" x14ac:dyDescent="0.3">
      <c r="B265" s="10"/>
      <c r="C265" s="146" t="s">
        <v>1136</v>
      </c>
      <c r="D265" s="179" t="s">
        <v>1133</v>
      </c>
      <c r="E265" s="147" t="s">
        <v>1137</v>
      </c>
      <c r="F265" s="147"/>
      <c r="G265" s="135" t="s">
        <v>2173</v>
      </c>
      <c r="H265" s="135" t="s">
        <v>226</v>
      </c>
      <c r="I265" s="126">
        <v>34.71</v>
      </c>
      <c r="J265" s="126">
        <v>48375.798485000043</v>
      </c>
      <c r="K265" s="148">
        <v>54.63483992467043</v>
      </c>
      <c r="L265" s="15"/>
    </row>
    <row r="266" spans="2:12" ht="16.5" x14ac:dyDescent="0.3">
      <c r="B266" s="10"/>
      <c r="C266" s="146" t="s">
        <v>698</v>
      </c>
      <c r="D266" s="179" t="s">
        <v>278</v>
      </c>
      <c r="E266" s="147" t="s">
        <v>699</v>
      </c>
      <c r="F266" s="180"/>
      <c r="G266" s="135" t="s">
        <v>1989</v>
      </c>
      <c r="H266" s="135" t="s">
        <v>3</v>
      </c>
      <c r="I266" s="126">
        <v>54.6</v>
      </c>
      <c r="J266" s="126">
        <v>48430.398485000042</v>
      </c>
      <c r="K266" s="148">
        <v>55.029548387096774</v>
      </c>
      <c r="L266" s="15"/>
    </row>
    <row r="267" spans="2:12" ht="16.5" x14ac:dyDescent="0.3">
      <c r="B267" s="10"/>
      <c r="C267" s="146" t="s">
        <v>1883</v>
      </c>
      <c r="D267" s="358" t="s">
        <v>124</v>
      </c>
      <c r="E267" s="147" t="s">
        <v>655</v>
      </c>
      <c r="F267" s="147" t="s">
        <v>653</v>
      </c>
      <c r="G267" s="135" t="s">
        <v>2056</v>
      </c>
      <c r="H267" s="135" t="s">
        <v>3</v>
      </c>
      <c r="I267" s="126">
        <v>108.03</v>
      </c>
      <c r="J267" s="126">
        <v>48538.42848500004</v>
      </c>
      <c r="K267" s="148">
        <v>55.029548387096774</v>
      </c>
      <c r="L267" s="15"/>
    </row>
    <row r="268" spans="2:12" ht="16.5" x14ac:dyDescent="0.3">
      <c r="B268" s="10"/>
      <c r="C268" s="146" t="s">
        <v>1884</v>
      </c>
      <c r="D268" s="179" t="s">
        <v>124</v>
      </c>
      <c r="E268" s="147" t="s">
        <v>655</v>
      </c>
      <c r="F268" s="147" t="s">
        <v>469</v>
      </c>
      <c r="G268" s="135" t="s">
        <v>2056</v>
      </c>
      <c r="H268" s="135" t="s">
        <v>3</v>
      </c>
      <c r="I268" s="126">
        <v>108.03</v>
      </c>
      <c r="J268" s="126">
        <v>48646.458485000039</v>
      </c>
      <c r="K268" s="148">
        <v>55.029548387096774</v>
      </c>
      <c r="L268" s="15"/>
    </row>
    <row r="269" spans="2:12" ht="33" x14ac:dyDescent="0.3">
      <c r="B269" s="10"/>
      <c r="C269" s="146" t="s">
        <v>1195</v>
      </c>
      <c r="D269" s="179" t="s">
        <v>1186</v>
      </c>
      <c r="E269" s="147" t="s">
        <v>1196</v>
      </c>
      <c r="F269" s="180" t="s">
        <v>1198</v>
      </c>
      <c r="G269" s="135" t="s">
        <v>2215</v>
      </c>
      <c r="H269" s="135" t="s">
        <v>226</v>
      </c>
      <c r="I269" s="126">
        <v>364.9</v>
      </c>
      <c r="J269" s="126">
        <v>49011.358485000041</v>
      </c>
      <c r="K269" s="148">
        <v>55.088983855650525</v>
      </c>
      <c r="L269" s="15"/>
    </row>
    <row r="270" spans="2:12" ht="16.5" x14ac:dyDescent="0.3">
      <c r="B270" s="10"/>
      <c r="C270" s="146" t="s">
        <v>1343</v>
      </c>
      <c r="D270" s="179" t="s">
        <v>1344</v>
      </c>
      <c r="E270" s="147" t="s">
        <v>1345</v>
      </c>
      <c r="F270" s="147"/>
      <c r="G270" s="135" t="s">
        <v>2230</v>
      </c>
      <c r="H270" s="135" t="s">
        <v>226</v>
      </c>
      <c r="I270" s="126">
        <v>66.75</v>
      </c>
      <c r="J270" s="126">
        <v>49078.108485000041</v>
      </c>
      <c r="K270" s="148">
        <v>55.088983855650525</v>
      </c>
      <c r="L270" s="15"/>
    </row>
    <row r="271" spans="2:12" ht="16.5" x14ac:dyDescent="0.3">
      <c r="B271" s="10"/>
      <c r="C271" s="146" t="s">
        <v>1748</v>
      </c>
      <c r="D271" s="179" t="s">
        <v>40</v>
      </c>
      <c r="E271" s="147" t="s">
        <v>1720</v>
      </c>
      <c r="F271" s="147" t="s">
        <v>1749</v>
      </c>
      <c r="G271" s="135" t="s">
        <v>2044</v>
      </c>
      <c r="H271" s="135" t="s">
        <v>3</v>
      </c>
      <c r="I271" s="126">
        <v>35.1</v>
      </c>
      <c r="J271" s="126">
        <v>49113.208485000039</v>
      </c>
      <c r="K271" s="148">
        <v>55.378441558441551</v>
      </c>
      <c r="L271" s="15"/>
    </row>
    <row r="272" spans="2:12" ht="16.5" x14ac:dyDescent="0.3">
      <c r="B272" s="10"/>
      <c r="C272" s="146" t="s">
        <v>1837</v>
      </c>
      <c r="D272" s="179" t="s">
        <v>160</v>
      </c>
      <c r="E272" s="147" t="s">
        <v>161</v>
      </c>
      <c r="F272" s="147" t="s">
        <v>1838</v>
      </c>
      <c r="G272" s="135" t="s">
        <v>2052</v>
      </c>
      <c r="H272" s="135" t="s">
        <v>3</v>
      </c>
      <c r="I272" s="126">
        <v>478.92</v>
      </c>
      <c r="J272" s="126">
        <v>49592.128485000037</v>
      </c>
      <c r="K272" s="148">
        <v>55.378441558441551</v>
      </c>
      <c r="L272" s="15"/>
    </row>
    <row r="273" spans="2:12" ht="16.5" x14ac:dyDescent="0.3">
      <c r="B273" s="10"/>
      <c r="C273" s="146" t="s">
        <v>173</v>
      </c>
      <c r="D273" s="179" t="s">
        <v>163</v>
      </c>
      <c r="E273" s="147" t="s">
        <v>174</v>
      </c>
      <c r="F273" s="147" t="s">
        <v>176</v>
      </c>
      <c r="G273" s="135" t="s">
        <v>2125</v>
      </c>
      <c r="H273" s="135" t="s">
        <v>226</v>
      </c>
      <c r="I273" s="126">
        <v>395.16</v>
      </c>
      <c r="J273" s="126">
        <v>49987.288485000041</v>
      </c>
      <c r="K273" s="148">
        <v>55.550957854406128</v>
      </c>
      <c r="L273" s="15"/>
    </row>
    <row r="274" spans="2:12" ht="16.5" x14ac:dyDescent="0.3">
      <c r="B274" s="10"/>
      <c r="C274" s="146" t="s">
        <v>932</v>
      </c>
      <c r="D274" s="179" t="s">
        <v>111</v>
      </c>
      <c r="E274" s="147" t="s">
        <v>933</v>
      </c>
      <c r="F274" s="147" t="s">
        <v>933</v>
      </c>
      <c r="G274" s="135" t="s">
        <v>2194</v>
      </c>
      <c r="H274" s="135" t="s">
        <v>226</v>
      </c>
      <c r="I274" s="126">
        <v>161.97999999999999</v>
      </c>
      <c r="J274" s="126">
        <v>50149.268485000044</v>
      </c>
      <c r="K274" s="148">
        <v>55.550957854406128</v>
      </c>
      <c r="L274" s="15"/>
    </row>
    <row r="275" spans="2:12" ht="16.5" x14ac:dyDescent="0.3">
      <c r="B275" s="10"/>
      <c r="C275" s="146" t="s">
        <v>1563</v>
      </c>
      <c r="D275" s="179" t="s">
        <v>1564</v>
      </c>
      <c r="E275" s="147" t="s">
        <v>1565</v>
      </c>
      <c r="F275" s="147"/>
      <c r="G275" s="135" t="s">
        <v>2250</v>
      </c>
      <c r="H275" s="135" t="s">
        <v>226</v>
      </c>
      <c r="I275" s="126">
        <v>96.12</v>
      </c>
      <c r="J275" s="126">
        <v>50245.388485000047</v>
      </c>
      <c r="K275" s="148">
        <v>55.550957854406128</v>
      </c>
      <c r="L275" s="15"/>
    </row>
    <row r="276" spans="2:12" ht="16.5" x14ac:dyDescent="0.3">
      <c r="B276" s="10"/>
      <c r="C276" s="146" t="s">
        <v>1839</v>
      </c>
      <c r="D276" s="179" t="s">
        <v>1840</v>
      </c>
      <c r="E276" s="147" t="s">
        <v>96</v>
      </c>
      <c r="F276" s="147" t="s">
        <v>1842</v>
      </c>
      <c r="G276" s="135" t="s">
        <v>2274</v>
      </c>
      <c r="H276" s="135" t="s">
        <v>226</v>
      </c>
      <c r="I276" s="126">
        <v>46.191000000000003</v>
      </c>
      <c r="J276" s="126">
        <v>50291.579485000046</v>
      </c>
      <c r="K276" s="148">
        <v>55.550957854406128</v>
      </c>
      <c r="L276" s="15"/>
    </row>
    <row r="277" spans="2:12" ht="66" x14ac:dyDescent="0.3">
      <c r="B277" s="10"/>
      <c r="C277" s="146" t="s">
        <v>438</v>
      </c>
      <c r="D277" s="179" t="s">
        <v>439</v>
      </c>
      <c r="E277" s="147" t="s">
        <v>440</v>
      </c>
      <c r="F277" s="180" t="s">
        <v>443</v>
      </c>
      <c r="G277" s="135" t="s">
        <v>2151</v>
      </c>
      <c r="H277" s="135" t="s">
        <v>226</v>
      </c>
      <c r="I277" s="126">
        <v>231.4</v>
      </c>
      <c r="J277" s="126">
        <v>50522.979485000047</v>
      </c>
      <c r="K277" s="148">
        <v>56.020966183574885</v>
      </c>
      <c r="L277" s="15"/>
    </row>
    <row r="278" spans="2:12" ht="16.5" x14ac:dyDescent="0.3">
      <c r="B278" s="10"/>
      <c r="C278" s="146" t="s">
        <v>1418</v>
      </c>
      <c r="D278" s="179" t="s">
        <v>1416</v>
      </c>
      <c r="E278" s="147" t="s">
        <v>1417</v>
      </c>
      <c r="F278" s="147">
        <v>1</v>
      </c>
      <c r="G278" s="135" t="s">
        <v>2235</v>
      </c>
      <c r="H278" s="135" t="s">
        <v>226</v>
      </c>
      <c r="I278" s="126">
        <v>56.96</v>
      </c>
      <c r="J278" s="126">
        <v>50579.939485000046</v>
      </c>
      <c r="K278" s="148">
        <v>56.020966183574885</v>
      </c>
      <c r="L278" s="15"/>
    </row>
    <row r="279" spans="2:12" ht="16.5" x14ac:dyDescent="0.3">
      <c r="B279" s="10"/>
      <c r="C279" s="146" t="s">
        <v>593</v>
      </c>
      <c r="D279" s="179" t="s">
        <v>586</v>
      </c>
      <c r="E279" s="147" t="s">
        <v>587</v>
      </c>
      <c r="F279" s="147" t="s">
        <v>594</v>
      </c>
      <c r="G279" s="135" t="s">
        <v>2002</v>
      </c>
      <c r="H279" s="135" t="s">
        <v>3</v>
      </c>
      <c r="I279" s="126">
        <v>13.571999999999999</v>
      </c>
      <c r="J279" s="126">
        <v>50593.511485000046</v>
      </c>
      <c r="K279" s="148">
        <v>56.09</v>
      </c>
      <c r="L279" s="15"/>
    </row>
    <row r="280" spans="2:12" ht="16.5" x14ac:dyDescent="0.3">
      <c r="B280" s="10"/>
      <c r="C280" s="146" t="s">
        <v>1255</v>
      </c>
      <c r="D280" s="179" t="s">
        <v>1252</v>
      </c>
      <c r="E280" s="147" t="s">
        <v>1253</v>
      </c>
      <c r="F280" s="180" t="s">
        <v>549</v>
      </c>
      <c r="G280" s="135" t="s">
        <v>2030</v>
      </c>
      <c r="H280" s="135" t="s">
        <v>3</v>
      </c>
      <c r="I280" s="126">
        <v>331.5</v>
      </c>
      <c r="J280" s="126">
        <v>50925.011485000046</v>
      </c>
      <c r="K280" s="148">
        <v>56.09</v>
      </c>
      <c r="L280" s="15"/>
    </row>
    <row r="281" spans="2:12" ht="16.5" x14ac:dyDescent="0.3">
      <c r="B281" s="10"/>
      <c r="C281" s="146" t="s">
        <v>1746</v>
      </c>
      <c r="D281" s="179" t="s">
        <v>40</v>
      </c>
      <c r="E281" s="147" t="s">
        <v>1720</v>
      </c>
      <c r="F281" s="147" t="s">
        <v>1747</v>
      </c>
      <c r="G281" s="135" t="s">
        <v>2043</v>
      </c>
      <c r="H281" s="135" t="s">
        <v>3</v>
      </c>
      <c r="I281" s="126">
        <v>35.1</v>
      </c>
      <c r="J281" s="126">
        <v>50960.111485000045</v>
      </c>
      <c r="K281" s="148">
        <v>56.09</v>
      </c>
      <c r="L281" s="15"/>
    </row>
    <row r="282" spans="2:12" ht="16.5" x14ac:dyDescent="0.3">
      <c r="B282" s="10"/>
      <c r="C282" s="146" t="s">
        <v>1790</v>
      </c>
      <c r="D282" s="179" t="s">
        <v>458</v>
      </c>
      <c r="E282" s="147" t="s">
        <v>1791</v>
      </c>
      <c r="F282" s="180" t="s">
        <v>1793</v>
      </c>
      <c r="G282" s="135" t="s">
        <v>2047</v>
      </c>
      <c r="H282" s="135" t="s">
        <v>3</v>
      </c>
      <c r="I282" s="126">
        <v>139.62</v>
      </c>
      <c r="J282" s="126">
        <v>51099.731485000048</v>
      </c>
      <c r="K282" s="148">
        <v>56.09</v>
      </c>
      <c r="L282" s="15"/>
    </row>
    <row r="283" spans="2:12" ht="16.5" x14ac:dyDescent="0.3">
      <c r="B283" s="10"/>
      <c r="C283" s="146" t="s">
        <v>159</v>
      </c>
      <c r="D283" s="179" t="s">
        <v>160</v>
      </c>
      <c r="E283" s="147" t="s">
        <v>158</v>
      </c>
      <c r="F283" s="180" t="s">
        <v>140</v>
      </c>
      <c r="G283" s="135" t="s">
        <v>1991</v>
      </c>
      <c r="H283" s="135" t="s">
        <v>3</v>
      </c>
      <c r="I283" s="126">
        <v>559.26</v>
      </c>
      <c r="J283" s="126">
        <v>51658.99148500005</v>
      </c>
      <c r="K283" s="148">
        <v>56.452847682119206</v>
      </c>
      <c r="L283" s="15"/>
    </row>
    <row r="284" spans="2:12" ht="16.5" x14ac:dyDescent="0.3">
      <c r="B284" s="10"/>
      <c r="C284" s="146" t="s">
        <v>211</v>
      </c>
      <c r="D284" s="179" t="s">
        <v>208</v>
      </c>
      <c r="E284" s="147" t="s">
        <v>212</v>
      </c>
      <c r="F284" s="147"/>
      <c r="G284" s="135" t="s">
        <v>2128</v>
      </c>
      <c r="H284" s="135" t="s">
        <v>226</v>
      </c>
      <c r="I284" s="126">
        <v>125.045</v>
      </c>
      <c r="J284" s="126">
        <v>51784.036485000048</v>
      </c>
      <c r="K284" s="148">
        <v>56.499220272904481</v>
      </c>
      <c r="L284" s="15"/>
    </row>
    <row r="285" spans="2:12" ht="16.5" x14ac:dyDescent="0.3">
      <c r="B285" s="10"/>
      <c r="C285" s="146" t="s">
        <v>277</v>
      </c>
      <c r="D285" s="179" t="s">
        <v>278</v>
      </c>
      <c r="E285" s="147" t="s">
        <v>279</v>
      </c>
      <c r="F285" s="147"/>
      <c r="G285" s="135" t="s">
        <v>280</v>
      </c>
      <c r="H285" s="135" t="s">
        <v>226</v>
      </c>
      <c r="I285" s="126">
        <v>142.4</v>
      </c>
      <c r="J285" s="126">
        <v>51926.436485000049</v>
      </c>
      <c r="K285" s="148">
        <v>56.499220272904481</v>
      </c>
      <c r="L285" s="15"/>
    </row>
    <row r="286" spans="2:12" ht="16.5" x14ac:dyDescent="0.3">
      <c r="B286" s="10"/>
      <c r="C286" s="146" t="s">
        <v>1138</v>
      </c>
      <c r="D286" s="179" t="s">
        <v>1133</v>
      </c>
      <c r="E286" s="147" t="s">
        <v>1139</v>
      </c>
      <c r="F286" s="147" t="s">
        <v>576</v>
      </c>
      <c r="G286" s="135" t="s">
        <v>2212</v>
      </c>
      <c r="H286" s="135" t="s">
        <v>226</v>
      </c>
      <c r="I286" s="126">
        <v>31.150000000000002</v>
      </c>
      <c r="J286" s="126">
        <v>51957.586485000051</v>
      </c>
      <c r="K286" s="148">
        <v>56.499220272904481</v>
      </c>
      <c r="L286" s="15"/>
    </row>
    <row r="287" spans="2:12" ht="16.5" x14ac:dyDescent="0.3">
      <c r="B287" s="10"/>
      <c r="C287" s="146" t="s">
        <v>1140</v>
      </c>
      <c r="D287" s="179" t="s">
        <v>1141</v>
      </c>
      <c r="E287" s="147" t="s">
        <v>1139</v>
      </c>
      <c r="F287" s="180" t="s">
        <v>578</v>
      </c>
      <c r="G287" s="135" t="s">
        <v>2212</v>
      </c>
      <c r="H287" s="135" t="s">
        <v>226</v>
      </c>
      <c r="I287" s="126">
        <v>31.150000000000002</v>
      </c>
      <c r="J287" s="126">
        <v>51988.736485000052</v>
      </c>
      <c r="K287" s="148">
        <v>56.499220272904481</v>
      </c>
      <c r="L287" s="15"/>
    </row>
    <row r="288" spans="2:12" ht="16.5" x14ac:dyDescent="0.3">
      <c r="B288" s="10"/>
      <c r="C288" s="146" t="s">
        <v>1142</v>
      </c>
      <c r="D288" s="179" t="s">
        <v>1133</v>
      </c>
      <c r="E288" s="147" t="s">
        <v>1139</v>
      </c>
      <c r="F288" s="147" t="s">
        <v>1143</v>
      </c>
      <c r="G288" s="135" t="s">
        <v>2212</v>
      </c>
      <c r="H288" s="135" t="s">
        <v>226</v>
      </c>
      <c r="I288" s="126">
        <v>32.93</v>
      </c>
      <c r="J288" s="126">
        <v>52021.666485000052</v>
      </c>
      <c r="K288" s="148">
        <v>56.499220272904481</v>
      </c>
      <c r="L288" s="15"/>
    </row>
    <row r="289" spans="2:12" ht="16.5" x14ac:dyDescent="0.3">
      <c r="B289" s="10"/>
      <c r="C289" s="146" t="s">
        <v>1630</v>
      </c>
      <c r="D289" s="179" t="s">
        <v>1631</v>
      </c>
      <c r="E289" s="147" t="s">
        <v>1632</v>
      </c>
      <c r="F289" s="147"/>
      <c r="G289" s="135" t="s">
        <v>2039</v>
      </c>
      <c r="H289" s="135" t="s">
        <v>226</v>
      </c>
      <c r="I289" s="126">
        <v>108.58</v>
      </c>
      <c r="J289" s="126">
        <v>52130.246485000054</v>
      </c>
      <c r="K289" s="148">
        <v>56.499220272904481</v>
      </c>
      <c r="L289" s="15"/>
    </row>
    <row r="290" spans="2:12" ht="16.5" x14ac:dyDescent="0.3">
      <c r="B290" s="10"/>
      <c r="C290" s="146" t="s">
        <v>1410</v>
      </c>
      <c r="D290" s="179" t="s">
        <v>1411</v>
      </c>
      <c r="E290" s="147"/>
      <c r="F290" s="180"/>
      <c r="G290" s="135" t="s">
        <v>2445</v>
      </c>
      <c r="H290" s="135" t="s">
        <v>3</v>
      </c>
      <c r="I290" s="126">
        <v>14.43</v>
      </c>
      <c r="J290" s="126">
        <v>52144.676485000055</v>
      </c>
      <c r="K290" s="148">
        <v>56.82053333333333</v>
      </c>
      <c r="L290" s="15"/>
    </row>
    <row r="291" spans="2:12" ht="16.5" x14ac:dyDescent="0.3">
      <c r="B291" s="10"/>
      <c r="C291" s="146"/>
      <c r="D291" s="179" t="s">
        <v>1980</v>
      </c>
      <c r="E291" s="147"/>
      <c r="F291" s="180"/>
      <c r="G291" s="135"/>
      <c r="H291" s="135" t="s">
        <v>3</v>
      </c>
      <c r="I291" s="126">
        <v>11.154000000000002</v>
      </c>
      <c r="J291" s="126">
        <v>52155.830485000057</v>
      </c>
      <c r="K291" s="148">
        <v>56.82053333333333</v>
      </c>
      <c r="L291" s="15"/>
    </row>
    <row r="292" spans="2:12" ht="16.5" x14ac:dyDescent="0.3">
      <c r="B292" s="10"/>
      <c r="C292" s="146" t="s">
        <v>1921</v>
      </c>
      <c r="D292" s="179" t="s">
        <v>1917</v>
      </c>
      <c r="E292" s="147" t="s">
        <v>1918</v>
      </c>
      <c r="F292" s="147" t="s">
        <v>1922</v>
      </c>
      <c r="G292" s="135" t="s">
        <v>2234</v>
      </c>
      <c r="H292" s="135" t="s">
        <v>226</v>
      </c>
      <c r="I292" s="126">
        <v>22.25</v>
      </c>
      <c r="J292" s="126">
        <v>52178.080485000057</v>
      </c>
      <c r="K292" s="148">
        <v>56.985939036381517</v>
      </c>
      <c r="L292" s="15"/>
    </row>
    <row r="293" spans="2:12" ht="16.5" x14ac:dyDescent="0.3">
      <c r="B293" s="10"/>
      <c r="C293" s="146" t="s">
        <v>1089</v>
      </c>
      <c r="D293" s="179" t="s">
        <v>1090</v>
      </c>
      <c r="E293" s="147" t="s">
        <v>1091</v>
      </c>
      <c r="F293" s="180" t="s">
        <v>1094</v>
      </c>
      <c r="G293" s="135" t="s">
        <v>2206</v>
      </c>
      <c r="H293" s="135" t="s">
        <v>226</v>
      </c>
      <c r="I293" s="126">
        <v>11.667899999999999</v>
      </c>
      <c r="J293" s="126">
        <v>52189.748385000057</v>
      </c>
      <c r="K293" s="148">
        <v>56.985939036381517</v>
      </c>
      <c r="L293" s="15"/>
    </row>
    <row r="294" spans="2:12" ht="16.5" x14ac:dyDescent="0.3">
      <c r="B294" s="10"/>
      <c r="C294" s="146" t="s">
        <v>326</v>
      </c>
      <c r="D294" s="179" t="s">
        <v>314</v>
      </c>
      <c r="E294" s="147" t="s">
        <v>295</v>
      </c>
      <c r="F294" s="147" t="s">
        <v>327</v>
      </c>
      <c r="G294" s="135" t="s">
        <v>1999</v>
      </c>
      <c r="H294" s="135" t="s">
        <v>3</v>
      </c>
      <c r="I294" s="126">
        <v>236.34</v>
      </c>
      <c r="J294" s="126">
        <v>52426.088385000054</v>
      </c>
      <c r="K294" s="148">
        <v>57.193154362416109</v>
      </c>
      <c r="L294" s="15"/>
    </row>
    <row r="295" spans="2:12" ht="16.5" x14ac:dyDescent="0.3">
      <c r="B295" s="10"/>
      <c r="C295" s="146" t="s">
        <v>1281</v>
      </c>
      <c r="D295" s="179" t="s">
        <v>1282</v>
      </c>
      <c r="E295" s="147" t="s">
        <v>1283</v>
      </c>
      <c r="F295" s="147" t="s">
        <v>1286</v>
      </c>
      <c r="G295" s="135" t="s">
        <v>2009</v>
      </c>
      <c r="H295" s="135" t="s">
        <v>226</v>
      </c>
      <c r="I295" s="126">
        <v>10.146000000000001</v>
      </c>
      <c r="J295" s="126">
        <v>52436.234385000054</v>
      </c>
      <c r="K295" s="148">
        <v>57.481349206349208</v>
      </c>
      <c r="L295" s="15"/>
    </row>
    <row r="296" spans="2:12" ht="16.5" x14ac:dyDescent="0.3">
      <c r="B296" s="10"/>
      <c r="C296" s="146" t="s">
        <v>1857</v>
      </c>
      <c r="D296" s="179" t="s">
        <v>278</v>
      </c>
      <c r="E296" s="147" t="s">
        <v>1856</v>
      </c>
      <c r="F296" s="147">
        <v>1</v>
      </c>
      <c r="G296" s="135" t="s">
        <v>2053</v>
      </c>
      <c r="H296" s="135" t="s">
        <v>3</v>
      </c>
      <c r="I296" s="126">
        <v>590.46</v>
      </c>
      <c r="J296" s="126">
        <v>53026.694385000053</v>
      </c>
      <c r="K296" s="148">
        <v>58.341643835616438</v>
      </c>
      <c r="L296" s="15"/>
    </row>
    <row r="297" spans="2:12" ht="16.5" x14ac:dyDescent="0.3">
      <c r="B297" s="10"/>
      <c r="C297" s="146" t="s">
        <v>1146</v>
      </c>
      <c r="D297" s="179" t="s">
        <v>1133</v>
      </c>
      <c r="E297" s="147" t="s">
        <v>1139</v>
      </c>
      <c r="F297" s="147" t="s">
        <v>1147</v>
      </c>
      <c r="G297" s="135" t="s">
        <v>2212</v>
      </c>
      <c r="H297" s="135" t="s">
        <v>226</v>
      </c>
      <c r="I297" s="126">
        <v>7.7429999999999994</v>
      </c>
      <c r="J297" s="126">
        <v>53034.437385000056</v>
      </c>
      <c r="K297" s="148">
        <v>58.499191919191922</v>
      </c>
      <c r="L297" s="15"/>
    </row>
    <row r="298" spans="2:12" ht="16.5" x14ac:dyDescent="0.3">
      <c r="B298" s="10"/>
      <c r="C298" s="146" t="s">
        <v>1533</v>
      </c>
      <c r="D298" s="179" t="s">
        <v>208</v>
      </c>
      <c r="E298" s="147" t="s">
        <v>1534</v>
      </c>
      <c r="F298" s="147"/>
      <c r="G298" s="135">
        <v>1975</v>
      </c>
      <c r="H298" s="135" t="s">
        <v>3</v>
      </c>
      <c r="I298" s="126">
        <v>61.620000000000005</v>
      </c>
      <c r="J298" s="126">
        <v>53096.057385000058</v>
      </c>
      <c r="K298" s="148">
        <v>59.53832167832168</v>
      </c>
      <c r="L298" s="15"/>
    </row>
    <row r="299" spans="2:12" ht="16.5" x14ac:dyDescent="0.3">
      <c r="B299" s="10"/>
      <c r="C299" s="146" t="s">
        <v>1085</v>
      </c>
      <c r="D299" s="179" t="s">
        <v>1080</v>
      </c>
      <c r="E299" s="147" t="s">
        <v>1086</v>
      </c>
      <c r="F299" s="180"/>
      <c r="G299" s="135" t="s">
        <v>2026</v>
      </c>
      <c r="H299" s="135" t="s">
        <v>3</v>
      </c>
      <c r="I299" s="126">
        <v>85.8</v>
      </c>
      <c r="J299" s="126">
        <v>53181.857385000061</v>
      </c>
      <c r="K299" s="148">
        <v>60.364397163120572</v>
      </c>
      <c r="L299" s="15"/>
    </row>
    <row r="300" spans="2:12" ht="16.5" x14ac:dyDescent="0.3">
      <c r="B300" s="10"/>
      <c r="C300" s="146" t="s">
        <v>1716</v>
      </c>
      <c r="D300" s="179" t="s">
        <v>1712</v>
      </c>
      <c r="E300" s="147" t="s">
        <v>1713</v>
      </c>
      <c r="F300" s="147" t="s">
        <v>1717</v>
      </c>
      <c r="G300" s="135" t="s">
        <v>2041</v>
      </c>
      <c r="H300" s="135" t="s">
        <v>3</v>
      </c>
      <c r="I300" s="126">
        <v>19.336200000000002</v>
      </c>
      <c r="J300" s="126">
        <v>53201.193585000059</v>
      </c>
      <c r="K300" s="148">
        <v>60.786285714285711</v>
      </c>
      <c r="L300" s="15"/>
    </row>
    <row r="301" spans="2:12" ht="16.5" x14ac:dyDescent="0.3">
      <c r="B301" s="10"/>
      <c r="C301" s="146" t="s">
        <v>197</v>
      </c>
      <c r="D301" s="179" t="s">
        <v>163</v>
      </c>
      <c r="E301" s="147" t="s">
        <v>164</v>
      </c>
      <c r="F301" s="147" t="s">
        <v>198</v>
      </c>
      <c r="G301" s="135" t="s">
        <v>1992</v>
      </c>
      <c r="H301" s="135" t="s">
        <v>3</v>
      </c>
      <c r="I301" s="126">
        <v>96.72</v>
      </c>
      <c r="J301" s="126">
        <v>53297.91358500006</v>
      </c>
      <c r="K301" s="148">
        <v>61.214244604316548</v>
      </c>
      <c r="L301" s="15"/>
    </row>
    <row r="302" spans="2:12" ht="16.5" x14ac:dyDescent="0.3">
      <c r="B302" s="10"/>
      <c r="C302" s="146" t="s">
        <v>694</v>
      </c>
      <c r="D302" s="179" t="s">
        <v>278</v>
      </c>
      <c r="E302" s="147" t="s">
        <v>695</v>
      </c>
      <c r="F302" s="147" t="s">
        <v>142</v>
      </c>
      <c r="G302" s="135" t="s">
        <v>1992</v>
      </c>
      <c r="H302" s="135" t="s">
        <v>3</v>
      </c>
      <c r="I302" s="126">
        <v>269.10000000000002</v>
      </c>
      <c r="J302" s="126">
        <v>53567.013585000059</v>
      </c>
      <c r="K302" s="148">
        <v>61.214244604316548</v>
      </c>
      <c r="L302" s="15"/>
    </row>
    <row r="303" spans="2:12" ht="16.5" x14ac:dyDescent="0.3">
      <c r="B303" s="10"/>
      <c r="C303" s="146" t="s">
        <v>697</v>
      </c>
      <c r="D303" s="179" t="s">
        <v>278</v>
      </c>
      <c r="E303" s="147" t="s">
        <v>695</v>
      </c>
      <c r="F303" s="147" t="s">
        <v>139</v>
      </c>
      <c r="G303" s="135" t="s">
        <v>2008</v>
      </c>
      <c r="H303" s="135" t="s">
        <v>3</v>
      </c>
      <c r="I303" s="126">
        <v>269.10000000000002</v>
      </c>
      <c r="J303" s="126">
        <v>53836.113585000057</v>
      </c>
      <c r="K303" s="148">
        <v>61.648405797101454</v>
      </c>
      <c r="L303" s="15"/>
    </row>
    <row r="304" spans="2:12" ht="16.5" x14ac:dyDescent="0.3">
      <c r="B304" s="10"/>
      <c r="C304" s="146" t="s">
        <v>1552</v>
      </c>
      <c r="D304" s="179" t="s">
        <v>1544</v>
      </c>
      <c r="E304" s="147" t="s">
        <v>1553</v>
      </c>
      <c r="F304" s="147" t="s">
        <v>1553</v>
      </c>
      <c r="G304" s="135" t="s">
        <v>2248</v>
      </c>
      <c r="H304" s="135" t="s">
        <v>226</v>
      </c>
      <c r="I304" s="126">
        <v>8.1879999999999988</v>
      </c>
      <c r="J304" s="126">
        <v>53844.301585000059</v>
      </c>
      <c r="K304" s="148">
        <v>62.809430682312041</v>
      </c>
      <c r="L304" s="15"/>
    </row>
    <row r="305" spans="2:12" ht="16.5" x14ac:dyDescent="0.3">
      <c r="B305" s="10"/>
      <c r="C305" s="146" t="s">
        <v>1554</v>
      </c>
      <c r="D305" s="179" t="s">
        <v>1544</v>
      </c>
      <c r="E305" s="147" t="s">
        <v>1555</v>
      </c>
      <c r="F305" s="147" t="s">
        <v>1555</v>
      </c>
      <c r="G305" s="135" t="s">
        <v>2249</v>
      </c>
      <c r="H305" s="135" t="s">
        <v>226</v>
      </c>
      <c r="I305" s="126">
        <v>3.827</v>
      </c>
      <c r="J305" s="126">
        <v>53848.128585000057</v>
      </c>
      <c r="K305" s="148">
        <v>62.996512641673931</v>
      </c>
      <c r="L305" s="15"/>
    </row>
    <row r="306" spans="2:12" ht="16.5" x14ac:dyDescent="0.3">
      <c r="B306" s="10"/>
      <c r="C306" s="146" t="s">
        <v>1527</v>
      </c>
      <c r="D306" s="179" t="s">
        <v>1528</v>
      </c>
      <c r="E306" s="147" t="s">
        <v>1529</v>
      </c>
      <c r="F306" s="147" t="s">
        <v>1532</v>
      </c>
      <c r="G306" s="135" t="s">
        <v>2244</v>
      </c>
      <c r="H306" s="135" t="s">
        <v>226</v>
      </c>
      <c r="I306" s="126">
        <v>8.7576000000000001</v>
      </c>
      <c r="J306" s="126">
        <v>53856.886185000054</v>
      </c>
      <c r="K306" s="148">
        <v>63.184739833843466</v>
      </c>
      <c r="L306" s="15"/>
    </row>
    <row r="307" spans="2:12" ht="16.5" x14ac:dyDescent="0.3">
      <c r="B307" s="10"/>
      <c r="C307" s="146" t="s">
        <v>1549</v>
      </c>
      <c r="D307" s="179" t="s">
        <v>1544</v>
      </c>
      <c r="E307" s="147" t="s">
        <v>1550</v>
      </c>
      <c r="F307" s="147" t="s">
        <v>1551</v>
      </c>
      <c r="G307" s="135" t="s">
        <v>2247</v>
      </c>
      <c r="H307" s="135" t="s">
        <v>226</v>
      </c>
      <c r="I307" s="126">
        <v>8.7309000000000001</v>
      </c>
      <c r="J307" s="126">
        <v>53865.617085000056</v>
      </c>
      <c r="K307" s="148">
        <v>63.184739833843466</v>
      </c>
      <c r="L307" s="15"/>
    </row>
    <row r="308" spans="2:12" ht="16.5" x14ac:dyDescent="0.3">
      <c r="B308" s="10"/>
      <c r="C308" s="146" t="s">
        <v>1054</v>
      </c>
      <c r="D308" s="179" t="s">
        <v>1055</v>
      </c>
      <c r="E308" s="147"/>
      <c r="F308" s="147"/>
      <c r="G308" s="135" t="s">
        <v>2454</v>
      </c>
      <c r="H308" s="135" t="s">
        <v>226</v>
      </c>
      <c r="I308" s="126">
        <v>20.737000000000002</v>
      </c>
      <c r="J308" s="126">
        <v>53886.354085000057</v>
      </c>
      <c r="K308" s="148">
        <v>63.374122807017542</v>
      </c>
      <c r="L308" s="15"/>
    </row>
    <row r="309" spans="2:12" ht="16.5" x14ac:dyDescent="0.3">
      <c r="B309" s="10"/>
      <c r="C309" s="146" t="s">
        <v>1123</v>
      </c>
      <c r="D309" s="179" t="s">
        <v>1124</v>
      </c>
      <c r="E309" s="147"/>
      <c r="F309" s="147"/>
      <c r="G309" s="135" t="s">
        <v>2456</v>
      </c>
      <c r="H309" s="135" t="s">
        <v>226</v>
      </c>
      <c r="I309" s="126">
        <v>32.04</v>
      </c>
      <c r="J309" s="126">
        <v>53918.394085000058</v>
      </c>
      <c r="K309" s="148">
        <v>63.374122807017542</v>
      </c>
      <c r="L309" s="15"/>
    </row>
    <row r="310" spans="2:12" ht="16.5" x14ac:dyDescent="0.3">
      <c r="B310" s="10"/>
      <c r="C310" s="146" t="s">
        <v>1959</v>
      </c>
      <c r="D310" s="179" t="s">
        <v>1960</v>
      </c>
      <c r="E310" s="147"/>
      <c r="F310" s="147"/>
      <c r="G310" s="135" t="s">
        <v>2447</v>
      </c>
      <c r="H310" s="135" t="s">
        <v>226</v>
      </c>
      <c r="I310" s="126">
        <v>11.481</v>
      </c>
      <c r="J310" s="126">
        <v>53929.875085000058</v>
      </c>
      <c r="K310" s="148">
        <v>63.374122807017542</v>
      </c>
      <c r="L310" s="15"/>
    </row>
    <row r="311" spans="2:12" ht="16.5" x14ac:dyDescent="0.3">
      <c r="B311" s="10"/>
      <c r="C311" s="146" t="s">
        <v>338</v>
      </c>
      <c r="D311" s="179" t="s">
        <v>339</v>
      </c>
      <c r="E311" s="147"/>
      <c r="F311" s="147"/>
      <c r="G311" s="135" t="s">
        <v>2448</v>
      </c>
      <c r="H311" s="135" t="s">
        <v>226</v>
      </c>
      <c r="I311" s="126">
        <v>15.219000000000001</v>
      </c>
      <c r="J311" s="126">
        <v>53945.094085000055</v>
      </c>
      <c r="K311" s="148">
        <v>63.374122807017542</v>
      </c>
      <c r="L311" s="15"/>
    </row>
    <row r="312" spans="2:12" ht="16.5" x14ac:dyDescent="0.3">
      <c r="B312" s="10"/>
      <c r="C312" s="146" t="s">
        <v>826</v>
      </c>
      <c r="D312" s="179" t="s">
        <v>827</v>
      </c>
      <c r="E312" s="147"/>
      <c r="F312" s="147"/>
      <c r="G312" s="135" t="s">
        <v>2455</v>
      </c>
      <c r="H312" s="135" t="s">
        <v>226</v>
      </c>
      <c r="I312" s="126">
        <v>26.878</v>
      </c>
      <c r="J312" s="126">
        <v>53971.972085000052</v>
      </c>
      <c r="K312" s="148">
        <v>63.374122807017542</v>
      </c>
      <c r="L312" s="15"/>
    </row>
    <row r="313" spans="2:12" ht="16.5" x14ac:dyDescent="0.3">
      <c r="B313" s="10"/>
      <c r="C313" s="146" t="s">
        <v>444</v>
      </c>
      <c r="D313" s="179" t="s">
        <v>439</v>
      </c>
      <c r="E313" s="147" t="s">
        <v>445</v>
      </c>
      <c r="F313" s="147" t="s">
        <v>445</v>
      </c>
      <c r="G313" s="135" t="s">
        <v>2453</v>
      </c>
      <c r="H313" s="135" t="s">
        <v>226</v>
      </c>
      <c r="I313" s="126">
        <v>10.234999999999999</v>
      </c>
      <c r="J313" s="126">
        <v>53982.207085000053</v>
      </c>
      <c r="K313" s="148">
        <v>63.374122807017542</v>
      </c>
      <c r="L313" s="15"/>
    </row>
    <row r="314" spans="2:12" ht="16.5" x14ac:dyDescent="0.3">
      <c r="B314" s="10"/>
      <c r="C314" s="146" t="s">
        <v>397</v>
      </c>
      <c r="D314" s="179" t="s">
        <v>398</v>
      </c>
      <c r="E314" s="147" t="s">
        <v>399</v>
      </c>
      <c r="F314" s="147"/>
      <c r="G314" s="135" t="s">
        <v>401</v>
      </c>
      <c r="H314" s="135" t="s">
        <v>226</v>
      </c>
      <c r="I314" s="126">
        <v>15.397</v>
      </c>
      <c r="J314" s="126">
        <v>53997.60408500005</v>
      </c>
      <c r="K314" s="148">
        <v>63.374122807017542</v>
      </c>
      <c r="L314" s="15"/>
    </row>
    <row r="315" spans="2:12" ht="16.5" x14ac:dyDescent="0.3">
      <c r="B315" s="10"/>
      <c r="C315" s="146" t="s">
        <v>402</v>
      </c>
      <c r="D315" s="179" t="s">
        <v>398</v>
      </c>
      <c r="E315" s="147" t="s">
        <v>403</v>
      </c>
      <c r="F315" s="147"/>
      <c r="G315" s="135" t="s">
        <v>401</v>
      </c>
      <c r="H315" s="135" t="s">
        <v>226</v>
      </c>
      <c r="I315" s="126">
        <v>19.624500000000001</v>
      </c>
      <c r="J315" s="126">
        <v>54017.228585000048</v>
      </c>
      <c r="K315" s="148">
        <v>63.374122807017542</v>
      </c>
      <c r="L315" s="15"/>
    </row>
    <row r="316" spans="2:12" ht="16.5" x14ac:dyDescent="0.3">
      <c r="B316" s="10"/>
      <c r="C316" s="146" t="s">
        <v>1974</v>
      </c>
      <c r="D316" s="179" t="s">
        <v>1975</v>
      </c>
      <c r="E316" s="147" t="s">
        <v>1976</v>
      </c>
      <c r="F316" s="147" t="s">
        <v>1976</v>
      </c>
      <c r="G316" s="135" t="s">
        <v>2446</v>
      </c>
      <c r="H316" s="135" t="s">
        <v>226</v>
      </c>
      <c r="I316" s="126">
        <v>8.9</v>
      </c>
      <c r="J316" s="126">
        <v>54026.128585000049</v>
      </c>
      <c r="K316" s="148">
        <v>63.374122807017542</v>
      </c>
      <c r="L316" s="15"/>
    </row>
    <row r="317" spans="2:12" ht="16.5" x14ac:dyDescent="0.3">
      <c r="B317" s="10"/>
      <c r="C317" s="146" t="s">
        <v>1977</v>
      </c>
      <c r="D317" s="179" t="s">
        <v>423</v>
      </c>
      <c r="E317" s="147" t="s">
        <v>1978</v>
      </c>
      <c r="F317" s="147" t="s">
        <v>1978</v>
      </c>
      <c r="G317" s="135"/>
      <c r="H317" s="135" t="s">
        <v>226</v>
      </c>
      <c r="I317" s="126">
        <v>15.664000000000001</v>
      </c>
      <c r="J317" s="126">
        <v>54041.792585000047</v>
      </c>
      <c r="K317" s="148">
        <v>63.374122807017542</v>
      </c>
      <c r="L317" s="15"/>
    </row>
    <row r="318" spans="2:12" ht="16.5" x14ac:dyDescent="0.3">
      <c r="B318" s="10"/>
      <c r="C318" s="146" t="s">
        <v>998</v>
      </c>
      <c r="D318" s="179" t="s">
        <v>999</v>
      </c>
      <c r="E318" s="147" t="s">
        <v>1000</v>
      </c>
      <c r="F318" s="147"/>
      <c r="G318" s="135" t="s">
        <v>2199</v>
      </c>
      <c r="H318" s="135" t="s">
        <v>226</v>
      </c>
      <c r="I318" s="126">
        <v>130.38499999999999</v>
      </c>
      <c r="J318" s="126">
        <v>54172.177585000049</v>
      </c>
      <c r="K318" s="148">
        <v>63.578327832783273</v>
      </c>
      <c r="L318" s="15"/>
    </row>
    <row r="319" spans="2:12" ht="16.5" x14ac:dyDescent="0.3">
      <c r="B319" s="10"/>
      <c r="C319" s="146" t="s">
        <v>476</v>
      </c>
      <c r="D319" s="179" t="s">
        <v>477</v>
      </c>
      <c r="E319" s="147" t="s">
        <v>478</v>
      </c>
      <c r="F319" s="147" t="s">
        <v>140</v>
      </c>
      <c r="G319" s="135" t="s">
        <v>2314</v>
      </c>
      <c r="H319" s="135" t="s">
        <v>226</v>
      </c>
      <c r="I319" s="126">
        <v>269.67</v>
      </c>
      <c r="J319" s="126">
        <v>54441.847585000047</v>
      </c>
      <c r="K319" s="148">
        <v>64.199111111111108</v>
      </c>
      <c r="L319" s="15"/>
    </row>
    <row r="320" spans="2:12" ht="16.5" x14ac:dyDescent="0.3">
      <c r="B320" s="10"/>
      <c r="C320" s="146" t="s">
        <v>481</v>
      </c>
      <c r="D320" s="179" t="s">
        <v>477</v>
      </c>
      <c r="E320" s="147" t="s">
        <v>478</v>
      </c>
      <c r="F320" s="147" t="s">
        <v>139</v>
      </c>
      <c r="G320" s="135" t="s">
        <v>2315</v>
      </c>
      <c r="H320" s="135" t="s">
        <v>226</v>
      </c>
      <c r="I320" s="126">
        <v>269.67</v>
      </c>
      <c r="J320" s="126">
        <v>54711.517585000045</v>
      </c>
      <c r="K320" s="148">
        <v>64.199111111111108</v>
      </c>
      <c r="L320" s="15"/>
    </row>
    <row r="321" spans="2:12" ht="33" x14ac:dyDescent="0.3">
      <c r="B321" s="10"/>
      <c r="C321" s="146" t="s">
        <v>1210</v>
      </c>
      <c r="D321" s="179" t="s">
        <v>1186</v>
      </c>
      <c r="E321" s="147" t="s">
        <v>1211</v>
      </c>
      <c r="F321" s="180" t="s">
        <v>1213</v>
      </c>
      <c r="G321" s="135" t="s">
        <v>2324</v>
      </c>
      <c r="H321" s="135" t="s">
        <v>226</v>
      </c>
      <c r="I321" s="126">
        <v>77.875</v>
      </c>
      <c r="J321" s="126">
        <v>54789.392585000045</v>
      </c>
      <c r="K321" s="148">
        <v>64.199111111111108</v>
      </c>
      <c r="L321" s="15"/>
    </row>
    <row r="322" spans="2:12" ht="16.5" x14ac:dyDescent="0.3">
      <c r="B322" s="10"/>
      <c r="C322" s="146" t="s">
        <v>1312</v>
      </c>
      <c r="D322" s="179" t="s">
        <v>1313</v>
      </c>
      <c r="E322" s="147" t="s">
        <v>1314</v>
      </c>
      <c r="F322" s="147">
        <v>1</v>
      </c>
      <c r="G322" s="135" t="s">
        <v>2223</v>
      </c>
      <c r="H322" s="135" t="s">
        <v>226</v>
      </c>
      <c r="I322" s="126">
        <v>70.933000000000007</v>
      </c>
      <c r="J322" s="126">
        <v>54860.325585000042</v>
      </c>
      <c r="K322" s="148">
        <v>64.199111111111108</v>
      </c>
      <c r="L322" s="15"/>
    </row>
    <row r="323" spans="2:12" ht="16.5" x14ac:dyDescent="0.3">
      <c r="B323" s="10"/>
      <c r="C323" s="146" t="s">
        <v>1316</v>
      </c>
      <c r="D323" s="179" t="s">
        <v>1313</v>
      </c>
      <c r="E323" s="147" t="s">
        <v>1317</v>
      </c>
      <c r="F323" s="147">
        <v>1</v>
      </c>
      <c r="G323" s="135" t="s">
        <v>2224</v>
      </c>
      <c r="H323" s="135" t="s">
        <v>226</v>
      </c>
      <c r="I323" s="126">
        <v>87.131</v>
      </c>
      <c r="J323" s="126">
        <v>54947.456585000044</v>
      </c>
      <c r="K323" s="148">
        <v>64.199111111111108</v>
      </c>
      <c r="L323" s="15"/>
    </row>
    <row r="324" spans="2:12" ht="16.5" x14ac:dyDescent="0.3">
      <c r="B324" s="10"/>
      <c r="C324" s="146" t="s">
        <v>1318</v>
      </c>
      <c r="D324" s="179" t="s">
        <v>1313</v>
      </c>
      <c r="E324" s="147" t="s">
        <v>1319</v>
      </c>
      <c r="F324" s="180">
        <v>1</v>
      </c>
      <c r="G324" s="135" t="s">
        <v>2225</v>
      </c>
      <c r="H324" s="135" t="s">
        <v>226</v>
      </c>
      <c r="I324" s="126">
        <v>87.131</v>
      </c>
      <c r="J324" s="126">
        <v>55034.587585000045</v>
      </c>
      <c r="K324" s="148">
        <v>64.199111111111108</v>
      </c>
      <c r="L324" s="15"/>
    </row>
    <row r="325" spans="2:12" ht="16.5" x14ac:dyDescent="0.3">
      <c r="B325" s="10"/>
      <c r="C325" s="146" t="s">
        <v>1478</v>
      </c>
      <c r="D325" s="179" t="s">
        <v>1475</v>
      </c>
      <c r="E325" s="147" t="s">
        <v>1475</v>
      </c>
      <c r="F325" s="180" t="s">
        <v>1479</v>
      </c>
      <c r="G325" s="135" t="s">
        <v>2238</v>
      </c>
      <c r="H325" s="135" t="s">
        <v>226</v>
      </c>
      <c r="I325" s="126">
        <v>36.668000000000006</v>
      </c>
      <c r="J325" s="126">
        <v>55071.255585000043</v>
      </c>
      <c r="K325" s="148">
        <v>64.199111111111108</v>
      </c>
      <c r="L325" s="15"/>
    </row>
    <row r="326" spans="2:12" ht="16.5" x14ac:dyDescent="0.3">
      <c r="B326" s="10"/>
      <c r="C326" s="146" t="s">
        <v>1160</v>
      </c>
      <c r="D326" s="179" t="s">
        <v>1080</v>
      </c>
      <c r="E326" s="147" t="s">
        <v>1161</v>
      </c>
      <c r="F326" s="147"/>
      <c r="G326" s="135" t="s">
        <v>2027</v>
      </c>
      <c r="H326" s="135" t="s">
        <v>3</v>
      </c>
      <c r="I326" s="126">
        <v>80.34</v>
      </c>
      <c r="J326" s="126">
        <v>55151.595585000039</v>
      </c>
      <c r="K326" s="148">
        <v>64.391515151515151</v>
      </c>
      <c r="L326" s="15"/>
    </row>
    <row r="327" spans="2:12" ht="82.5" x14ac:dyDescent="0.3">
      <c r="B327" s="10"/>
      <c r="C327" s="146" t="s">
        <v>106</v>
      </c>
      <c r="D327" s="358" t="s">
        <v>107</v>
      </c>
      <c r="E327" s="147"/>
      <c r="F327" s="147"/>
      <c r="G327" s="135">
        <v>2006</v>
      </c>
      <c r="H327" s="135" t="s">
        <v>226</v>
      </c>
      <c r="I327" s="126">
        <v>9.5229999999999997</v>
      </c>
      <c r="J327" s="126">
        <v>55161.11858500004</v>
      </c>
      <c r="K327" s="148">
        <v>65.333936651583713</v>
      </c>
      <c r="L327" s="15"/>
    </row>
    <row r="328" spans="2:12" ht="16.5" x14ac:dyDescent="0.3">
      <c r="B328" s="10"/>
      <c r="C328" s="146" t="s">
        <v>1310</v>
      </c>
      <c r="D328" s="179" t="s">
        <v>1311</v>
      </c>
      <c r="E328" s="147"/>
      <c r="F328" s="180"/>
      <c r="G328" s="135" t="s">
        <v>2457</v>
      </c>
      <c r="H328" s="135" t="s">
        <v>226</v>
      </c>
      <c r="I328" s="126">
        <v>30.170999999999999</v>
      </c>
      <c r="J328" s="126">
        <v>55191.289585000042</v>
      </c>
      <c r="K328" s="148">
        <v>65.333936651583713</v>
      </c>
      <c r="L328" s="15"/>
    </row>
    <row r="329" spans="2:12" ht="33" x14ac:dyDescent="0.3">
      <c r="B329" s="10"/>
      <c r="C329" s="146" t="s">
        <v>1072</v>
      </c>
      <c r="D329" s="358" t="s">
        <v>117</v>
      </c>
      <c r="E329" s="147" t="s">
        <v>1073</v>
      </c>
      <c r="F329" s="147" t="s">
        <v>1074</v>
      </c>
      <c r="G329" s="135" t="s">
        <v>2205</v>
      </c>
      <c r="H329" s="135" t="s">
        <v>226</v>
      </c>
      <c r="I329" s="126">
        <v>12.46</v>
      </c>
      <c r="J329" s="126">
        <v>55203.749585000041</v>
      </c>
      <c r="K329" s="148">
        <v>65.536768043576942</v>
      </c>
      <c r="L329" s="15"/>
    </row>
    <row r="330" spans="2:12" ht="16.5" x14ac:dyDescent="0.3">
      <c r="B330" s="10"/>
      <c r="C330" s="146" t="s">
        <v>906</v>
      </c>
      <c r="D330" s="358" t="s">
        <v>128</v>
      </c>
      <c r="E330" s="147" t="s">
        <v>907</v>
      </c>
      <c r="F330" s="147" t="s">
        <v>907</v>
      </c>
      <c r="G330" s="135" t="s">
        <v>2099</v>
      </c>
      <c r="H330" s="135" t="s">
        <v>2</v>
      </c>
      <c r="I330" s="126">
        <v>85.26</v>
      </c>
      <c r="J330" s="126">
        <v>55289.009585000043</v>
      </c>
      <c r="K330" s="148">
        <v>66.632270916334662</v>
      </c>
      <c r="L330" s="15"/>
    </row>
    <row r="331" spans="2:12" ht="16.5" x14ac:dyDescent="0.3">
      <c r="B331" s="10"/>
      <c r="C331" s="146" t="s">
        <v>1381</v>
      </c>
      <c r="D331" s="179" t="s">
        <v>278</v>
      </c>
      <c r="E331" s="147" t="s">
        <v>1380</v>
      </c>
      <c r="F331" s="147">
        <v>2</v>
      </c>
      <c r="G331" s="135" t="s">
        <v>2053</v>
      </c>
      <c r="H331" s="135" t="s">
        <v>226</v>
      </c>
      <c r="I331" s="126">
        <v>391.6</v>
      </c>
      <c r="J331" s="126">
        <v>55680.609585000042</v>
      </c>
      <c r="K331" s="148">
        <v>66.811574074074073</v>
      </c>
      <c r="L331" s="15"/>
    </row>
    <row r="332" spans="2:12" ht="16.5" x14ac:dyDescent="0.3">
      <c r="B332" s="10"/>
      <c r="C332" s="146" t="s">
        <v>1079</v>
      </c>
      <c r="D332" s="179" t="s">
        <v>1080</v>
      </c>
      <c r="E332" s="147" t="s">
        <v>1081</v>
      </c>
      <c r="F332" s="147"/>
      <c r="G332" s="135" t="s">
        <v>2025</v>
      </c>
      <c r="H332" s="135" t="s">
        <v>3</v>
      </c>
      <c r="I332" s="126">
        <v>20.28</v>
      </c>
      <c r="J332" s="126">
        <v>55700.889585000041</v>
      </c>
      <c r="K332" s="148">
        <v>66.875433070866151</v>
      </c>
      <c r="L332" s="15"/>
    </row>
    <row r="333" spans="2:12" ht="33" x14ac:dyDescent="0.3">
      <c r="B333" s="10"/>
      <c r="C333" s="146" t="s">
        <v>986</v>
      </c>
      <c r="D333" s="358" t="s">
        <v>987</v>
      </c>
      <c r="E333" s="147"/>
      <c r="F333" s="147"/>
      <c r="G333" s="135" t="s">
        <v>2276</v>
      </c>
      <c r="H333" s="135" t="s">
        <v>226</v>
      </c>
      <c r="I333" s="126">
        <v>11.747999999999999</v>
      </c>
      <c r="J333" s="126">
        <v>55712.63758500004</v>
      </c>
      <c r="K333" s="148">
        <v>67.421962616822427</v>
      </c>
      <c r="L333" s="15"/>
    </row>
    <row r="334" spans="2:12" ht="16.5" x14ac:dyDescent="0.3">
      <c r="B334" s="10"/>
      <c r="C334" s="146" t="s">
        <v>1164</v>
      </c>
      <c r="D334" s="179" t="s">
        <v>160</v>
      </c>
      <c r="E334" s="147" t="s">
        <v>1165</v>
      </c>
      <c r="F334" s="147" t="s">
        <v>1167</v>
      </c>
      <c r="G334" s="135" t="s">
        <v>1788</v>
      </c>
      <c r="H334" s="135" t="s">
        <v>226</v>
      </c>
      <c r="I334" s="126">
        <v>103.24</v>
      </c>
      <c r="J334" s="126">
        <v>55815.877585000038</v>
      </c>
      <c r="K334" s="148">
        <v>68.201182033096927</v>
      </c>
      <c r="L334" s="15"/>
    </row>
    <row r="335" spans="2:12" ht="16.5" x14ac:dyDescent="0.3">
      <c r="B335" s="10"/>
      <c r="C335" s="146" t="s">
        <v>1172</v>
      </c>
      <c r="D335" s="179" t="s">
        <v>160</v>
      </c>
      <c r="E335" s="147" t="s">
        <v>1165</v>
      </c>
      <c r="F335" s="147" t="s">
        <v>1173</v>
      </c>
      <c r="G335" s="135" t="s">
        <v>1788</v>
      </c>
      <c r="H335" s="135" t="s">
        <v>226</v>
      </c>
      <c r="I335" s="126">
        <v>319.51</v>
      </c>
      <c r="J335" s="126">
        <v>56135.38758500004</v>
      </c>
      <c r="K335" s="148">
        <v>68.201182033096927</v>
      </c>
      <c r="L335" s="15"/>
    </row>
    <row r="336" spans="2:12" ht="16.5" x14ac:dyDescent="0.3">
      <c r="B336" s="10"/>
      <c r="C336" s="146" t="s">
        <v>1670</v>
      </c>
      <c r="D336" s="179" t="s">
        <v>1671</v>
      </c>
      <c r="E336" s="147" t="s">
        <v>1672</v>
      </c>
      <c r="F336" s="147"/>
      <c r="G336" s="135" t="s">
        <v>2259</v>
      </c>
      <c r="H336" s="135" t="s">
        <v>96</v>
      </c>
      <c r="I336" s="126">
        <v>17.355</v>
      </c>
      <c r="J336" s="126">
        <v>56152.742585000044</v>
      </c>
      <c r="K336" s="148">
        <v>68.758405379442848</v>
      </c>
      <c r="L336" s="15"/>
    </row>
    <row r="337" spans="2:12" ht="16.5" x14ac:dyDescent="0.3">
      <c r="B337" s="10"/>
      <c r="C337" s="146" t="s">
        <v>1168</v>
      </c>
      <c r="D337" s="179" t="s">
        <v>160</v>
      </c>
      <c r="E337" s="147" t="s">
        <v>1165</v>
      </c>
      <c r="F337" s="147" t="s">
        <v>1169</v>
      </c>
      <c r="G337" s="135" t="s">
        <v>2117</v>
      </c>
      <c r="H337" s="135" t="s">
        <v>226</v>
      </c>
      <c r="I337" s="126">
        <v>103.24</v>
      </c>
      <c r="J337" s="126">
        <v>56255.982585000042</v>
      </c>
      <c r="K337" s="148">
        <v>68.918399044205501</v>
      </c>
      <c r="L337" s="15"/>
    </row>
    <row r="338" spans="2:12" ht="16.5" x14ac:dyDescent="0.3">
      <c r="B338" s="10"/>
      <c r="C338" s="146" t="s">
        <v>1170</v>
      </c>
      <c r="D338" s="179" t="s">
        <v>160</v>
      </c>
      <c r="E338" s="147" t="s">
        <v>1165</v>
      </c>
      <c r="F338" s="147" t="s">
        <v>1171</v>
      </c>
      <c r="G338" s="135" t="s">
        <v>2117</v>
      </c>
      <c r="H338" s="135" t="s">
        <v>226</v>
      </c>
      <c r="I338" s="126">
        <v>319.51</v>
      </c>
      <c r="J338" s="126">
        <v>56575.492585000044</v>
      </c>
      <c r="K338" s="148">
        <v>68.918399044205501</v>
      </c>
      <c r="L338" s="15"/>
    </row>
    <row r="339" spans="2:12" ht="16.5" x14ac:dyDescent="0.3">
      <c r="B339" s="10"/>
      <c r="C339" s="146" t="s">
        <v>1379</v>
      </c>
      <c r="D339" s="179" t="s">
        <v>278</v>
      </c>
      <c r="E339" s="147" t="s">
        <v>1380</v>
      </c>
      <c r="F339" s="147">
        <v>1</v>
      </c>
      <c r="G339" s="135" t="s">
        <v>2117</v>
      </c>
      <c r="H339" s="135" t="s">
        <v>226</v>
      </c>
      <c r="I339" s="126">
        <v>340.87</v>
      </c>
      <c r="J339" s="126">
        <v>56916.362585000046</v>
      </c>
      <c r="K339" s="148">
        <v>68.918399044205501</v>
      </c>
      <c r="L339" s="15"/>
    </row>
    <row r="340" spans="2:12" ht="16.5" x14ac:dyDescent="0.3">
      <c r="B340" s="10"/>
      <c r="C340" s="146" t="s">
        <v>1829</v>
      </c>
      <c r="D340" s="179" t="s">
        <v>160</v>
      </c>
      <c r="E340" s="147" t="s">
        <v>161</v>
      </c>
      <c r="F340" s="147" t="s">
        <v>1830</v>
      </c>
      <c r="G340" s="135" t="s">
        <v>2117</v>
      </c>
      <c r="H340" s="135" t="s">
        <v>226</v>
      </c>
      <c r="I340" s="126">
        <v>48.95</v>
      </c>
      <c r="J340" s="126">
        <v>56965.312585000043</v>
      </c>
      <c r="K340" s="148">
        <v>68.918399044205501</v>
      </c>
      <c r="L340" s="15"/>
    </row>
    <row r="341" spans="2:12" ht="16.5" x14ac:dyDescent="0.3">
      <c r="B341" s="10"/>
      <c r="C341" s="146" t="s">
        <v>1831</v>
      </c>
      <c r="D341" s="179" t="s">
        <v>160</v>
      </c>
      <c r="E341" s="147" t="s">
        <v>161</v>
      </c>
      <c r="F341" s="147" t="s">
        <v>1832</v>
      </c>
      <c r="G341" s="135" t="s">
        <v>2117</v>
      </c>
      <c r="H341" s="135" t="s">
        <v>226</v>
      </c>
      <c r="I341" s="126">
        <v>48.95</v>
      </c>
      <c r="J341" s="126">
        <v>57014.26258500004</v>
      </c>
      <c r="K341" s="148">
        <v>68.918399044205501</v>
      </c>
      <c r="L341" s="15"/>
    </row>
    <row r="342" spans="2:12" ht="16.5" x14ac:dyDescent="0.3">
      <c r="B342" s="10"/>
      <c r="C342" s="146" t="s">
        <v>1833</v>
      </c>
      <c r="D342" s="179" t="s">
        <v>160</v>
      </c>
      <c r="E342" s="147" t="s">
        <v>161</v>
      </c>
      <c r="F342" s="147" t="s">
        <v>1834</v>
      </c>
      <c r="G342" s="135" t="s">
        <v>2117</v>
      </c>
      <c r="H342" s="135" t="s">
        <v>226</v>
      </c>
      <c r="I342" s="126">
        <v>315.95</v>
      </c>
      <c r="J342" s="126">
        <v>57330.212585000038</v>
      </c>
      <c r="K342" s="148">
        <v>68.918399044205501</v>
      </c>
      <c r="L342" s="15"/>
    </row>
    <row r="343" spans="2:12" ht="16.5" x14ac:dyDescent="0.3">
      <c r="B343" s="10"/>
      <c r="C343" s="146" t="s">
        <v>920</v>
      </c>
      <c r="D343" s="179" t="s">
        <v>918</v>
      </c>
      <c r="E343" s="147" t="s">
        <v>921</v>
      </c>
      <c r="F343" s="147"/>
      <c r="G343" s="135" t="s">
        <v>2193</v>
      </c>
      <c r="H343" s="135" t="s">
        <v>96</v>
      </c>
      <c r="I343" s="126">
        <v>85.885000000000005</v>
      </c>
      <c r="J343" s="126">
        <v>57416.09758500004</v>
      </c>
      <c r="K343" s="148">
        <v>69.615272373540847</v>
      </c>
      <c r="L343" s="15"/>
    </row>
    <row r="344" spans="2:12" ht="16.5" x14ac:dyDescent="0.3">
      <c r="B344" s="10"/>
      <c r="C344" s="146" t="s">
        <v>1682</v>
      </c>
      <c r="D344" s="179" t="s">
        <v>1683</v>
      </c>
      <c r="E344" s="147" t="s">
        <v>1684</v>
      </c>
      <c r="F344" s="147" t="s">
        <v>1687</v>
      </c>
      <c r="G344" s="135" t="s">
        <v>2261</v>
      </c>
      <c r="H344" s="135" t="s">
        <v>96</v>
      </c>
      <c r="I344" s="126">
        <v>27.340799999999998</v>
      </c>
      <c r="J344" s="126">
        <v>57443.438385000038</v>
      </c>
      <c r="K344" s="148">
        <v>69.615272373540847</v>
      </c>
      <c r="L344" s="15"/>
    </row>
    <row r="345" spans="2:12" ht="16.5" x14ac:dyDescent="0.3">
      <c r="B345" s="10"/>
      <c r="C345" s="146" t="s">
        <v>433</v>
      </c>
      <c r="D345" s="179" t="s">
        <v>434</v>
      </c>
      <c r="E345" s="147"/>
      <c r="F345" s="147"/>
      <c r="G345" s="135" t="s">
        <v>436</v>
      </c>
      <c r="H345" s="135" t="s">
        <v>226</v>
      </c>
      <c r="I345" s="126">
        <v>14.24</v>
      </c>
      <c r="J345" s="126">
        <v>57457.678385000036</v>
      </c>
      <c r="K345" s="148">
        <v>69.651207729468595</v>
      </c>
      <c r="L345" s="15"/>
    </row>
    <row r="346" spans="2:12" ht="16.5" x14ac:dyDescent="0.3">
      <c r="B346" s="10"/>
      <c r="C346" s="146" t="s">
        <v>281</v>
      </c>
      <c r="D346" s="179" t="s">
        <v>282</v>
      </c>
      <c r="E346" s="147" t="s">
        <v>283</v>
      </c>
      <c r="F346" s="147" t="s">
        <v>285</v>
      </c>
      <c r="G346" s="135" t="s">
        <v>2135</v>
      </c>
      <c r="H346" s="135" t="s">
        <v>226</v>
      </c>
      <c r="I346" s="126">
        <v>17.8</v>
      </c>
      <c r="J346" s="126">
        <v>57475.478385000039</v>
      </c>
      <c r="K346" s="148">
        <v>70.400122100122104</v>
      </c>
      <c r="L346" s="15"/>
    </row>
    <row r="347" spans="2:12" ht="16.5" x14ac:dyDescent="0.3">
      <c r="B347" s="10"/>
      <c r="C347" s="146" t="s">
        <v>1916</v>
      </c>
      <c r="D347" s="179" t="s">
        <v>1917</v>
      </c>
      <c r="E347" s="147" t="s">
        <v>1918</v>
      </c>
      <c r="F347" s="147" t="s">
        <v>1920</v>
      </c>
      <c r="G347" s="135" t="s">
        <v>2026</v>
      </c>
      <c r="H347" s="135" t="s">
        <v>226</v>
      </c>
      <c r="I347" s="126">
        <v>20.47</v>
      </c>
      <c r="J347" s="126">
        <v>57495.94838500004</v>
      </c>
      <c r="K347" s="148">
        <v>70.400122100122104</v>
      </c>
      <c r="L347" s="15"/>
    </row>
    <row r="348" spans="2:12" ht="16.5" x14ac:dyDescent="0.3">
      <c r="B348" s="10"/>
      <c r="C348" s="146" t="s">
        <v>657</v>
      </c>
      <c r="D348" s="179" t="s">
        <v>519</v>
      </c>
      <c r="E348" s="147" t="s">
        <v>658</v>
      </c>
      <c r="F348" s="147" t="s">
        <v>659</v>
      </c>
      <c r="G348" s="135" t="s">
        <v>2171</v>
      </c>
      <c r="H348" s="135" t="s">
        <v>226</v>
      </c>
      <c r="I348" s="126">
        <v>34.443000000000005</v>
      </c>
      <c r="J348" s="126">
        <v>57530.391385000039</v>
      </c>
      <c r="K348" s="148">
        <v>71.20009881422925</v>
      </c>
      <c r="L348" s="15"/>
    </row>
    <row r="349" spans="2:12" ht="16.5" x14ac:dyDescent="0.3">
      <c r="B349" s="10"/>
      <c r="C349" s="146" t="s">
        <v>1970</v>
      </c>
      <c r="D349" s="179" t="s">
        <v>40</v>
      </c>
      <c r="E349" s="147" t="s">
        <v>1971</v>
      </c>
      <c r="F349" s="147" t="s">
        <v>1972</v>
      </c>
      <c r="G349" s="135" t="s">
        <v>2283</v>
      </c>
      <c r="H349" s="135" t="s">
        <v>226</v>
      </c>
      <c r="I349" s="126">
        <v>25.944389999999999</v>
      </c>
      <c r="J349" s="126">
        <v>57556.335775000036</v>
      </c>
      <c r="K349" s="148">
        <v>71.20009881422925</v>
      </c>
      <c r="L349" s="15"/>
    </row>
    <row r="350" spans="2:12" ht="16.5" x14ac:dyDescent="0.3">
      <c r="B350" s="10"/>
      <c r="C350" s="146" t="s">
        <v>169</v>
      </c>
      <c r="D350" s="179" t="s">
        <v>163</v>
      </c>
      <c r="E350" s="147" t="s">
        <v>170</v>
      </c>
      <c r="F350" s="147" t="s">
        <v>170</v>
      </c>
      <c r="G350" s="135" t="s">
        <v>2124</v>
      </c>
      <c r="H350" s="135" t="s">
        <v>226</v>
      </c>
      <c r="I350" s="126">
        <v>145.96</v>
      </c>
      <c r="J350" s="126">
        <v>57702.295775000035</v>
      </c>
      <c r="K350" s="148">
        <v>71.390017339608619</v>
      </c>
      <c r="L350" s="15"/>
    </row>
    <row r="351" spans="2:12" ht="16.5" x14ac:dyDescent="0.3">
      <c r="B351" s="10"/>
      <c r="C351" s="146" t="s">
        <v>721</v>
      </c>
      <c r="D351" s="179" t="s">
        <v>722</v>
      </c>
      <c r="E351" s="147" t="s">
        <v>723</v>
      </c>
      <c r="F351" s="147"/>
      <c r="G351" s="135" t="s">
        <v>2178</v>
      </c>
      <c r="H351" s="135" t="s">
        <v>226</v>
      </c>
      <c r="I351" s="126">
        <v>26.7</v>
      </c>
      <c r="J351" s="126">
        <v>57728.995775000032</v>
      </c>
      <c r="K351" s="148">
        <v>71.390017339608619</v>
      </c>
      <c r="L351" s="15"/>
    </row>
    <row r="352" spans="2:12" ht="16.5" x14ac:dyDescent="0.3">
      <c r="B352" s="10"/>
      <c r="C352" s="146" t="s">
        <v>1100</v>
      </c>
      <c r="D352" s="179" t="s">
        <v>622</v>
      </c>
      <c r="E352" s="147" t="s">
        <v>1101</v>
      </c>
      <c r="F352" s="147" t="s">
        <v>1104</v>
      </c>
      <c r="G352" s="135" t="s">
        <v>2208</v>
      </c>
      <c r="H352" s="135" t="s">
        <v>226</v>
      </c>
      <c r="I352" s="126">
        <v>9.0779999999999994</v>
      </c>
      <c r="J352" s="126">
        <v>57738.073775000033</v>
      </c>
      <c r="K352" s="148">
        <v>71.390017339608619</v>
      </c>
      <c r="L352" s="15"/>
    </row>
    <row r="353" spans="2:12" ht="16.5" x14ac:dyDescent="0.3">
      <c r="B353" s="10"/>
      <c r="C353" s="146" t="s">
        <v>422</v>
      </c>
      <c r="D353" s="179" t="s">
        <v>423</v>
      </c>
      <c r="E353" s="147" t="s">
        <v>424</v>
      </c>
      <c r="F353" s="147" t="s">
        <v>427</v>
      </c>
      <c r="G353" s="135" t="s">
        <v>2148</v>
      </c>
      <c r="H353" s="135" t="s">
        <v>226</v>
      </c>
      <c r="I353" s="126">
        <v>14.24</v>
      </c>
      <c r="J353" s="126">
        <v>57752.313775000031</v>
      </c>
      <c r="K353" s="148">
        <v>71.390017339608619</v>
      </c>
      <c r="L353" s="15"/>
    </row>
    <row r="354" spans="2:12" ht="16.5" x14ac:dyDescent="0.3">
      <c r="B354" s="10"/>
      <c r="C354" s="146" t="s">
        <v>1267</v>
      </c>
      <c r="D354" s="179" t="s">
        <v>1260</v>
      </c>
      <c r="E354" s="147" t="s">
        <v>1268</v>
      </c>
      <c r="F354" s="147">
        <v>1</v>
      </c>
      <c r="G354" s="135" t="s">
        <v>2221</v>
      </c>
      <c r="H354" s="135" t="s">
        <v>226</v>
      </c>
      <c r="I354" s="126">
        <v>54.0764</v>
      </c>
      <c r="J354" s="126">
        <v>57806.39017500003</v>
      </c>
      <c r="K354" s="148">
        <v>71.580973671137599</v>
      </c>
      <c r="L354" s="15"/>
    </row>
    <row r="355" spans="2:12" ht="16.5" x14ac:dyDescent="0.3">
      <c r="B355" s="10"/>
      <c r="C355" s="146" t="s">
        <v>1021</v>
      </c>
      <c r="D355" s="179" t="s">
        <v>1013</v>
      </c>
      <c r="E355" s="147" t="s">
        <v>1022</v>
      </c>
      <c r="F355" s="147" t="s">
        <v>1023</v>
      </c>
      <c r="G355" s="135" t="s">
        <v>2204</v>
      </c>
      <c r="H355" s="135" t="s">
        <v>226</v>
      </c>
      <c r="I355" s="126">
        <v>409.31099999999998</v>
      </c>
      <c r="J355" s="126">
        <v>58215.701175000031</v>
      </c>
      <c r="K355" s="148">
        <v>71.580973671137599</v>
      </c>
      <c r="L355" s="15"/>
    </row>
    <row r="356" spans="2:12" ht="16.5" x14ac:dyDescent="0.3">
      <c r="B356" s="10"/>
      <c r="C356" s="146" t="s">
        <v>1599</v>
      </c>
      <c r="D356" s="179" t="s">
        <v>1600</v>
      </c>
      <c r="E356" s="147" t="s">
        <v>1601</v>
      </c>
      <c r="F356" s="147"/>
      <c r="G356" s="135">
        <v>2016</v>
      </c>
      <c r="H356" s="135" t="s">
        <v>226</v>
      </c>
      <c r="I356" s="126">
        <v>19.580000000000002</v>
      </c>
      <c r="J356" s="126">
        <v>58235.281175000033</v>
      </c>
      <c r="K356" s="148">
        <v>71.580973671137599</v>
      </c>
      <c r="L356" s="15"/>
    </row>
    <row r="357" spans="2:12" ht="16.5" x14ac:dyDescent="0.3">
      <c r="B357" s="10"/>
      <c r="C357" s="146" t="s">
        <v>1521</v>
      </c>
      <c r="D357" s="179" t="s">
        <v>423</v>
      </c>
      <c r="E357" s="147" t="s">
        <v>1519</v>
      </c>
      <c r="F357" s="147"/>
      <c r="G357" s="135" t="s">
        <v>2242</v>
      </c>
      <c r="H357" s="135" t="s">
        <v>226</v>
      </c>
      <c r="I357" s="126">
        <v>2.3584999999999998</v>
      </c>
      <c r="J357" s="126">
        <v>58237.639675000035</v>
      </c>
      <c r="K357" s="148">
        <v>71.580973671137599</v>
      </c>
      <c r="L357" s="15"/>
    </row>
    <row r="358" spans="2:12" ht="16.5" x14ac:dyDescent="0.3">
      <c r="B358" s="10"/>
      <c r="C358" s="146" t="s">
        <v>1968</v>
      </c>
      <c r="D358" s="179" t="s">
        <v>630</v>
      </c>
      <c r="E358" s="147" t="s">
        <v>1969</v>
      </c>
      <c r="F358" s="147"/>
      <c r="G358" s="135" t="s">
        <v>2138</v>
      </c>
      <c r="H358" s="135" t="s">
        <v>226</v>
      </c>
      <c r="I358" s="126">
        <v>25.81</v>
      </c>
      <c r="J358" s="126">
        <v>58263.449675000033</v>
      </c>
      <c r="K358" s="148">
        <v>71.580973671137599</v>
      </c>
      <c r="L358" s="15"/>
    </row>
    <row r="359" spans="2:12" ht="16.5" x14ac:dyDescent="0.3">
      <c r="B359" s="10"/>
      <c r="C359" s="146" t="s">
        <v>1618</v>
      </c>
      <c r="D359" s="179" t="s">
        <v>1614</v>
      </c>
      <c r="E359" s="147" t="s">
        <v>1619</v>
      </c>
      <c r="F359" s="147" t="s">
        <v>1620</v>
      </c>
      <c r="G359" s="135" t="s">
        <v>2256</v>
      </c>
      <c r="H359" s="135" t="s">
        <v>226</v>
      </c>
      <c r="I359" s="126">
        <v>67.64</v>
      </c>
      <c r="J359" s="126">
        <v>58331.089675000032</v>
      </c>
      <c r="K359" s="148">
        <v>71.966033966033962</v>
      </c>
      <c r="L359" s="15"/>
    </row>
    <row r="360" spans="2:12" ht="16.5" x14ac:dyDescent="0.3">
      <c r="B360" s="10"/>
      <c r="C360" s="146" t="s">
        <v>848</v>
      </c>
      <c r="D360" s="179" t="s">
        <v>256</v>
      </c>
      <c r="E360" s="147" t="s">
        <v>849</v>
      </c>
      <c r="F360" s="147" t="s">
        <v>852</v>
      </c>
      <c r="G360" s="135" t="s">
        <v>2187</v>
      </c>
      <c r="H360" s="135" t="s">
        <v>226</v>
      </c>
      <c r="I360" s="126">
        <v>16.820999999999998</v>
      </c>
      <c r="J360" s="126">
        <v>58347.910675000036</v>
      </c>
      <c r="K360" s="148">
        <v>71.966033966033962</v>
      </c>
      <c r="L360" s="15"/>
    </row>
    <row r="361" spans="2:12" ht="16.5" x14ac:dyDescent="0.3">
      <c r="B361" s="10"/>
      <c r="C361" s="146" t="s">
        <v>1874</v>
      </c>
      <c r="D361" s="179" t="s">
        <v>124</v>
      </c>
      <c r="E361" s="147" t="s">
        <v>1875</v>
      </c>
      <c r="F361" s="147"/>
      <c r="G361" s="135" t="s">
        <v>2279</v>
      </c>
      <c r="H361" s="135" t="s">
        <v>226</v>
      </c>
      <c r="I361" s="126">
        <v>9.2560000000000002</v>
      </c>
      <c r="J361" s="126">
        <v>58357.166675000037</v>
      </c>
      <c r="K361" s="148">
        <v>71.966033966033962</v>
      </c>
      <c r="L361" s="15"/>
    </row>
    <row r="362" spans="2:12" ht="16.5" x14ac:dyDescent="0.3">
      <c r="B362" s="10"/>
      <c r="C362" s="146" t="s">
        <v>1332</v>
      </c>
      <c r="D362" s="179" t="s">
        <v>1326</v>
      </c>
      <c r="E362" s="147" t="s">
        <v>1333</v>
      </c>
      <c r="F362" s="147"/>
      <c r="G362" s="135" t="s">
        <v>2228</v>
      </c>
      <c r="H362" s="135" t="s">
        <v>226</v>
      </c>
      <c r="I362" s="126">
        <v>14.952000000000002</v>
      </c>
      <c r="J362" s="126">
        <v>58372.118675000034</v>
      </c>
      <c r="K362" s="148">
        <v>71.966033966033962</v>
      </c>
      <c r="L362" s="15"/>
    </row>
    <row r="363" spans="2:12" ht="16.5" x14ac:dyDescent="0.3">
      <c r="B363" s="10"/>
      <c r="C363" s="146" t="s">
        <v>1603</v>
      </c>
      <c r="D363" s="179" t="s">
        <v>1604</v>
      </c>
      <c r="E363" s="147" t="s">
        <v>1605</v>
      </c>
      <c r="F363" s="147" t="s">
        <v>1607</v>
      </c>
      <c r="G363" s="135" t="s">
        <v>2326</v>
      </c>
      <c r="H363" s="135" t="s">
        <v>226</v>
      </c>
      <c r="I363" s="126">
        <v>84.105000000000004</v>
      </c>
      <c r="J363" s="126">
        <v>58456.223675000037</v>
      </c>
      <c r="K363" s="148">
        <v>72.03649999999999</v>
      </c>
      <c r="L363" s="15"/>
    </row>
    <row r="364" spans="2:12" ht="16.5" x14ac:dyDescent="0.3">
      <c r="B364" s="10"/>
      <c r="C364" s="146" t="s">
        <v>67</v>
      </c>
      <c r="D364" s="179"/>
      <c r="E364" s="147"/>
      <c r="F364" s="147"/>
      <c r="G364" s="135" t="s">
        <v>2449</v>
      </c>
      <c r="H364" s="135" t="s">
        <v>226</v>
      </c>
      <c r="I364" s="126">
        <v>24.875499999999999</v>
      </c>
      <c r="J364" s="126">
        <v>58481.099175000039</v>
      </c>
      <c r="K364" s="148">
        <v>72.03649999999999</v>
      </c>
      <c r="L364" s="15"/>
    </row>
    <row r="365" spans="2:12" ht="16.5" x14ac:dyDescent="0.3">
      <c r="B365" s="10"/>
      <c r="C365" s="146" t="s">
        <v>893</v>
      </c>
      <c r="D365" s="179" t="s">
        <v>894</v>
      </c>
      <c r="E365" s="147"/>
      <c r="F365" s="147"/>
      <c r="G365" s="135" t="s">
        <v>554</v>
      </c>
      <c r="H365" s="135" t="s">
        <v>226</v>
      </c>
      <c r="I365" s="126">
        <v>17.355</v>
      </c>
      <c r="J365" s="126">
        <v>58498.454175000043</v>
      </c>
      <c r="K365" s="148">
        <v>72.03649999999999</v>
      </c>
      <c r="L365" s="15"/>
    </row>
    <row r="366" spans="2:12" ht="16.5" x14ac:dyDescent="0.3">
      <c r="B366" s="10"/>
      <c r="C366" s="146" t="s">
        <v>243</v>
      </c>
      <c r="D366" s="179" t="s">
        <v>244</v>
      </c>
      <c r="E366" s="147" t="s">
        <v>245</v>
      </c>
      <c r="F366" s="147"/>
      <c r="G366" s="135" t="s">
        <v>2131</v>
      </c>
      <c r="H366" s="135" t="s">
        <v>226</v>
      </c>
      <c r="I366" s="126">
        <v>39.160000000000004</v>
      </c>
      <c r="J366" s="126">
        <v>58537.614175000046</v>
      </c>
      <c r="K366" s="148">
        <v>72.160155271725515</v>
      </c>
      <c r="L366" s="15"/>
    </row>
    <row r="367" spans="2:12" ht="16.5" x14ac:dyDescent="0.3">
      <c r="B367" s="10"/>
      <c r="C367" s="146" t="s">
        <v>264</v>
      </c>
      <c r="D367" s="179" t="s">
        <v>261</v>
      </c>
      <c r="E367" s="147" t="s">
        <v>262</v>
      </c>
      <c r="F367" s="147" t="s">
        <v>262</v>
      </c>
      <c r="G367" s="135" t="s">
        <v>2133</v>
      </c>
      <c r="H367" s="135" t="s">
        <v>226</v>
      </c>
      <c r="I367" s="126">
        <v>84.55</v>
      </c>
      <c r="J367" s="126">
        <v>58622.164175000049</v>
      </c>
      <c r="K367" s="148">
        <v>72.160155271725515</v>
      </c>
      <c r="L367" s="15"/>
    </row>
    <row r="368" spans="2:12" ht="16.5" x14ac:dyDescent="0.3">
      <c r="B368" s="10"/>
      <c r="C368" s="146" t="s">
        <v>1488</v>
      </c>
      <c r="D368" s="179" t="s">
        <v>875</v>
      </c>
      <c r="E368" s="147" t="s">
        <v>1489</v>
      </c>
      <c r="F368" s="147" t="s">
        <v>1489</v>
      </c>
      <c r="G368" s="135" t="s">
        <v>2028</v>
      </c>
      <c r="H368" s="135" t="s">
        <v>226</v>
      </c>
      <c r="I368" s="126">
        <v>31.150000000000002</v>
      </c>
      <c r="J368" s="126">
        <v>58653.31417500005</v>
      </c>
      <c r="K368" s="148">
        <v>72.160155271725515</v>
      </c>
      <c r="L368" s="15"/>
    </row>
    <row r="369" spans="2:12" ht="16.5" x14ac:dyDescent="0.3">
      <c r="B369" s="10"/>
      <c r="C369" s="146" t="s">
        <v>1491</v>
      </c>
      <c r="D369" s="179" t="s">
        <v>875</v>
      </c>
      <c r="E369" s="147" t="s">
        <v>1489</v>
      </c>
      <c r="F369" s="147" t="s">
        <v>1489</v>
      </c>
      <c r="G369" s="135" t="s">
        <v>2028</v>
      </c>
      <c r="H369" s="135" t="s">
        <v>226</v>
      </c>
      <c r="I369" s="126">
        <v>15.13</v>
      </c>
      <c r="J369" s="126">
        <v>58668.444175000048</v>
      </c>
      <c r="K369" s="148">
        <v>72.160155271725515</v>
      </c>
      <c r="L369" s="15"/>
    </row>
    <row r="370" spans="2:12" ht="16.5" x14ac:dyDescent="0.3">
      <c r="B370" s="10"/>
      <c r="C370" s="146" t="s">
        <v>1657</v>
      </c>
      <c r="D370" s="179" t="s">
        <v>512</v>
      </c>
      <c r="E370" s="147" t="s">
        <v>1658</v>
      </c>
      <c r="F370" s="147" t="s">
        <v>1660</v>
      </c>
      <c r="G370" s="135" t="s">
        <v>2258</v>
      </c>
      <c r="H370" s="135" t="s">
        <v>226</v>
      </c>
      <c r="I370" s="126">
        <v>84.55</v>
      </c>
      <c r="J370" s="126">
        <v>58752.994175000051</v>
      </c>
      <c r="K370" s="148">
        <v>72.160155271725515</v>
      </c>
      <c r="L370" s="15"/>
    </row>
    <row r="371" spans="2:12" ht="16.5" x14ac:dyDescent="0.3">
      <c r="B371" s="10"/>
      <c r="C371" s="146" t="s">
        <v>1867</v>
      </c>
      <c r="D371" s="179" t="s">
        <v>512</v>
      </c>
      <c r="E371" s="147" t="s">
        <v>1868</v>
      </c>
      <c r="F371" s="147"/>
      <c r="G371" s="135" t="s">
        <v>2277</v>
      </c>
      <c r="H371" s="135" t="s">
        <v>226</v>
      </c>
      <c r="I371" s="126">
        <v>11.605599999999999</v>
      </c>
      <c r="J371" s="126">
        <v>58764.599775000053</v>
      </c>
      <c r="K371" s="148">
        <v>72.160155271725515</v>
      </c>
      <c r="L371" s="15"/>
    </row>
    <row r="372" spans="2:12" ht="16.5" x14ac:dyDescent="0.3">
      <c r="B372" s="10"/>
      <c r="C372" s="146" t="s">
        <v>1182</v>
      </c>
      <c r="D372" s="179" t="s">
        <v>1183</v>
      </c>
      <c r="E372" s="147" t="s">
        <v>1184</v>
      </c>
      <c r="F372" s="147"/>
      <c r="G372" s="135" t="s">
        <v>2131</v>
      </c>
      <c r="H372" s="135" t="s">
        <v>226</v>
      </c>
      <c r="I372" s="126">
        <v>33.82</v>
      </c>
      <c r="J372" s="126">
        <v>58798.419775000053</v>
      </c>
      <c r="K372" s="148">
        <v>72.160155271725515</v>
      </c>
      <c r="L372" s="15"/>
    </row>
    <row r="373" spans="2:12" ht="16.5" x14ac:dyDescent="0.3">
      <c r="B373" s="10"/>
      <c r="C373" s="146" t="s">
        <v>671</v>
      </c>
      <c r="D373" s="179" t="s">
        <v>672</v>
      </c>
      <c r="E373" s="147" t="s">
        <v>673</v>
      </c>
      <c r="F373" s="147"/>
      <c r="G373" s="135" t="s">
        <v>2172</v>
      </c>
      <c r="H373" s="135" t="s">
        <v>226</v>
      </c>
      <c r="I373" s="126">
        <v>11.910869999999999</v>
      </c>
      <c r="J373" s="126">
        <v>58810.330645000053</v>
      </c>
      <c r="K373" s="148">
        <v>72.160155271725515</v>
      </c>
      <c r="L373" s="15"/>
    </row>
    <row r="374" spans="2:12" ht="16.5" x14ac:dyDescent="0.3">
      <c r="B374" s="10"/>
      <c r="C374" s="146" t="s">
        <v>551</v>
      </c>
      <c r="D374" s="179" t="s">
        <v>278</v>
      </c>
      <c r="E374" s="147" t="s">
        <v>552</v>
      </c>
      <c r="F374" s="147"/>
      <c r="G374" s="135" t="s">
        <v>554</v>
      </c>
      <c r="H374" s="135" t="s">
        <v>96</v>
      </c>
      <c r="I374" s="126">
        <v>285.69</v>
      </c>
      <c r="J374" s="126">
        <v>59096.020645000055</v>
      </c>
      <c r="K374" s="148">
        <v>72.321031344792715</v>
      </c>
      <c r="L374" s="15"/>
    </row>
    <row r="375" spans="2:12" ht="16.5" x14ac:dyDescent="0.3">
      <c r="B375" s="10"/>
      <c r="C375" s="146" t="s">
        <v>610</v>
      </c>
      <c r="D375" s="179" t="s">
        <v>128</v>
      </c>
      <c r="E375" s="147" t="s">
        <v>603</v>
      </c>
      <c r="F375" s="147" t="s">
        <v>611</v>
      </c>
      <c r="G375" s="135" t="s">
        <v>2169</v>
      </c>
      <c r="H375" s="135" t="s">
        <v>96</v>
      </c>
      <c r="I375" s="126">
        <v>178</v>
      </c>
      <c r="J375" s="126">
        <v>59274.020645000055</v>
      </c>
      <c r="K375" s="148">
        <v>72.321031344792715</v>
      </c>
      <c r="L375" s="15"/>
    </row>
    <row r="376" spans="2:12" ht="16.5" x14ac:dyDescent="0.3">
      <c r="B376" s="10"/>
      <c r="C376" s="146" t="s">
        <v>612</v>
      </c>
      <c r="D376" s="179" t="s">
        <v>128</v>
      </c>
      <c r="E376" s="147" t="s">
        <v>603</v>
      </c>
      <c r="F376" s="147" t="s">
        <v>613</v>
      </c>
      <c r="G376" s="135" t="s">
        <v>2170</v>
      </c>
      <c r="H376" s="135" t="s">
        <v>96</v>
      </c>
      <c r="I376" s="126">
        <v>178</v>
      </c>
      <c r="J376" s="126">
        <v>59452.020645000055</v>
      </c>
      <c r="K376" s="148">
        <v>72.321031344792715</v>
      </c>
      <c r="L376" s="15"/>
    </row>
    <row r="377" spans="2:12" ht="16.5" x14ac:dyDescent="0.3">
      <c r="B377" s="10"/>
      <c r="C377" s="146" t="s">
        <v>1588</v>
      </c>
      <c r="D377" s="179" t="s">
        <v>1589</v>
      </c>
      <c r="E377" s="147" t="s">
        <v>1590</v>
      </c>
      <c r="F377" s="147"/>
      <c r="G377" s="135" t="s">
        <v>2254</v>
      </c>
      <c r="H377" s="135" t="s">
        <v>226</v>
      </c>
      <c r="I377" s="126">
        <v>34.362900000000003</v>
      </c>
      <c r="J377" s="126">
        <v>59486.383545000055</v>
      </c>
      <c r="K377" s="148">
        <v>72.355349070818676</v>
      </c>
      <c r="L377" s="15"/>
    </row>
    <row r="378" spans="2:12" ht="16.5" x14ac:dyDescent="0.3">
      <c r="B378" s="10"/>
      <c r="C378" s="146" t="s">
        <v>684</v>
      </c>
      <c r="D378" s="179" t="s">
        <v>685</v>
      </c>
      <c r="E378" s="147" t="s">
        <v>686</v>
      </c>
      <c r="F378" s="147"/>
      <c r="G378" s="135" t="s">
        <v>2175</v>
      </c>
      <c r="H378" s="135" t="s">
        <v>226</v>
      </c>
      <c r="I378" s="126">
        <v>23.318000000000001</v>
      </c>
      <c r="J378" s="126">
        <v>59509.701545000054</v>
      </c>
      <c r="K378" s="148">
        <v>72.355349070818676</v>
      </c>
      <c r="L378" s="15"/>
    </row>
    <row r="379" spans="2:12" ht="16.5" x14ac:dyDescent="0.3">
      <c r="B379" s="10"/>
      <c r="C379" s="146" t="s">
        <v>511</v>
      </c>
      <c r="D379" s="179" t="s">
        <v>512</v>
      </c>
      <c r="E379" s="147" t="s">
        <v>513</v>
      </c>
      <c r="F379" s="147"/>
      <c r="G379" s="135" t="s">
        <v>2159</v>
      </c>
      <c r="H379" s="135" t="s">
        <v>226</v>
      </c>
      <c r="I379" s="126">
        <v>18.779</v>
      </c>
      <c r="J379" s="126">
        <v>59528.480545000057</v>
      </c>
      <c r="K379" s="148">
        <v>72.355349070818676</v>
      </c>
      <c r="L379" s="15"/>
    </row>
    <row r="380" spans="2:12" ht="16.5" x14ac:dyDescent="0.3">
      <c r="B380" s="10"/>
      <c r="C380" s="146" t="s">
        <v>1518</v>
      </c>
      <c r="D380" s="179" t="s">
        <v>423</v>
      </c>
      <c r="E380" s="147" t="s">
        <v>1519</v>
      </c>
      <c r="F380" s="147"/>
      <c r="G380" s="135" t="s">
        <v>2241</v>
      </c>
      <c r="H380" s="135" t="s">
        <v>226</v>
      </c>
      <c r="I380" s="126">
        <v>9.4339999999999993</v>
      </c>
      <c r="J380" s="126">
        <v>59537.914545000058</v>
      </c>
      <c r="K380" s="148">
        <v>72.355349070818676</v>
      </c>
      <c r="L380" s="15"/>
    </row>
    <row r="381" spans="2:12" ht="16.5" x14ac:dyDescent="0.3">
      <c r="B381" s="10"/>
      <c r="C381" s="146" t="s">
        <v>1076</v>
      </c>
      <c r="D381" s="179" t="s">
        <v>1077</v>
      </c>
      <c r="E381" s="147" t="s">
        <v>1078</v>
      </c>
      <c r="F381" s="147"/>
      <c r="G381" s="135" t="s">
        <v>2067</v>
      </c>
      <c r="H381" s="135" t="s">
        <v>226</v>
      </c>
      <c r="I381" s="126">
        <v>11.214</v>
      </c>
      <c r="J381" s="126">
        <v>59549.128545000058</v>
      </c>
      <c r="K381" s="148">
        <v>72.551624276001007</v>
      </c>
      <c r="L381" s="15"/>
    </row>
    <row r="382" spans="2:12" ht="16.5" x14ac:dyDescent="0.3">
      <c r="B382" s="10"/>
      <c r="C382" s="146" t="s">
        <v>547</v>
      </c>
      <c r="D382" s="179" t="s">
        <v>548</v>
      </c>
      <c r="E382" s="147" t="s">
        <v>544</v>
      </c>
      <c r="F382" s="147" t="s">
        <v>549</v>
      </c>
      <c r="G382" s="135">
        <v>2013</v>
      </c>
      <c r="H382" s="135" t="s">
        <v>226</v>
      </c>
      <c r="I382" s="126">
        <v>49.84</v>
      </c>
      <c r="J382" s="126">
        <v>59598.968545000054</v>
      </c>
      <c r="K382" s="148">
        <v>72.74898989898989</v>
      </c>
      <c r="L382" s="15"/>
    </row>
    <row r="383" spans="2:12" ht="16.5" x14ac:dyDescent="0.3">
      <c r="B383" s="10"/>
      <c r="C383" s="146" t="s">
        <v>1609</v>
      </c>
      <c r="D383" s="179" t="s">
        <v>1604</v>
      </c>
      <c r="E383" s="147" t="s">
        <v>1605</v>
      </c>
      <c r="F383" s="147" t="s">
        <v>653</v>
      </c>
      <c r="G383" s="135" t="s">
        <v>2327</v>
      </c>
      <c r="H383" s="135" t="s">
        <v>226</v>
      </c>
      <c r="I383" s="126">
        <v>86.33</v>
      </c>
      <c r="J383" s="126">
        <v>59685.298545000056</v>
      </c>
      <c r="K383" s="148">
        <v>72.74898989898989</v>
      </c>
      <c r="L383" s="15"/>
    </row>
    <row r="384" spans="2:12" ht="16.5" x14ac:dyDescent="0.3">
      <c r="B384" s="10"/>
      <c r="C384" s="146" t="s">
        <v>1610</v>
      </c>
      <c r="D384" s="179" t="s">
        <v>1604</v>
      </c>
      <c r="E384" s="147" t="s">
        <v>1605</v>
      </c>
      <c r="F384" s="147" t="s">
        <v>469</v>
      </c>
      <c r="G384" s="135" t="s">
        <v>2328</v>
      </c>
      <c r="H384" s="135" t="s">
        <v>226</v>
      </c>
      <c r="I384" s="126">
        <v>86.33</v>
      </c>
      <c r="J384" s="126">
        <v>59771.628545000058</v>
      </c>
      <c r="K384" s="148">
        <v>72.74898989898989</v>
      </c>
      <c r="L384" s="15"/>
    </row>
    <row r="385" spans="2:12" ht="16.5" x14ac:dyDescent="0.3">
      <c r="B385" s="10"/>
      <c r="C385" s="146" t="s">
        <v>414</v>
      </c>
      <c r="D385" s="179" t="s">
        <v>415</v>
      </c>
      <c r="E385" s="147" t="s">
        <v>416</v>
      </c>
      <c r="F385" s="147"/>
      <c r="G385" s="135" t="s">
        <v>2313</v>
      </c>
      <c r="H385" s="135" t="s">
        <v>226</v>
      </c>
      <c r="I385" s="126">
        <v>75.650000000000006</v>
      </c>
      <c r="J385" s="126">
        <v>59847.278545000059</v>
      </c>
      <c r="K385" s="148">
        <v>72.74898989898989</v>
      </c>
      <c r="L385" s="15"/>
    </row>
    <row r="386" spans="2:12" ht="16.5" x14ac:dyDescent="0.3">
      <c r="B386" s="10"/>
      <c r="C386" s="146" t="s">
        <v>1018</v>
      </c>
      <c r="D386" s="179" t="s">
        <v>1013</v>
      </c>
      <c r="E386" s="147" t="s">
        <v>1014</v>
      </c>
      <c r="F386" s="147" t="s">
        <v>319</v>
      </c>
      <c r="G386" s="135" t="s">
        <v>2202</v>
      </c>
      <c r="H386" s="135" t="s">
        <v>226</v>
      </c>
      <c r="I386" s="126">
        <v>13.795</v>
      </c>
      <c r="J386" s="126">
        <v>59861.073545000057</v>
      </c>
      <c r="K386" s="148">
        <v>72.74898989898989</v>
      </c>
      <c r="L386" s="15"/>
    </row>
    <row r="387" spans="2:12" ht="16.5" x14ac:dyDescent="0.3">
      <c r="B387" s="10"/>
      <c r="C387" s="146" t="s">
        <v>1203</v>
      </c>
      <c r="D387" s="179" t="s">
        <v>641</v>
      </c>
      <c r="E387" s="147" t="s">
        <v>1204</v>
      </c>
      <c r="F387" s="147" t="s">
        <v>1206</v>
      </c>
      <c r="G387" s="135" t="s">
        <v>2217</v>
      </c>
      <c r="H387" s="135" t="s">
        <v>226</v>
      </c>
      <c r="I387" s="126">
        <v>11.125</v>
      </c>
      <c r="J387" s="126">
        <v>59872.198545000057</v>
      </c>
      <c r="K387" s="148">
        <v>73.147028948704929</v>
      </c>
      <c r="L387" s="15"/>
    </row>
    <row r="388" spans="2:12" ht="16.5" x14ac:dyDescent="0.3">
      <c r="B388" s="10"/>
      <c r="C388" s="146" t="s">
        <v>94</v>
      </c>
      <c r="D388" s="179" t="s">
        <v>95</v>
      </c>
      <c r="E388" s="147" t="s">
        <v>96</v>
      </c>
      <c r="F388" s="147" t="s">
        <v>99</v>
      </c>
      <c r="G388" s="135" t="s">
        <v>2120</v>
      </c>
      <c r="H388" s="135" t="s">
        <v>96</v>
      </c>
      <c r="I388" s="126">
        <v>27.323</v>
      </c>
      <c r="J388" s="126">
        <v>59899.521545000054</v>
      </c>
      <c r="K388" s="148">
        <v>73.271004098360649</v>
      </c>
      <c r="L388" s="15"/>
    </row>
    <row r="389" spans="2:12" ht="16.5" x14ac:dyDescent="0.3">
      <c r="B389" s="10"/>
      <c r="C389" s="146" t="s">
        <v>556</v>
      </c>
      <c r="D389" s="179" t="s">
        <v>557</v>
      </c>
      <c r="E389" s="147" t="s">
        <v>558</v>
      </c>
      <c r="F389" s="147"/>
      <c r="G389" s="135" t="s">
        <v>2163</v>
      </c>
      <c r="H389" s="135" t="s">
        <v>226</v>
      </c>
      <c r="I389" s="126">
        <v>50.730000000000004</v>
      </c>
      <c r="J389" s="126">
        <v>59950.251545000057</v>
      </c>
      <c r="K389" s="148">
        <v>73.347720906544438</v>
      </c>
      <c r="L389" s="15"/>
    </row>
    <row r="390" spans="2:12" ht="16.5" x14ac:dyDescent="0.3">
      <c r="B390" s="10"/>
      <c r="C390" s="146" t="s">
        <v>1895</v>
      </c>
      <c r="D390" s="179" t="s">
        <v>557</v>
      </c>
      <c r="E390" s="147" t="s">
        <v>1896</v>
      </c>
      <c r="F390" s="147"/>
      <c r="G390" s="135" t="s">
        <v>2281</v>
      </c>
      <c r="H390" s="135" t="s">
        <v>226</v>
      </c>
      <c r="I390" s="126">
        <v>52.51</v>
      </c>
      <c r="J390" s="126">
        <v>60002.761545000059</v>
      </c>
      <c r="K390" s="148">
        <v>73.347720906544438</v>
      </c>
      <c r="L390" s="15"/>
    </row>
    <row r="391" spans="2:12" ht="16.5" x14ac:dyDescent="0.3">
      <c r="B391" s="10"/>
      <c r="C391" s="146" t="s">
        <v>1854</v>
      </c>
      <c r="D391" s="179" t="s">
        <v>1852</v>
      </c>
      <c r="E391" s="147" t="s">
        <v>1853</v>
      </c>
      <c r="F391" s="147" t="s">
        <v>653</v>
      </c>
      <c r="G391" s="135" t="s">
        <v>2275</v>
      </c>
      <c r="H391" s="135" t="s">
        <v>226</v>
      </c>
      <c r="I391" s="126">
        <v>22.263349999999999</v>
      </c>
      <c r="J391" s="126">
        <v>60025.02489500006</v>
      </c>
      <c r="K391" s="148">
        <v>73.54954034729316</v>
      </c>
      <c r="L391" s="15"/>
    </row>
    <row r="392" spans="2:12" ht="16.5" x14ac:dyDescent="0.3">
      <c r="B392" s="10"/>
      <c r="C392" s="146" t="s">
        <v>763</v>
      </c>
      <c r="D392" s="179" t="s">
        <v>764</v>
      </c>
      <c r="E392" s="147" t="s">
        <v>765</v>
      </c>
      <c r="F392" s="147" t="s">
        <v>768</v>
      </c>
      <c r="G392" s="135" t="s">
        <v>2180</v>
      </c>
      <c r="H392" s="135" t="s">
        <v>226</v>
      </c>
      <c r="I392" s="126">
        <v>86.33</v>
      </c>
      <c r="J392" s="126">
        <v>60111.354895000062</v>
      </c>
      <c r="K392" s="148">
        <v>73.75249679897567</v>
      </c>
      <c r="L392" s="15"/>
    </row>
    <row r="393" spans="2:12" ht="16.5" x14ac:dyDescent="0.3">
      <c r="B393" s="10"/>
      <c r="C393" s="146" t="s">
        <v>991</v>
      </c>
      <c r="D393" s="179" t="s">
        <v>992</v>
      </c>
      <c r="E393" s="147" t="s">
        <v>993</v>
      </c>
      <c r="F393" s="147"/>
      <c r="G393" s="135" t="s">
        <v>2198</v>
      </c>
      <c r="H393" s="135" t="s">
        <v>226</v>
      </c>
      <c r="I393" s="126">
        <v>19.135000000000002</v>
      </c>
      <c r="J393" s="126">
        <v>60130.489895000064</v>
      </c>
      <c r="K393" s="148">
        <v>73.75249679897567</v>
      </c>
      <c r="L393" s="15"/>
    </row>
    <row r="394" spans="2:12" ht="16.5" x14ac:dyDescent="0.3">
      <c r="B394" s="10"/>
      <c r="C394" s="146" t="s">
        <v>371</v>
      </c>
      <c r="D394" s="179" t="s">
        <v>372</v>
      </c>
      <c r="E394" s="147" t="s">
        <v>373</v>
      </c>
      <c r="F394" s="147" t="s">
        <v>376</v>
      </c>
      <c r="G394" s="135" t="s">
        <v>2144</v>
      </c>
      <c r="H394" s="135" t="s">
        <v>226</v>
      </c>
      <c r="I394" s="126">
        <v>0.78320000000000001</v>
      </c>
      <c r="J394" s="126">
        <v>60131.273095000062</v>
      </c>
      <c r="K394" s="148">
        <v>73.75249679897567</v>
      </c>
      <c r="L394" s="15"/>
    </row>
    <row r="395" spans="2:12" ht="16.5" x14ac:dyDescent="0.3">
      <c r="B395" s="10"/>
      <c r="C395" s="146" t="s">
        <v>430</v>
      </c>
      <c r="D395" s="179" t="s">
        <v>160</v>
      </c>
      <c r="E395" s="147" t="s">
        <v>431</v>
      </c>
      <c r="F395" s="147" t="s">
        <v>432</v>
      </c>
      <c r="G395" s="135" t="s">
        <v>2150</v>
      </c>
      <c r="H395" s="135" t="s">
        <v>226</v>
      </c>
      <c r="I395" s="126">
        <v>23.14</v>
      </c>
      <c r="J395" s="126">
        <v>60154.413095000062</v>
      </c>
      <c r="K395" s="148">
        <v>73.956599897277869</v>
      </c>
      <c r="L395" s="15"/>
    </row>
    <row r="396" spans="2:12" ht="16.5" x14ac:dyDescent="0.3">
      <c r="B396" s="10"/>
      <c r="C396" s="146" t="s">
        <v>650</v>
      </c>
      <c r="D396" s="179" t="s">
        <v>519</v>
      </c>
      <c r="E396" s="147" t="s">
        <v>651</v>
      </c>
      <c r="F396" s="147" t="s">
        <v>653</v>
      </c>
      <c r="G396" s="135" t="s">
        <v>1984</v>
      </c>
      <c r="H396" s="135" t="s">
        <v>226</v>
      </c>
      <c r="I396" s="126">
        <v>62.300000000000004</v>
      </c>
      <c r="J396" s="126">
        <v>60216.713095000065</v>
      </c>
      <c r="K396" s="148">
        <v>73.956599897277869</v>
      </c>
      <c r="L396" s="15"/>
    </row>
    <row r="397" spans="2:12" ht="16.5" x14ac:dyDescent="0.3">
      <c r="B397" s="10"/>
      <c r="C397" s="146" t="s">
        <v>1328</v>
      </c>
      <c r="D397" s="179" t="s">
        <v>1329</v>
      </c>
      <c r="E397" s="147" t="s">
        <v>1330</v>
      </c>
      <c r="F397" s="147" t="s">
        <v>1331</v>
      </c>
      <c r="G397" s="135">
        <v>2003</v>
      </c>
      <c r="H397" s="135" t="s">
        <v>226</v>
      </c>
      <c r="I397" s="126">
        <v>6.6216000000000008</v>
      </c>
      <c r="J397" s="126">
        <v>60223.334695000063</v>
      </c>
      <c r="K397" s="148">
        <v>74.161859387071857</v>
      </c>
      <c r="L397" s="15"/>
    </row>
    <row r="398" spans="2:12" ht="16.5" x14ac:dyDescent="0.3">
      <c r="B398" s="10"/>
      <c r="C398" s="146" t="s">
        <v>369</v>
      </c>
      <c r="D398" s="179" t="s">
        <v>368</v>
      </c>
      <c r="E398" s="147" t="s">
        <v>370</v>
      </c>
      <c r="F398" s="147"/>
      <c r="G398" s="135" t="s">
        <v>2143</v>
      </c>
      <c r="H398" s="135" t="s">
        <v>226</v>
      </c>
      <c r="I398" s="126">
        <v>65.058999999999997</v>
      </c>
      <c r="J398" s="126">
        <v>60288.393695000064</v>
      </c>
      <c r="K398" s="148">
        <v>74.368285123966942</v>
      </c>
      <c r="L398" s="15"/>
    </row>
    <row r="399" spans="2:12" ht="16.5" x14ac:dyDescent="0.3">
      <c r="B399" s="10"/>
      <c r="C399" s="146" t="s">
        <v>451</v>
      </c>
      <c r="D399" s="179" t="s">
        <v>452</v>
      </c>
      <c r="E399" s="147" t="s">
        <v>453</v>
      </c>
      <c r="F399" s="147" t="s">
        <v>453</v>
      </c>
      <c r="G399" s="135" t="s">
        <v>2152</v>
      </c>
      <c r="H399" s="135" t="s">
        <v>226</v>
      </c>
      <c r="I399" s="126">
        <v>35.6</v>
      </c>
      <c r="J399" s="126">
        <v>60323.993695000063</v>
      </c>
      <c r="K399" s="148">
        <v>74.368285123966942</v>
      </c>
      <c r="L399" s="15"/>
    </row>
    <row r="400" spans="2:12" ht="16.5" x14ac:dyDescent="0.3">
      <c r="B400" s="10"/>
      <c r="C400" s="146" t="s">
        <v>945</v>
      </c>
      <c r="D400" s="179" t="s">
        <v>622</v>
      </c>
      <c r="E400" s="147" t="s">
        <v>946</v>
      </c>
      <c r="F400" s="147" t="s">
        <v>949</v>
      </c>
      <c r="G400" s="135" t="s">
        <v>2196</v>
      </c>
      <c r="H400" s="135" t="s">
        <v>226</v>
      </c>
      <c r="I400" s="126">
        <v>10.146000000000001</v>
      </c>
      <c r="J400" s="126">
        <v>60334.139695000064</v>
      </c>
      <c r="K400" s="148">
        <v>74.368285123966942</v>
      </c>
      <c r="L400" s="15"/>
    </row>
    <row r="401" spans="2:12" ht="16.5" x14ac:dyDescent="0.3">
      <c r="B401" s="10"/>
      <c r="C401" s="146" t="s">
        <v>844</v>
      </c>
      <c r="D401" s="179" t="s">
        <v>28</v>
      </c>
      <c r="E401" s="147" t="s">
        <v>845</v>
      </c>
      <c r="F401" s="147"/>
      <c r="G401" s="135" t="s">
        <v>2186</v>
      </c>
      <c r="H401" s="135" t="s">
        <v>226</v>
      </c>
      <c r="I401" s="126">
        <v>12.015000000000001</v>
      </c>
      <c r="J401" s="126">
        <v>60346.154695000063</v>
      </c>
      <c r="K401" s="148">
        <v>74.575887075887081</v>
      </c>
      <c r="L401" s="15"/>
    </row>
    <row r="402" spans="2:12" ht="16.5" x14ac:dyDescent="0.3">
      <c r="B402" s="10"/>
      <c r="C402" s="146" t="s">
        <v>1119</v>
      </c>
      <c r="D402" s="179" t="s">
        <v>1116</v>
      </c>
      <c r="E402" s="147" t="s">
        <v>1120</v>
      </c>
      <c r="F402" s="147"/>
      <c r="G402" s="135" t="s">
        <v>2211</v>
      </c>
      <c r="H402" s="135" t="s">
        <v>226</v>
      </c>
      <c r="I402" s="126">
        <v>11.392000000000001</v>
      </c>
      <c r="J402" s="126">
        <v>60357.546695000063</v>
      </c>
      <c r="K402" s="148">
        <v>74.575887075887081</v>
      </c>
      <c r="L402" s="15"/>
    </row>
    <row r="403" spans="2:12" ht="16.5" x14ac:dyDescent="0.3">
      <c r="B403" s="10"/>
      <c r="C403" s="146" t="s">
        <v>680</v>
      </c>
      <c r="D403" s="179" t="s">
        <v>681</v>
      </c>
      <c r="E403" s="147" t="s">
        <v>276</v>
      </c>
      <c r="F403" s="147" t="s">
        <v>276</v>
      </c>
      <c r="G403" s="135" t="s">
        <v>2174</v>
      </c>
      <c r="H403" s="135" t="s">
        <v>226</v>
      </c>
      <c r="I403" s="126">
        <v>24.03</v>
      </c>
      <c r="J403" s="126">
        <v>60381.576695000062</v>
      </c>
      <c r="K403" s="148">
        <v>74.575887075887081</v>
      </c>
      <c r="L403" s="15"/>
    </row>
    <row r="404" spans="2:12" ht="16.5" x14ac:dyDescent="0.3">
      <c r="B404" s="10"/>
      <c r="C404" s="146" t="s">
        <v>1512</v>
      </c>
      <c r="D404" s="179" t="s">
        <v>1513</v>
      </c>
      <c r="E404" s="147" t="s">
        <v>1514</v>
      </c>
      <c r="F404" s="147" t="s">
        <v>1517</v>
      </c>
      <c r="G404" s="135" t="s">
        <v>2240</v>
      </c>
      <c r="H404" s="135" t="s">
        <v>226</v>
      </c>
      <c r="I404" s="126">
        <v>21.36</v>
      </c>
      <c r="J404" s="126">
        <v>60402.936695000062</v>
      </c>
      <c r="K404" s="148">
        <v>74.575887075887081</v>
      </c>
      <c r="L404" s="15"/>
    </row>
    <row r="405" spans="2:12" ht="16.5" x14ac:dyDescent="0.3">
      <c r="B405" s="10"/>
      <c r="C405" s="146" t="s">
        <v>1149</v>
      </c>
      <c r="D405" s="179" t="s">
        <v>1133</v>
      </c>
      <c r="E405" s="147" t="s">
        <v>1150</v>
      </c>
      <c r="F405" s="147" t="s">
        <v>1151</v>
      </c>
      <c r="G405" s="135" t="s">
        <v>2322</v>
      </c>
      <c r="H405" s="135" t="s">
        <v>226</v>
      </c>
      <c r="I405" s="126">
        <v>12.46</v>
      </c>
      <c r="J405" s="126">
        <v>60415.396695000061</v>
      </c>
      <c r="K405" s="148">
        <v>74.784675324675334</v>
      </c>
      <c r="L405" s="15"/>
    </row>
    <row r="406" spans="2:12" ht="16.5" x14ac:dyDescent="0.3">
      <c r="B406" s="10"/>
      <c r="C406" s="146" t="s">
        <v>1759</v>
      </c>
      <c r="D406" s="179" t="s">
        <v>1760</v>
      </c>
      <c r="E406" s="147" t="s">
        <v>1761</v>
      </c>
      <c r="F406" s="147" t="s">
        <v>1763</v>
      </c>
      <c r="G406" s="135" t="s">
        <v>2269</v>
      </c>
      <c r="H406" s="135" t="s">
        <v>226</v>
      </c>
      <c r="I406" s="126">
        <v>11.926</v>
      </c>
      <c r="J406" s="126">
        <v>60427.322695000061</v>
      </c>
      <c r="K406" s="148">
        <v>74.784675324675334</v>
      </c>
      <c r="L406" s="15"/>
    </row>
    <row r="407" spans="2:12" ht="16.5" x14ac:dyDescent="0.3">
      <c r="B407" s="10"/>
      <c r="C407" s="146" t="s">
        <v>579</v>
      </c>
      <c r="D407" s="179" t="s">
        <v>580</v>
      </c>
      <c r="E407" s="147" t="s">
        <v>581</v>
      </c>
      <c r="F407" s="147" t="s">
        <v>584</v>
      </c>
      <c r="G407" s="135" t="s">
        <v>2166</v>
      </c>
      <c r="H407" s="135" t="s">
        <v>226</v>
      </c>
      <c r="I407" s="126">
        <v>9.0779999999999994</v>
      </c>
      <c r="J407" s="126">
        <v>60436.400695000062</v>
      </c>
      <c r="K407" s="148">
        <v>74.784675324675334</v>
      </c>
      <c r="L407" s="15"/>
    </row>
    <row r="408" spans="2:12" ht="16.5" x14ac:dyDescent="0.3">
      <c r="B408" s="10"/>
      <c r="C408" s="146" t="s">
        <v>1522</v>
      </c>
      <c r="D408" s="179" t="s">
        <v>1523</v>
      </c>
      <c r="E408" s="147" t="s">
        <v>1524</v>
      </c>
      <c r="F408" s="147"/>
      <c r="G408" s="135" t="s">
        <v>2243</v>
      </c>
      <c r="H408" s="135" t="s">
        <v>226</v>
      </c>
      <c r="I408" s="126">
        <v>13.439</v>
      </c>
      <c r="J408" s="126">
        <v>60449.839695000061</v>
      </c>
      <c r="K408" s="148">
        <v>74.784675324675334</v>
      </c>
      <c r="L408" s="15"/>
    </row>
    <row r="409" spans="2:12" ht="16.5" x14ac:dyDescent="0.3">
      <c r="B409" s="10"/>
      <c r="C409" s="146" t="s">
        <v>1069</v>
      </c>
      <c r="D409" s="179" t="s">
        <v>117</v>
      </c>
      <c r="E409" s="147" t="s">
        <v>1070</v>
      </c>
      <c r="F409" s="147" t="s">
        <v>565</v>
      </c>
      <c r="G409" s="135" t="s">
        <v>2205</v>
      </c>
      <c r="H409" s="135" t="s">
        <v>226</v>
      </c>
      <c r="I409" s="126">
        <v>22.962</v>
      </c>
      <c r="J409" s="126">
        <v>60472.80169500006</v>
      </c>
      <c r="K409" s="148">
        <v>74.99466006772596</v>
      </c>
      <c r="L409" s="15"/>
    </row>
    <row r="410" spans="2:12" ht="16.5" x14ac:dyDescent="0.3">
      <c r="B410" s="10"/>
      <c r="C410" s="146" t="s">
        <v>340</v>
      </c>
      <c r="D410" s="179" t="s">
        <v>341</v>
      </c>
      <c r="E410" s="147" t="s">
        <v>342</v>
      </c>
      <c r="F410" s="147"/>
      <c r="G410" s="135" t="s">
        <v>2139</v>
      </c>
      <c r="H410" s="135" t="s">
        <v>226</v>
      </c>
      <c r="I410" s="126">
        <v>10.146000000000001</v>
      </c>
      <c r="J410" s="126">
        <v>60482.947695000061</v>
      </c>
      <c r="K410" s="148">
        <v>74.99466006772596</v>
      </c>
      <c r="L410" s="15"/>
    </row>
    <row r="411" spans="2:12" ht="16.5" x14ac:dyDescent="0.3">
      <c r="B411" s="10"/>
      <c r="C411" s="146" t="s">
        <v>1700</v>
      </c>
      <c r="D411" s="179" t="s">
        <v>1701</v>
      </c>
      <c r="E411" s="147" t="s">
        <v>1702</v>
      </c>
      <c r="F411" s="147" t="s">
        <v>1517</v>
      </c>
      <c r="G411" s="135" t="s">
        <v>2263</v>
      </c>
      <c r="H411" s="135" t="s">
        <v>226</v>
      </c>
      <c r="I411" s="126">
        <v>10.1015</v>
      </c>
      <c r="J411" s="126">
        <v>60493.049195000058</v>
      </c>
      <c r="K411" s="148">
        <v>74.99466006772596</v>
      </c>
      <c r="L411" s="15"/>
    </row>
    <row r="412" spans="2:12" ht="16.5" x14ac:dyDescent="0.3">
      <c r="B412" s="10"/>
      <c r="C412" s="146" t="s">
        <v>181</v>
      </c>
      <c r="D412" s="179" t="s">
        <v>163</v>
      </c>
      <c r="E412" s="147" t="s">
        <v>182</v>
      </c>
      <c r="F412" s="147" t="s">
        <v>184</v>
      </c>
      <c r="G412" s="135" t="s">
        <v>2126</v>
      </c>
      <c r="H412" s="135" t="s">
        <v>226</v>
      </c>
      <c r="I412" s="126">
        <v>128.16</v>
      </c>
      <c r="J412" s="126">
        <v>60621.209195000061</v>
      </c>
      <c r="K412" s="148">
        <v>75.205851619644733</v>
      </c>
      <c r="L412" s="15"/>
    </row>
    <row r="413" spans="2:12" ht="16.5" x14ac:dyDescent="0.3">
      <c r="B413" s="10"/>
      <c r="C413" s="146" t="s">
        <v>712</v>
      </c>
      <c r="D413" s="179" t="s">
        <v>713</v>
      </c>
      <c r="E413" s="147" t="s">
        <v>714</v>
      </c>
      <c r="F413" s="147"/>
      <c r="G413" s="135" t="s">
        <v>2177</v>
      </c>
      <c r="H413" s="135" t="s">
        <v>226</v>
      </c>
      <c r="I413" s="126">
        <v>16.731999999999999</v>
      </c>
      <c r="J413" s="126">
        <v>60637.941195000065</v>
      </c>
      <c r="K413" s="148">
        <v>75.205851619644733</v>
      </c>
      <c r="L413" s="15"/>
    </row>
    <row r="414" spans="2:12" ht="16.5" x14ac:dyDescent="0.3">
      <c r="B414" s="10"/>
      <c r="C414" s="146" t="s">
        <v>1304</v>
      </c>
      <c r="D414" s="179" t="s">
        <v>1305</v>
      </c>
      <c r="E414" s="147" t="s">
        <v>1306</v>
      </c>
      <c r="F414" s="147" t="s">
        <v>1309</v>
      </c>
      <c r="G414" s="135" t="s">
        <v>2173</v>
      </c>
      <c r="H414" s="135" t="s">
        <v>226</v>
      </c>
      <c r="I414" s="126">
        <v>30.526999999999997</v>
      </c>
      <c r="J414" s="126">
        <v>60668.468195000067</v>
      </c>
      <c r="K414" s="148">
        <v>75.205851619644733</v>
      </c>
      <c r="L414" s="15"/>
    </row>
    <row r="415" spans="2:12" ht="16.5" x14ac:dyDescent="0.3">
      <c r="B415" s="10"/>
      <c r="C415" s="146" t="s">
        <v>177</v>
      </c>
      <c r="D415" s="179" t="s">
        <v>163</v>
      </c>
      <c r="E415" s="147" t="s">
        <v>178</v>
      </c>
      <c r="F415" s="147" t="s">
        <v>178</v>
      </c>
      <c r="G415" s="135" t="s">
        <v>2062</v>
      </c>
      <c r="H415" s="135" t="s">
        <v>96</v>
      </c>
      <c r="I415" s="126">
        <v>128.16</v>
      </c>
      <c r="J415" s="126">
        <v>60796.62819500007</v>
      </c>
      <c r="K415" s="148">
        <v>75.248947368421057</v>
      </c>
      <c r="L415" s="15"/>
    </row>
    <row r="416" spans="2:12" ht="16.5" x14ac:dyDescent="0.3">
      <c r="B416" s="10"/>
      <c r="C416" s="146" t="s">
        <v>274</v>
      </c>
      <c r="D416" s="179" t="s">
        <v>275</v>
      </c>
      <c r="E416" s="147" t="s">
        <v>276</v>
      </c>
      <c r="F416" s="147"/>
      <c r="G416" s="135">
        <v>1997</v>
      </c>
      <c r="H416" s="135" t="s">
        <v>226</v>
      </c>
      <c r="I416" s="126">
        <v>32.04</v>
      </c>
      <c r="J416" s="126">
        <v>60828.668195000071</v>
      </c>
      <c r="K416" s="148">
        <v>75.418260413937645</v>
      </c>
      <c r="L416" s="15"/>
    </row>
    <row r="417" spans="2:12" ht="16.5" x14ac:dyDescent="0.3">
      <c r="B417" s="10"/>
      <c r="C417" s="146" t="s">
        <v>1871</v>
      </c>
      <c r="D417" s="179" t="s">
        <v>229</v>
      </c>
      <c r="E417" s="147" t="s">
        <v>1872</v>
      </c>
      <c r="F417" s="147"/>
      <c r="G417" s="135" t="s">
        <v>2278</v>
      </c>
      <c r="H417" s="135" t="s">
        <v>226</v>
      </c>
      <c r="I417" s="126">
        <v>35.6</v>
      </c>
      <c r="J417" s="126">
        <v>60864.26819500007</v>
      </c>
      <c r="K417" s="148">
        <v>75.418260413937645</v>
      </c>
      <c r="L417" s="15"/>
    </row>
    <row r="418" spans="2:12" ht="16.5" x14ac:dyDescent="0.3">
      <c r="B418" s="10"/>
      <c r="C418" s="146" t="s">
        <v>1819</v>
      </c>
      <c r="D418" s="179" t="s">
        <v>1820</v>
      </c>
      <c r="E418" s="147" t="s">
        <v>1821</v>
      </c>
      <c r="F418" s="147"/>
      <c r="G418" s="135" t="s">
        <v>2273</v>
      </c>
      <c r="H418" s="135" t="s">
        <v>226</v>
      </c>
      <c r="I418" s="126">
        <v>16.999000000000002</v>
      </c>
      <c r="J418" s="126">
        <v>60881.267195000073</v>
      </c>
      <c r="K418" s="148">
        <v>75.418260413937645</v>
      </c>
      <c r="L418" s="15"/>
    </row>
    <row r="419" spans="2:12" ht="16.5" x14ac:dyDescent="0.3">
      <c r="B419" s="10"/>
      <c r="C419" s="146" t="s">
        <v>570</v>
      </c>
      <c r="D419" s="179" t="s">
        <v>571</v>
      </c>
      <c r="E419" s="147" t="s">
        <v>572</v>
      </c>
      <c r="F419" s="147"/>
      <c r="G419" s="135" t="s">
        <v>2164</v>
      </c>
      <c r="H419" s="135" t="s">
        <v>226</v>
      </c>
      <c r="I419" s="126">
        <v>9.7900000000000009</v>
      </c>
      <c r="J419" s="126">
        <v>60891.057195000074</v>
      </c>
      <c r="K419" s="148">
        <v>75.631897004729382</v>
      </c>
      <c r="L419" s="15"/>
    </row>
    <row r="420" spans="2:12" ht="16.5" x14ac:dyDescent="0.3">
      <c r="B420" s="10"/>
      <c r="C420" s="146" t="s">
        <v>1403</v>
      </c>
      <c r="D420" s="179" t="s">
        <v>1401</v>
      </c>
      <c r="E420" s="147" t="s">
        <v>1404</v>
      </c>
      <c r="F420" s="147" t="s">
        <v>1404</v>
      </c>
      <c r="G420" s="135" t="s">
        <v>2083</v>
      </c>
      <c r="H420" s="135" t="s">
        <v>226</v>
      </c>
      <c r="I420" s="126">
        <v>21.805</v>
      </c>
      <c r="J420" s="126">
        <v>60912.862195000074</v>
      </c>
      <c r="K420" s="148">
        <v>75.631897004729382</v>
      </c>
      <c r="L420" s="15"/>
    </row>
    <row r="421" spans="2:12" ht="16.5" x14ac:dyDescent="0.3">
      <c r="B421" s="10"/>
      <c r="C421" s="146" t="s">
        <v>1500</v>
      </c>
      <c r="D421" s="179" t="s">
        <v>1501</v>
      </c>
      <c r="E421" s="147" t="s">
        <v>1502</v>
      </c>
      <c r="F421" s="147" t="s">
        <v>1504</v>
      </c>
      <c r="G421" s="135" t="s">
        <v>2083</v>
      </c>
      <c r="H421" s="135" t="s">
        <v>226</v>
      </c>
      <c r="I421" s="126">
        <v>72.801999999999992</v>
      </c>
      <c r="J421" s="126">
        <v>60985.664195000078</v>
      </c>
      <c r="K421" s="148">
        <v>75.631897004729382</v>
      </c>
      <c r="L421" s="15"/>
    </row>
    <row r="422" spans="2:12" ht="16.5" x14ac:dyDescent="0.3">
      <c r="B422" s="10"/>
      <c r="C422" s="146" t="s">
        <v>1941</v>
      </c>
      <c r="D422" s="179" t="s">
        <v>875</v>
      </c>
      <c r="E422" s="147" t="s">
        <v>1942</v>
      </c>
      <c r="F422" s="147" t="s">
        <v>1942</v>
      </c>
      <c r="G422" s="135" t="s">
        <v>2083</v>
      </c>
      <c r="H422" s="135" t="s">
        <v>226</v>
      </c>
      <c r="I422" s="126">
        <v>24.03</v>
      </c>
      <c r="J422" s="126">
        <v>61009.694195000076</v>
      </c>
      <c r="K422" s="148">
        <v>75.631897004729382</v>
      </c>
      <c r="L422" s="15"/>
    </row>
    <row r="423" spans="2:12" ht="16.5" x14ac:dyDescent="0.3">
      <c r="B423" s="10"/>
      <c r="C423" s="146" t="s">
        <v>1957</v>
      </c>
      <c r="D423" s="179" t="s">
        <v>1950</v>
      </c>
      <c r="E423" s="147" t="s">
        <v>36</v>
      </c>
      <c r="F423" s="147" t="s">
        <v>1958</v>
      </c>
      <c r="G423" s="135" t="s">
        <v>2282</v>
      </c>
      <c r="H423" s="135" t="s">
        <v>226</v>
      </c>
      <c r="I423" s="126">
        <v>13.439</v>
      </c>
      <c r="J423" s="126">
        <v>61023.133195000075</v>
      </c>
      <c r="K423" s="148">
        <v>75.631897004729382</v>
      </c>
      <c r="L423" s="15"/>
    </row>
    <row r="424" spans="2:12" ht="16.5" x14ac:dyDescent="0.3">
      <c r="B424" s="10"/>
      <c r="C424" s="146" t="s">
        <v>1364</v>
      </c>
      <c r="D424" s="179" t="s">
        <v>1365</v>
      </c>
      <c r="E424" s="147" t="s">
        <v>1366</v>
      </c>
      <c r="F424" s="147"/>
      <c r="G424" s="135" t="s">
        <v>2232</v>
      </c>
      <c r="H424" s="135" t="s">
        <v>226</v>
      </c>
      <c r="I424" s="126">
        <v>16.109000000000002</v>
      </c>
      <c r="J424" s="126">
        <v>61039.242195000072</v>
      </c>
      <c r="K424" s="148">
        <v>75.631897004729382</v>
      </c>
      <c r="L424" s="15"/>
    </row>
    <row r="425" spans="2:12" ht="16.5" x14ac:dyDescent="0.3">
      <c r="B425" s="10"/>
      <c r="C425" s="146" t="s">
        <v>1175</v>
      </c>
      <c r="D425" s="179" t="s">
        <v>1176</v>
      </c>
      <c r="E425" s="147" t="s">
        <v>1177</v>
      </c>
      <c r="F425" s="147"/>
      <c r="G425" s="135" t="s">
        <v>2083</v>
      </c>
      <c r="H425" s="135" t="s">
        <v>226</v>
      </c>
      <c r="I425" s="126">
        <v>58.74</v>
      </c>
      <c r="J425" s="126">
        <v>61097.98219500007</v>
      </c>
      <c r="K425" s="148">
        <v>75.631897004729382</v>
      </c>
      <c r="L425" s="15"/>
    </row>
    <row r="426" spans="2:12" ht="16.5" x14ac:dyDescent="0.3">
      <c r="B426" s="10"/>
      <c r="C426" s="146" t="s">
        <v>404</v>
      </c>
      <c r="D426" s="179" t="s">
        <v>405</v>
      </c>
      <c r="E426" s="147" t="s">
        <v>101</v>
      </c>
      <c r="F426" s="147" t="s">
        <v>99</v>
      </c>
      <c r="G426" s="135" t="s">
        <v>2147</v>
      </c>
      <c r="H426" s="135" t="s">
        <v>96</v>
      </c>
      <c r="I426" s="126">
        <v>8.9</v>
      </c>
      <c r="J426" s="126">
        <v>61106.882195000071</v>
      </c>
      <c r="K426" s="148">
        <v>75.760466348701641</v>
      </c>
      <c r="L426" s="15"/>
    </row>
    <row r="427" spans="2:12" ht="16.5" x14ac:dyDescent="0.3">
      <c r="B427" s="10"/>
      <c r="C427" s="146" t="s">
        <v>1750</v>
      </c>
      <c r="D427" s="179" t="s">
        <v>1751</v>
      </c>
      <c r="E427" s="147" t="s">
        <v>1752</v>
      </c>
      <c r="F427" s="147"/>
      <c r="G427" s="135" t="s">
        <v>2268</v>
      </c>
      <c r="H427" s="135" t="s">
        <v>226</v>
      </c>
      <c r="I427" s="126">
        <v>12.015000000000001</v>
      </c>
      <c r="J427" s="126">
        <v>61118.89719500007</v>
      </c>
      <c r="K427" s="148">
        <v>75.8467720685112</v>
      </c>
      <c r="L427" s="15"/>
    </row>
    <row r="428" spans="2:12" ht="16.5" x14ac:dyDescent="0.3">
      <c r="B428" s="10"/>
      <c r="C428" s="146" t="s">
        <v>1769</v>
      </c>
      <c r="D428" s="179" t="s">
        <v>875</v>
      </c>
      <c r="E428" s="147" t="s">
        <v>1770</v>
      </c>
      <c r="F428" s="147" t="s">
        <v>1770</v>
      </c>
      <c r="G428" s="135" t="s">
        <v>2235</v>
      </c>
      <c r="H428" s="135" t="s">
        <v>226</v>
      </c>
      <c r="I428" s="126">
        <v>17.8</v>
      </c>
      <c r="J428" s="126">
        <v>61136.697195000073</v>
      </c>
      <c r="K428" s="148">
        <v>75.8467720685112</v>
      </c>
      <c r="L428" s="15"/>
    </row>
    <row r="429" spans="2:12" ht="16.5" x14ac:dyDescent="0.3">
      <c r="B429" s="10"/>
      <c r="C429" s="146" t="s">
        <v>153</v>
      </c>
      <c r="D429" s="179" t="s">
        <v>147</v>
      </c>
      <c r="E429" s="147" t="s">
        <v>148</v>
      </c>
      <c r="F429" s="147" t="s">
        <v>154</v>
      </c>
      <c r="G429" s="135" t="s">
        <v>2074</v>
      </c>
      <c r="H429" s="135" t="s">
        <v>226</v>
      </c>
      <c r="I429" s="126">
        <v>2.67</v>
      </c>
      <c r="J429" s="126">
        <v>61139.367195000072</v>
      </c>
      <c r="K429" s="148">
        <v>75.8467720685112</v>
      </c>
      <c r="L429" s="15"/>
    </row>
    <row r="430" spans="2:12" ht="16.5" x14ac:dyDescent="0.3">
      <c r="B430" s="10"/>
      <c r="C430" s="146" t="s">
        <v>1297</v>
      </c>
      <c r="D430" s="179" t="s">
        <v>1298</v>
      </c>
      <c r="E430" s="147" t="s">
        <v>1299</v>
      </c>
      <c r="F430" s="147" t="s">
        <v>1302</v>
      </c>
      <c r="G430" s="135">
        <v>1995</v>
      </c>
      <c r="H430" s="135" t="s">
        <v>226</v>
      </c>
      <c r="I430" s="126">
        <v>21.36</v>
      </c>
      <c r="J430" s="126">
        <v>61160.727195000072</v>
      </c>
      <c r="K430" s="148">
        <v>75.8467720685112</v>
      </c>
      <c r="L430" s="15"/>
    </row>
    <row r="431" spans="2:12" ht="16.5" x14ac:dyDescent="0.3">
      <c r="B431" s="10"/>
      <c r="C431" s="146" t="s">
        <v>116</v>
      </c>
      <c r="D431" s="179" t="s">
        <v>117</v>
      </c>
      <c r="E431" s="147" t="s">
        <v>118</v>
      </c>
      <c r="F431" s="147" t="s">
        <v>70</v>
      </c>
      <c r="G431" s="135" t="s">
        <v>2122</v>
      </c>
      <c r="H431" s="135" t="s">
        <v>226</v>
      </c>
      <c r="I431" s="126">
        <v>15.842000000000001</v>
      </c>
      <c r="J431" s="126">
        <v>61176.569195000069</v>
      </c>
      <c r="K431" s="148">
        <v>76.062896405919659</v>
      </c>
      <c r="L431" s="15"/>
    </row>
    <row r="432" spans="2:12" ht="16.5" x14ac:dyDescent="0.3">
      <c r="B432" s="10"/>
      <c r="C432" s="146" t="s">
        <v>654</v>
      </c>
      <c r="D432" s="179" t="s">
        <v>519</v>
      </c>
      <c r="E432" s="147" t="s">
        <v>655</v>
      </c>
      <c r="F432" s="147" t="s">
        <v>319</v>
      </c>
      <c r="G432" s="135" t="s">
        <v>280</v>
      </c>
      <c r="H432" s="135" t="s">
        <v>226</v>
      </c>
      <c r="I432" s="126">
        <v>88.11</v>
      </c>
      <c r="J432" s="126">
        <v>61264.67919500007</v>
      </c>
      <c r="K432" s="148">
        <v>76.062896405919659</v>
      </c>
      <c r="L432" s="15"/>
    </row>
    <row r="433" spans="2:12" ht="16.5" x14ac:dyDescent="0.3">
      <c r="B433" s="10"/>
      <c r="C433" s="146" t="s">
        <v>759</v>
      </c>
      <c r="D433" s="179" t="s">
        <v>760</v>
      </c>
      <c r="E433" s="147" t="s">
        <v>761</v>
      </c>
      <c r="F433" s="147"/>
      <c r="G433" s="135" t="s">
        <v>2179</v>
      </c>
      <c r="H433" s="135" t="s">
        <v>226</v>
      </c>
      <c r="I433" s="126">
        <v>22.25</v>
      </c>
      <c r="J433" s="126">
        <v>61286.92919500007</v>
      </c>
      <c r="K433" s="148">
        <v>76.062896405919659</v>
      </c>
      <c r="L433" s="15"/>
    </row>
    <row r="434" spans="2:12" ht="16.5" x14ac:dyDescent="0.3">
      <c r="B434" s="10"/>
      <c r="C434" s="146" t="s">
        <v>1646</v>
      </c>
      <c r="D434" s="179" t="s">
        <v>1647</v>
      </c>
      <c r="E434" s="147" t="s">
        <v>1648</v>
      </c>
      <c r="F434" s="147"/>
      <c r="G434" s="135" t="s">
        <v>2257</v>
      </c>
      <c r="H434" s="135" t="s">
        <v>226</v>
      </c>
      <c r="I434" s="126">
        <v>39.960999999999999</v>
      </c>
      <c r="J434" s="126">
        <v>61326.890195000073</v>
      </c>
      <c r="K434" s="148">
        <v>76.062896405919659</v>
      </c>
      <c r="L434" s="15"/>
    </row>
    <row r="435" spans="2:12" ht="16.5" x14ac:dyDescent="0.3">
      <c r="B435" s="10"/>
      <c r="C435" s="146" t="s">
        <v>1650</v>
      </c>
      <c r="D435" s="179" t="s">
        <v>1647</v>
      </c>
      <c r="E435" s="147" t="s">
        <v>1651</v>
      </c>
      <c r="F435" s="147"/>
      <c r="G435" s="135" t="s">
        <v>2257</v>
      </c>
      <c r="H435" s="135" t="s">
        <v>226</v>
      </c>
      <c r="I435" s="126">
        <v>20.47</v>
      </c>
      <c r="J435" s="126">
        <v>61347.360195000074</v>
      </c>
      <c r="K435" s="148">
        <v>76.062896405919659</v>
      </c>
      <c r="L435" s="15"/>
    </row>
    <row r="436" spans="2:12" ht="16.5" x14ac:dyDescent="0.3">
      <c r="B436" s="10"/>
      <c r="C436" s="146" t="s">
        <v>110</v>
      </c>
      <c r="D436" s="179" t="s">
        <v>111</v>
      </c>
      <c r="E436" s="147" t="s">
        <v>112</v>
      </c>
      <c r="F436" s="147" t="s">
        <v>112</v>
      </c>
      <c r="G436" s="135" t="s">
        <v>2039</v>
      </c>
      <c r="H436" s="135" t="s">
        <v>226</v>
      </c>
      <c r="I436" s="126">
        <v>8.6329999999999991</v>
      </c>
      <c r="J436" s="126">
        <v>61355.993195000076</v>
      </c>
      <c r="K436" s="148">
        <v>76.062896405919659</v>
      </c>
      <c r="L436" s="15"/>
    </row>
    <row r="437" spans="2:12" ht="16.5" x14ac:dyDescent="0.3">
      <c r="B437" s="10"/>
      <c r="C437" s="146" t="s">
        <v>1705</v>
      </c>
      <c r="D437" s="179" t="s">
        <v>1706</v>
      </c>
      <c r="E437" s="147" t="s">
        <v>1707</v>
      </c>
      <c r="F437" s="147"/>
      <c r="G437" s="135" t="s">
        <v>2264</v>
      </c>
      <c r="H437" s="135" t="s">
        <v>226</v>
      </c>
      <c r="I437" s="126">
        <v>19.580000000000002</v>
      </c>
      <c r="J437" s="126">
        <v>61375.573195000077</v>
      </c>
      <c r="K437" s="148">
        <v>76.062896405919659</v>
      </c>
      <c r="L437" s="15"/>
    </row>
    <row r="438" spans="2:12" ht="16.5" x14ac:dyDescent="0.3">
      <c r="B438" s="10"/>
      <c r="C438" s="146" t="s">
        <v>61</v>
      </c>
      <c r="D438" s="179" t="s">
        <v>62</v>
      </c>
      <c r="E438" s="147" t="s">
        <v>63</v>
      </c>
      <c r="F438" s="147"/>
      <c r="G438" s="135" t="s">
        <v>2118</v>
      </c>
      <c r="H438" s="135" t="s">
        <v>226</v>
      </c>
      <c r="I438" s="126">
        <v>13.439</v>
      </c>
      <c r="J438" s="126">
        <v>61389.012195000076</v>
      </c>
      <c r="K438" s="148">
        <v>76.280280943546245</v>
      </c>
      <c r="L438" s="15"/>
    </row>
    <row r="439" spans="2:12" ht="16.5" x14ac:dyDescent="0.3">
      <c r="B439" s="10"/>
      <c r="C439" s="146" t="s">
        <v>525</v>
      </c>
      <c r="D439" s="179" t="s">
        <v>526</v>
      </c>
      <c r="E439" s="147" t="s">
        <v>527</v>
      </c>
      <c r="F439" s="147"/>
      <c r="G439" s="135" t="s">
        <v>2114</v>
      </c>
      <c r="H439" s="135" t="s">
        <v>226</v>
      </c>
      <c r="I439" s="126">
        <v>41.474000000000004</v>
      </c>
      <c r="J439" s="126">
        <v>61430.486195000078</v>
      </c>
      <c r="K439" s="148">
        <v>76.280280943546245</v>
      </c>
      <c r="L439" s="15"/>
    </row>
    <row r="440" spans="2:12" ht="16.5" x14ac:dyDescent="0.3">
      <c r="B440" s="10"/>
      <c r="C440" s="146" t="s">
        <v>789</v>
      </c>
      <c r="D440" s="179" t="s">
        <v>790</v>
      </c>
      <c r="E440" s="147" t="s">
        <v>101</v>
      </c>
      <c r="F440" s="147" t="s">
        <v>276</v>
      </c>
      <c r="G440" s="135" t="s">
        <v>2183</v>
      </c>
      <c r="H440" s="135" t="s">
        <v>226</v>
      </c>
      <c r="I440" s="126">
        <v>20.024999999999999</v>
      </c>
      <c r="J440" s="126">
        <v>61450.511195000079</v>
      </c>
      <c r="K440" s="148">
        <v>76.280280943546245</v>
      </c>
      <c r="L440" s="15"/>
    </row>
    <row r="441" spans="2:12" ht="16.5" x14ac:dyDescent="0.3">
      <c r="B441" s="10"/>
      <c r="C441" s="146" t="s">
        <v>1935</v>
      </c>
      <c r="D441" s="179" t="s">
        <v>1928</v>
      </c>
      <c r="E441" s="147" t="s">
        <v>1929</v>
      </c>
      <c r="F441" s="147" t="s">
        <v>1936</v>
      </c>
      <c r="G441" s="135" t="s">
        <v>2114</v>
      </c>
      <c r="H441" s="135" t="s">
        <v>226</v>
      </c>
      <c r="I441" s="126">
        <v>20.737000000000002</v>
      </c>
      <c r="J441" s="126">
        <v>61471.24819500008</v>
      </c>
      <c r="K441" s="148">
        <v>76.280280943546245</v>
      </c>
      <c r="L441" s="15"/>
    </row>
    <row r="442" spans="2:12" ht="16.5" x14ac:dyDescent="0.3">
      <c r="B442" s="10"/>
      <c r="C442" s="146" t="s">
        <v>531</v>
      </c>
      <c r="D442" s="179" t="s">
        <v>532</v>
      </c>
      <c r="E442" s="147" t="s">
        <v>533</v>
      </c>
      <c r="F442" s="147"/>
      <c r="G442" s="135" t="s">
        <v>2162</v>
      </c>
      <c r="H442" s="135" t="s">
        <v>226</v>
      </c>
      <c r="I442" s="126">
        <v>19.669</v>
      </c>
      <c r="J442" s="126">
        <v>61490.917195000082</v>
      </c>
      <c r="K442" s="148">
        <v>76.280280943546245</v>
      </c>
      <c r="L442" s="15"/>
    </row>
    <row r="443" spans="2:12" ht="16.5" x14ac:dyDescent="0.3">
      <c r="B443" s="10"/>
      <c r="C443" s="146" t="s">
        <v>1359</v>
      </c>
      <c r="D443" s="179" t="s">
        <v>1360</v>
      </c>
      <c r="E443" s="147" t="s">
        <v>1361</v>
      </c>
      <c r="F443" s="147"/>
      <c r="G443" s="135">
        <v>1992</v>
      </c>
      <c r="H443" s="135" t="s">
        <v>226</v>
      </c>
      <c r="I443" s="126">
        <v>16.802310000000002</v>
      </c>
      <c r="J443" s="126">
        <v>61507.719505000081</v>
      </c>
      <c r="K443" s="148">
        <v>76.498936735778841</v>
      </c>
      <c r="L443" s="15"/>
    </row>
    <row r="444" spans="2:12" ht="16.5" x14ac:dyDescent="0.3">
      <c r="B444" s="10"/>
      <c r="C444" s="146" t="s">
        <v>1891</v>
      </c>
      <c r="D444" s="179" t="s">
        <v>1892</v>
      </c>
      <c r="E444" s="147" t="s">
        <v>1893</v>
      </c>
      <c r="F444" s="147" t="s">
        <v>70</v>
      </c>
      <c r="G444" s="135" t="s">
        <v>2280</v>
      </c>
      <c r="H444" s="135" t="s">
        <v>226</v>
      </c>
      <c r="I444" s="126">
        <v>10.234999999999999</v>
      </c>
      <c r="J444" s="126">
        <v>61517.954505000082</v>
      </c>
      <c r="K444" s="148">
        <v>76.718874966675557</v>
      </c>
      <c r="L444" s="15"/>
    </row>
    <row r="445" spans="2:12" ht="16.5" x14ac:dyDescent="0.3">
      <c r="B445" s="10"/>
      <c r="C445" s="146" t="s">
        <v>39</v>
      </c>
      <c r="D445" s="179" t="s">
        <v>40</v>
      </c>
      <c r="E445" s="147" t="s">
        <v>41</v>
      </c>
      <c r="F445" s="147" t="s">
        <v>44</v>
      </c>
      <c r="G445" s="135" t="s">
        <v>1988</v>
      </c>
      <c r="H445" s="135" t="s">
        <v>96</v>
      </c>
      <c r="I445" s="126">
        <v>57.85</v>
      </c>
      <c r="J445" s="126">
        <v>61575.80450500008</v>
      </c>
      <c r="K445" s="148">
        <v>76.804943578721122</v>
      </c>
      <c r="L445" s="15"/>
    </row>
    <row r="446" spans="2:12" ht="16.5" x14ac:dyDescent="0.3">
      <c r="B446" s="10"/>
      <c r="C446" s="146" t="s">
        <v>1289</v>
      </c>
      <c r="D446" s="179" t="s">
        <v>1282</v>
      </c>
      <c r="E446" s="147" t="s">
        <v>1283</v>
      </c>
      <c r="F446" s="147" t="s">
        <v>1290</v>
      </c>
      <c r="G446" s="135" t="s">
        <v>2009</v>
      </c>
      <c r="H446" s="135" t="s">
        <v>226</v>
      </c>
      <c r="I446" s="126">
        <v>9.1670000000000016</v>
      </c>
      <c r="J446" s="126">
        <v>61584.971505000081</v>
      </c>
      <c r="K446" s="148">
        <v>76.940106951871655</v>
      </c>
      <c r="L446" s="15"/>
    </row>
    <row r="447" spans="2:12" ht="16.5" x14ac:dyDescent="0.3">
      <c r="B447" s="10"/>
      <c r="C447" s="146" t="s">
        <v>940</v>
      </c>
      <c r="D447" s="179" t="s">
        <v>941</v>
      </c>
      <c r="E447" s="147" t="s">
        <v>942</v>
      </c>
      <c r="F447" s="147">
        <v>10</v>
      </c>
      <c r="G447" s="135" t="s">
        <v>2195</v>
      </c>
      <c r="H447" s="135" t="s">
        <v>226</v>
      </c>
      <c r="I447" s="126">
        <v>10.324</v>
      </c>
      <c r="J447" s="126">
        <v>61595.295505000082</v>
      </c>
      <c r="K447" s="148">
        <v>77.162644140520243</v>
      </c>
      <c r="L447" s="15"/>
    </row>
    <row r="448" spans="2:12" ht="16.5" x14ac:dyDescent="0.3">
      <c r="B448" s="10"/>
      <c r="C448" s="146" t="s">
        <v>1783</v>
      </c>
      <c r="D448" s="179" t="s">
        <v>1779</v>
      </c>
      <c r="E448" s="147" t="s">
        <v>1780</v>
      </c>
      <c r="F448" s="147" t="s">
        <v>1784</v>
      </c>
      <c r="G448" s="135">
        <v>1989</v>
      </c>
      <c r="H448" s="135" t="s">
        <v>226</v>
      </c>
      <c r="I448" s="126">
        <v>51.709000000000003</v>
      </c>
      <c r="J448" s="126">
        <v>61647.004505000084</v>
      </c>
      <c r="K448" s="148">
        <v>77.162644140520243</v>
      </c>
      <c r="L448" s="15"/>
    </row>
    <row r="449" spans="2:12" ht="16.5" x14ac:dyDescent="0.3">
      <c r="B449" s="10"/>
      <c r="C449" s="146" t="s">
        <v>349</v>
      </c>
      <c r="D449" s="179" t="s">
        <v>345</v>
      </c>
      <c r="E449" s="147" t="s">
        <v>346</v>
      </c>
      <c r="F449" s="147" t="s">
        <v>350</v>
      </c>
      <c r="G449" s="135" t="s">
        <v>2140</v>
      </c>
      <c r="H449" s="135" t="s">
        <v>96</v>
      </c>
      <c r="I449" s="126">
        <v>12.015000000000001</v>
      </c>
      <c r="J449" s="126">
        <v>61659.019505000084</v>
      </c>
      <c r="K449" s="148">
        <v>77.33820346320347</v>
      </c>
      <c r="L449" s="15"/>
    </row>
    <row r="450" spans="2:12" ht="16.5" x14ac:dyDescent="0.3">
      <c r="B450" s="10"/>
      <c r="C450" s="146" t="s">
        <v>717</v>
      </c>
      <c r="D450" s="179" t="s">
        <v>718</v>
      </c>
      <c r="E450" s="147" t="s">
        <v>719</v>
      </c>
      <c r="F450" s="147" t="s">
        <v>96</v>
      </c>
      <c r="G450" s="135" t="s">
        <v>2083</v>
      </c>
      <c r="H450" s="135" t="s">
        <v>96</v>
      </c>
      <c r="I450" s="126">
        <v>13.083</v>
      </c>
      <c r="J450" s="126">
        <v>61672.102505000083</v>
      </c>
      <c r="K450" s="148">
        <v>77.33820346320347</v>
      </c>
      <c r="L450" s="15"/>
    </row>
    <row r="451" spans="2:12" ht="16.5" x14ac:dyDescent="0.3">
      <c r="B451" s="10"/>
      <c r="C451" s="146" t="s">
        <v>984</v>
      </c>
      <c r="D451" s="179" t="s">
        <v>981</v>
      </c>
      <c r="E451" s="147" t="s">
        <v>985</v>
      </c>
      <c r="F451" s="147"/>
      <c r="G451" s="135" t="s">
        <v>2197</v>
      </c>
      <c r="H451" s="135" t="s">
        <v>226</v>
      </c>
      <c r="I451" s="126">
        <v>44.5</v>
      </c>
      <c r="J451" s="126">
        <v>61716.602505000083</v>
      </c>
      <c r="K451" s="148">
        <v>77.386498117267337</v>
      </c>
      <c r="L451" s="15"/>
    </row>
    <row r="452" spans="2:12" ht="16.5" x14ac:dyDescent="0.3">
      <c r="B452" s="10"/>
      <c r="C452" s="146" t="s">
        <v>1726</v>
      </c>
      <c r="D452" s="179" t="s">
        <v>1727</v>
      </c>
      <c r="E452" s="147" t="s">
        <v>1728</v>
      </c>
      <c r="F452" s="147" t="s">
        <v>1730</v>
      </c>
      <c r="G452" s="135" t="s">
        <v>2265</v>
      </c>
      <c r="H452" s="135" t="s">
        <v>226</v>
      </c>
      <c r="I452" s="126">
        <v>10.841090000000001</v>
      </c>
      <c r="J452" s="126">
        <v>61727.443595000084</v>
      </c>
      <c r="K452" s="148">
        <v>77.386498117267337</v>
      </c>
      <c r="L452" s="15"/>
    </row>
    <row r="453" spans="2:12" ht="16.5" x14ac:dyDescent="0.3">
      <c r="B453" s="10"/>
      <c r="C453" s="146" t="s">
        <v>1390</v>
      </c>
      <c r="D453" s="179" t="s">
        <v>1383</v>
      </c>
      <c r="E453" s="147" t="s">
        <v>1391</v>
      </c>
      <c r="F453" s="147"/>
      <c r="G453" s="135" t="s">
        <v>2235</v>
      </c>
      <c r="H453" s="135" t="s">
        <v>96</v>
      </c>
      <c r="I453" s="126">
        <v>4.5389999999999997</v>
      </c>
      <c r="J453" s="126">
        <v>61731.982595000081</v>
      </c>
      <c r="K453" s="148">
        <v>77.879019073569481</v>
      </c>
      <c r="L453" s="15"/>
    </row>
    <row r="454" spans="2:12" ht="16.5" x14ac:dyDescent="0.3">
      <c r="B454" s="10"/>
      <c r="C454" s="146" t="s">
        <v>961</v>
      </c>
      <c r="D454" s="179" t="s">
        <v>962</v>
      </c>
      <c r="E454" s="147" t="s">
        <v>963</v>
      </c>
      <c r="F454" s="147" t="s">
        <v>964</v>
      </c>
      <c r="G454" s="135" t="s">
        <v>2044</v>
      </c>
      <c r="H454" s="135" t="s">
        <v>226</v>
      </c>
      <c r="I454" s="126">
        <v>29.37</v>
      </c>
      <c r="J454" s="126">
        <v>61761.352595000084</v>
      </c>
      <c r="K454" s="148">
        <v>78.295318454001091</v>
      </c>
      <c r="L454" s="15"/>
    </row>
    <row r="455" spans="2:12" ht="16.5" x14ac:dyDescent="0.3">
      <c r="B455" s="10"/>
      <c r="C455" s="146" t="s">
        <v>1388</v>
      </c>
      <c r="D455" s="179" t="s">
        <v>1383</v>
      </c>
      <c r="E455" s="147" t="s">
        <v>1389</v>
      </c>
      <c r="F455" s="147"/>
      <c r="G455" s="135" t="s">
        <v>280</v>
      </c>
      <c r="H455" s="135" t="s">
        <v>96</v>
      </c>
      <c r="I455" s="126">
        <v>4.5389999999999997</v>
      </c>
      <c r="J455" s="126">
        <v>61765.891595000081</v>
      </c>
      <c r="K455" s="148">
        <v>78.427552140504943</v>
      </c>
      <c r="L455" s="15"/>
    </row>
    <row r="456" spans="2:12" ht="16.5" x14ac:dyDescent="0.3">
      <c r="B456" s="10"/>
      <c r="C456" s="146" t="s">
        <v>689</v>
      </c>
      <c r="D456" s="179" t="s">
        <v>685</v>
      </c>
      <c r="E456" s="147" t="s">
        <v>690</v>
      </c>
      <c r="F456" s="147"/>
      <c r="G456" s="135" t="s">
        <v>2176</v>
      </c>
      <c r="H456" s="135" t="s">
        <v>226</v>
      </c>
      <c r="I456" s="126">
        <v>6.6572000000000005</v>
      </c>
      <c r="J456" s="126">
        <v>61772.548795000082</v>
      </c>
      <c r="K456" s="148">
        <v>78.757940854326392</v>
      </c>
      <c r="L456" s="15"/>
    </row>
    <row r="457" spans="2:12" ht="16.5" x14ac:dyDescent="0.3">
      <c r="B457" s="10"/>
      <c r="C457" s="146" t="s">
        <v>1382</v>
      </c>
      <c r="D457" s="179" t="s">
        <v>1383</v>
      </c>
      <c r="E457" s="147" t="s">
        <v>1384</v>
      </c>
      <c r="F457" s="147"/>
      <c r="G457" s="135" t="s">
        <v>2234</v>
      </c>
      <c r="H457" s="135" t="s">
        <v>96</v>
      </c>
      <c r="I457" s="126">
        <v>3.7380000000000004</v>
      </c>
      <c r="J457" s="126">
        <v>61776.28679500008</v>
      </c>
      <c r="K457" s="148">
        <v>78.983969043670541</v>
      </c>
      <c r="L457" s="15"/>
    </row>
    <row r="458" spans="2:12" ht="16.5" x14ac:dyDescent="0.3">
      <c r="B458" s="10"/>
      <c r="C458" s="146" t="s">
        <v>1386</v>
      </c>
      <c r="D458" s="179" t="s">
        <v>1383</v>
      </c>
      <c r="E458" s="147" t="s">
        <v>1387</v>
      </c>
      <c r="F458" s="147"/>
      <c r="G458" s="135" t="s">
        <v>2234</v>
      </c>
      <c r="H458" s="135" t="s">
        <v>96</v>
      </c>
      <c r="I458" s="126">
        <v>3.7380000000000004</v>
      </c>
      <c r="J458" s="126">
        <v>61780.024795000078</v>
      </c>
      <c r="K458" s="148">
        <v>78.983969043670541</v>
      </c>
      <c r="L458" s="15"/>
    </row>
    <row r="459" spans="2:12" ht="16.5" x14ac:dyDescent="0.3">
      <c r="B459" s="10"/>
      <c r="C459" s="146" t="s">
        <v>1157</v>
      </c>
      <c r="D459" s="179" t="s">
        <v>1080</v>
      </c>
      <c r="E459" s="147" t="s">
        <v>1158</v>
      </c>
      <c r="F459" s="147"/>
      <c r="G459" s="135" t="s">
        <v>2064</v>
      </c>
      <c r="H459" s="135" t="s">
        <v>226</v>
      </c>
      <c r="I459" s="126">
        <v>24.03</v>
      </c>
      <c r="J459" s="126">
        <v>61804.054795000076</v>
      </c>
      <c r="K459" s="148">
        <v>78.991348530623469</v>
      </c>
      <c r="L459" s="15"/>
    </row>
    <row r="460" spans="2:12" ht="16.5" x14ac:dyDescent="0.3">
      <c r="B460" s="10"/>
      <c r="C460" s="146" t="s">
        <v>1621</v>
      </c>
      <c r="D460" s="179" t="s">
        <v>1614</v>
      </c>
      <c r="E460" s="147" t="s">
        <v>1615</v>
      </c>
      <c r="F460" s="147" t="s">
        <v>1622</v>
      </c>
      <c r="G460" s="135" t="s">
        <v>2329</v>
      </c>
      <c r="H460" s="135" t="s">
        <v>226</v>
      </c>
      <c r="I460" s="126">
        <v>5.34</v>
      </c>
      <c r="J460" s="126">
        <v>61809.394795000073</v>
      </c>
      <c r="K460" s="148">
        <v>79.226170798898067</v>
      </c>
      <c r="L460" s="15"/>
    </row>
    <row r="461" spans="2:12" ht="16.5" x14ac:dyDescent="0.3">
      <c r="B461" s="10"/>
      <c r="C461" s="146" t="s">
        <v>1115</v>
      </c>
      <c r="D461" s="179" t="s">
        <v>1116</v>
      </c>
      <c r="E461" s="147" t="s">
        <v>283</v>
      </c>
      <c r="F461" s="147"/>
      <c r="G461" s="135" t="s">
        <v>2210</v>
      </c>
      <c r="H461" s="135" t="s">
        <v>226</v>
      </c>
      <c r="I461" s="126">
        <v>10.057</v>
      </c>
      <c r="J461" s="126">
        <v>61819.451795000074</v>
      </c>
      <c r="K461" s="148">
        <v>79.226170798898067</v>
      </c>
      <c r="L461" s="15"/>
    </row>
    <row r="462" spans="2:12" ht="16.5" x14ac:dyDescent="0.3">
      <c r="B462" s="10"/>
      <c r="C462" s="146" t="s">
        <v>360</v>
      </c>
      <c r="D462" s="179" t="s">
        <v>356</v>
      </c>
      <c r="E462" s="147" t="s">
        <v>361</v>
      </c>
      <c r="F462" s="147"/>
      <c r="G462" s="135" t="s">
        <v>2142</v>
      </c>
      <c r="H462" s="135" t="s">
        <v>226</v>
      </c>
      <c r="I462" s="126">
        <v>44.5</v>
      </c>
      <c r="J462" s="126">
        <v>61863.951795000074</v>
      </c>
      <c r="K462" s="148">
        <v>79.462420558165235</v>
      </c>
      <c r="L462" s="15"/>
    </row>
    <row r="463" spans="2:12" ht="16.5" x14ac:dyDescent="0.3">
      <c r="B463" s="10"/>
      <c r="C463" s="146" t="s">
        <v>1537</v>
      </c>
      <c r="D463" s="179" t="s">
        <v>1260</v>
      </c>
      <c r="E463" s="147" t="s">
        <v>1538</v>
      </c>
      <c r="F463" s="147"/>
      <c r="G463" s="135" t="s">
        <v>2246</v>
      </c>
      <c r="H463" s="135" t="s">
        <v>226</v>
      </c>
      <c r="I463" s="126">
        <v>13.9552</v>
      </c>
      <c r="J463" s="126">
        <v>61877.90699500007</v>
      </c>
      <c r="K463" s="148">
        <v>79.462420558165235</v>
      </c>
      <c r="L463" s="15"/>
    </row>
    <row r="464" spans="2:12" ht="16.5" x14ac:dyDescent="0.3">
      <c r="B464" s="10"/>
      <c r="C464" s="146" t="s">
        <v>1192</v>
      </c>
      <c r="D464" s="179" t="s">
        <v>1186</v>
      </c>
      <c r="E464" s="147" t="s">
        <v>1193</v>
      </c>
      <c r="F464" s="147" t="s">
        <v>838</v>
      </c>
      <c r="G464" s="135" t="s">
        <v>2214</v>
      </c>
      <c r="H464" s="135" t="s">
        <v>96</v>
      </c>
      <c r="I464" s="126">
        <v>41.83</v>
      </c>
      <c r="J464" s="126">
        <v>61919.736995000072</v>
      </c>
      <c r="K464" s="148">
        <v>79.548440979955444</v>
      </c>
      <c r="L464" s="15"/>
    </row>
    <row r="465" spans="2:12" ht="16.5" x14ac:dyDescent="0.3">
      <c r="B465" s="10"/>
      <c r="C465" s="146" t="s">
        <v>523</v>
      </c>
      <c r="D465" s="179" t="s">
        <v>520</v>
      </c>
      <c r="E465" s="147" t="s">
        <v>521</v>
      </c>
      <c r="F465" s="147"/>
      <c r="G465" s="135" t="s">
        <v>2161</v>
      </c>
      <c r="H465" s="135" t="s">
        <v>226</v>
      </c>
      <c r="I465" s="126">
        <v>3.56</v>
      </c>
      <c r="J465" s="126">
        <v>61923.29699500007</v>
      </c>
      <c r="K465" s="148">
        <v>79.939254934667787</v>
      </c>
      <c r="L465" s="15"/>
    </row>
    <row r="466" spans="2:12" ht="16.5" x14ac:dyDescent="0.3">
      <c r="B466" s="10"/>
      <c r="C466" s="146" t="s">
        <v>378</v>
      </c>
      <c r="D466" s="179" t="s">
        <v>372</v>
      </c>
      <c r="E466" s="147" t="s">
        <v>373</v>
      </c>
      <c r="F466" s="147" t="s">
        <v>96</v>
      </c>
      <c r="G466" s="135" t="s">
        <v>2145</v>
      </c>
      <c r="H466" s="135" t="s">
        <v>96</v>
      </c>
      <c r="I466" s="126">
        <v>9.0779999999999994</v>
      </c>
      <c r="J466" s="126">
        <v>61932.374995000071</v>
      </c>
      <c r="K466" s="148">
        <v>80.121144139091427</v>
      </c>
      <c r="L466" s="15"/>
    </row>
    <row r="467" spans="2:12" ht="16.5" x14ac:dyDescent="0.3">
      <c r="B467" s="10"/>
      <c r="C467" s="146" t="s">
        <v>100</v>
      </c>
      <c r="D467" s="179" t="s">
        <v>95</v>
      </c>
      <c r="E467" s="147" t="s">
        <v>101</v>
      </c>
      <c r="F467" s="147" t="s">
        <v>103</v>
      </c>
      <c r="G467" s="135" t="s">
        <v>2121</v>
      </c>
      <c r="H467" s="135" t="s">
        <v>226</v>
      </c>
      <c r="I467" s="126">
        <v>18.155999999999999</v>
      </c>
      <c r="J467" s="126">
        <v>61950.530995000074</v>
      </c>
      <c r="K467" s="148">
        <v>80.179866146123814</v>
      </c>
      <c r="L467" s="15"/>
    </row>
    <row r="468" spans="2:12" ht="16.5" x14ac:dyDescent="0.3">
      <c r="B468" s="10"/>
      <c r="C468" s="146" t="s">
        <v>1900</v>
      </c>
      <c r="D468" s="179" t="s">
        <v>875</v>
      </c>
      <c r="E468" s="147" t="s">
        <v>1901</v>
      </c>
      <c r="F468" s="147" t="s">
        <v>1901</v>
      </c>
      <c r="G468" s="135" t="s">
        <v>1788</v>
      </c>
      <c r="H468" s="135" t="s">
        <v>226</v>
      </c>
      <c r="I468" s="126">
        <v>9.7900000000000009</v>
      </c>
      <c r="J468" s="126">
        <v>61960.320995000075</v>
      </c>
      <c r="K468" s="148">
        <v>80.665544332210999</v>
      </c>
      <c r="L468" s="15"/>
    </row>
    <row r="469" spans="2:12" ht="16.5" x14ac:dyDescent="0.3">
      <c r="B469" s="10"/>
      <c r="C469" s="146"/>
      <c r="D469" s="179" t="s">
        <v>1980</v>
      </c>
      <c r="E469" s="147"/>
      <c r="F469" s="147"/>
      <c r="G469" s="135"/>
      <c r="H469" s="135" t="s">
        <v>96</v>
      </c>
      <c r="I469" s="126">
        <v>2962.0773590045892</v>
      </c>
      <c r="J469" s="126">
        <v>64922.398354004661</v>
      </c>
      <c r="K469" s="148">
        <v>80.702259887005653</v>
      </c>
      <c r="L469" s="15"/>
    </row>
    <row r="470" spans="2:12" ht="16.5" x14ac:dyDescent="0.3">
      <c r="B470" s="10"/>
      <c r="C470" s="146" t="s">
        <v>185</v>
      </c>
      <c r="D470" s="179" t="s">
        <v>186</v>
      </c>
      <c r="E470" s="147" t="s">
        <v>187</v>
      </c>
      <c r="F470" s="147"/>
      <c r="G470" s="135" t="s">
        <v>2127</v>
      </c>
      <c r="H470" s="135" t="s">
        <v>226</v>
      </c>
      <c r="I470" s="126">
        <v>13.35</v>
      </c>
      <c r="J470" s="126">
        <v>64935.74835400466</v>
      </c>
      <c r="K470" s="148">
        <v>81.157255787690573</v>
      </c>
      <c r="L470" s="15"/>
    </row>
    <row r="471" spans="2:12" ht="16.5" x14ac:dyDescent="0.3">
      <c r="B471" s="10"/>
      <c r="C471" s="146" t="s">
        <v>1400</v>
      </c>
      <c r="D471" s="179" t="s">
        <v>1401</v>
      </c>
      <c r="E471" s="147" t="s">
        <v>1402</v>
      </c>
      <c r="F471" s="147" t="s">
        <v>1402</v>
      </c>
      <c r="G471" s="135" t="s">
        <v>2236</v>
      </c>
      <c r="H471" s="135" t="s">
        <v>226</v>
      </c>
      <c r="I471" s="126">
        <v>20.559000000000001</v>
      </c>
      <c r="J471" s="126">
        <v>64956.307354004661</v>
      </c>
      <c r="K471" s="148">
        <v>81.405409232512042</v>
      </c>
      <c r="L471" s="15"/>
    </row>
    <row r="472" spans="2:12" ht="16.5" x14ac:dyDescent="0.3">
      <c r="B472" s="10"/>
      <c r="C472" s="146" t="s">
        <v>317</v>
      </c>
      <c r="D472" s="179" t="s">
        <v>318</v>
      </c>
      <c r="E472" s="147" t="s">
        <v>311</v>
      </c>
      <c r="F472" s="147" t="s">
        <v>319</v>
      </c>
      <c r="G472" s="135">
        <v>1975</v>
      </c>
      <c r="H472" s="135" t="s">
        <v>226</v>
      </c>
      <c r="I472" s="126">
        <v>142.4</v>
      </c>
      <c r="J472" s="126">
        <v>65098.707354004662</v>
      </c>
      <c r="K472" s="148">
        <v>81.655113636363637</v>
      </c>
      <c r="L472" s="15"/>
    </row>
    <row r="473" spans="2:12" ht="16.5" x14ac:dyDescent="0.3">
      <c r="B473" s="10"/>
      <c r="C473" s="146" t="s">
        <v>775</v>
      </c>
      <c r="D473" s="179" t="s">
        <v>466</v>
      </c>
      <c r="E473" s="147" t="s">
        <v>776</v>
      </c>
      <c r="F473" s="147" t="s">
        <v>319</v>
      </c>
      <c r="G473" s="135" t="s">
        <v>2053</v>
      </c>
      <c r="H473" s="135" t="s">
        <v>226</v>
      </c>
      <c r="I473" s="126">
        <v>89.89</v>
      </c>
      <c r="J473" s="126">
        <v>65188.597354004662</v>
      </c>
      <c r="K473" s="148">
        <v>81.655113636363637</v>
      </c>
      <c r="L473" s="15"/>
    </row>
    <row r="474" spans="2:12" ht="16.5" x14ac:dyDescent="0.3">
      <c r="B474" s="10"/>
      <c r="C474" s="146" t="s">
        <v>1732</v>
      </c>
      <c r="D474" s="179" t="s">
        <v>1727</v>
      </c>
      <c r="E474" s="147" t="s">
        <v>1728</v>
      </c>
      <c r="F474" s="147" t="s">
        <v>1733</v>
      </c>
      <c r="G474" s="135" t="s">
        <v>2266</v>
      </c>
      <c r="H474" s="135" t="s">
        <v>226</v>
      </c>
      <c r="I474" s="126">
        <v>10.090553</v>
      </c>
      <c r="J474" s="126">
        <v>65198.687907004663</v>
      </c>
      <c r="K474" s="148">
        <v>81.906383585066962</v>
      </c>
      <c r="L474" s="15"/>
    </row>
    <row r="475" spans="2:12" ht="16.5" x14ac:dyDescent="0.3">
      <c r="B475" s="10"/>
      <c r="C475" s="146" t="s">
        <v>255</v>
      </c>
      <c r="D475" s="179" t="s">
        <v>256</v>
      </c>
      <c r="E475" s="147" t="s">
        <v>257</v>
      </c>
      <c r="F475" s="147"/>
      <c r="G475" s="135" t="s">
        <v>2132</v>
      </c>
      <c r="H475" s="135" t="s">
        <v>226</v>
      </c>
      <c r="I475" s="126">
        <v>13.884</v>
      </c>
      <c r="J475" s="126">
        <v>65212.571907004662</v>
      </c>
      <c r="K475" s="148">
        <v>81.906383585066962</v>
      </c>
      <c r="L475" s="15"/>
    </row>
    <row r="476" spans="2:12" ht="16.5" x14ac:dyDescent="0.3">
      <c r="B476" s="10"/>
      <c r="C476" s="146" t="s">
        <v>1734</v>
      </c>
      <c r="D476" s="179" t="s">
        <v>1727</v>
      </c>
      <c r="E476" s="147" t="s">
        <v>1728</v>
      </c>
      <c r="F476" s="147" t="s">
        <v>1735</v>
      </c>
      <c r="G476" s="135" t="s">
        <v>2267</v>
      </c>
      <c r="H476" s="135" t="s">
        <v>226</v>
      </c>
      <c r="I476" s="126">
        <v>10.340732000000001</v>
      </c>
      <c r="J476" s="126">
        <v>65222.912639004659</v>
      </c>
      <c r="K476" s="148">
        <v>82.1592338479131</v>
      </c>
      <c r="L476" s="15"/>
    </row>
    <row r="477" spans="2:12" ht="16.5" x14ac:dyDescent="0.3">
      <c r="B477" s="10"/>
      <c r="C477" s="146" t="s">
        <v>1785</v>
      </c>
      <c r="D477" s="179" t="s">
        <v>1779</v>
      </c>
      <c r="E477" s="147" t="s">
        <v>1780</v>
      </c>
      <c r="F477" s="147" t="s">
        <v>1786</v>
      </c>
      <c r="G477" s="135">
        <v>1968</v>
      </c>
      <c r="H477" s="135" t="s">
        <v>226</v>
      </c>
      <c r="I477" s="126">
        <v>0.42719999999999997</v>
      </c>
      <c r="J477" s="126">
        <v>65223.339839004657</v>
      </c>
      <c r="K477" s="148">
        <v>82.1592338479131</v>
      </c>
      <c r="L477" s="15"/>
    </row>
    <row r="478" spans="2:12" ht="16.5" x14ac:dyDescent="0.3">
      <c r="B478" s="10"/>
      <c r="C478" s="146" t="s">
        <v>1419</v>
      </c>
      <c r="D478" s="179" t="s">
        <v>1420</v>
      </c>
      <c r="E478" s="147" t="s">
        <v>1421</v>
      </c>
      <c r="F478" s="147"/>
      <c r="G478" s="135" t="s">
        <v>1982</v>
      </c>
      <c r="H478" s="135" t="s">
        <v>226</v>
      </c>
      <c r="I478" s="126">
        <v>26.7</v>
      </c>
      <c r="J478" s="126">
        <v>65250.039839004654</v>
      </c>
      <c r="K478" s="148">
        <v>83.974714995615301</v>
      </c>
      <c r="L478" s="15"/>
    </row>
    <row r="479" spans="2:12" ht="16.5" x14ac:dyDescent="0.3">
      <c r="B479" s="10"/>
      <c r="C479" s="146" t="s">
        <v>471</v>
      </c>
      <c r="D479" s="179" t="s">
        <v>466</v>
      </c>
      <c r="E479" s="147" t="s">
        <v>472</v>
      </c>
      <c r="F479" s="147" t="s">
        <v>473</v>
      </c>
      <c r="G479" s="135" t="s">
        <v>2059</v>
      </c>
      <c r="H479" s="135" t="s">
        <v>226</v>
      </c>
      <c r="I479" s="126">
        <v>84.55</v>
      </c>
      <c r="J479" s="126">
        <v>65334.589839004657</v>
      </c>
      <c r="K479" s="148">
        <v>84.240762463343103</v>
      </c>
      <c r="L479" s="15"/>
    </row>
    <row r="480" spans="2:12" ht="16.5" x14ac:dyDescent="0.3">
      <c r="B480" s="10"/>
      <c r="C480" s="146" t="s">
        <v>474</v>
      </c>
      <c r="D480" s="179" t="s">
        <v>466</v>
      </c>
      <c r="E480" s="147" t="s">
        <v>475</v>
      </c>
      <c r="F480" s="147" t="s">
        <v>319</v>
      </c>
      <c r="G480" s="135" t="s">
        <v>2008</v>
      </c>
      <c r="H480" s="135" t="s">
        <v>226</v>
      </c>
      <c r="I480" s="126">
        <v>151.30000000000001</v>
      </c>
      <c r="J480" s="126">
        <v>65485.88983900466</v>
      </c>
      <c r="K480" s="148">
        <v>84.240762463343103</v>
      </c>
      <c r="L480" s="15"/>
    </row>
    <row r="481" spans="2:12" ht="16.5" x14ac:dyDescent="0.3">
      <c r="B481" s="10"/>
      <c r="C481" s="146" t="s">
        <v>1043</v>
      </c>
      <c r="D481" s="179" t="s">
        <v>1044</v>
      </c>
      <c r="E481" s="147" t="s">
        <v>1045</v>
      </c>
      <c r="F481" s="147"/>
      <c r="G481" s="135" t="s">
        <v>2049</v>
      </c>
      <c r="H481" s="135" t="s">
        <v>226</v>
      </c>
      <c r="I481" s="126">
        <v>23.585000000000001</v>
      </c>
      <c r="J481" s="126">
        <v>65509.474839004659</v>
      </c>
      <c r="K481" s="148">
        <v>84.240762463343103</v>
      </c>
      <c r="L481" s="15"/>
    </row>
    <row r="482" spans="2:12" ht="16.5" x14ac:dyDescent="0.3">
      <c r="B482" s="10"/>
      <c r="C482" s="146" t="s">
        <v>1835</v>
      </c>
      <c r="D482" s="179" t="s">
        <v>160</v>
      </c>
      <c r="E482" s="147" t="s">
        <v>161</v>
      </c>
      <c r="F482" s="147" t="s">
        <v>1836</v>
      </c>
      <c r="G482" s="135" t="s">
        <v>2052</v>
      </c>
      <c r="H482" s="135" t="s">
        <v>96</v>
      </c>
      <c r="I482" s="126">
        <v>99.68</v>
      </c>
      <c r="J482" s="126">
        <v>65609.154839004652</v>
      </c>
      <c r="K482" s="148">
        <v>84.376477541371173</v>
      </c>
      <c r="L482" s="15"/>
    </row>
    <row r="483" spans="2:12" ht="16.5" x14ac:dyDescent="0.3">
      <c r="B483" s="10"/>
      <c r="C483" s="146" t="s">
        <v>465</v>
      </c>
      <c r="D483" s="179" t="s">
        <v>466</v>
      </c>
      <c r="E483" s="147" t="s">
        <v>467</v>
      </c>
      <c r="F483" s="147" t="s">
        <v>469</v>
      </c>
      <c r="G483" s="135" t="s">
        <v>2066</v>
      </c>
      <c r="H483" s="135" t="s">
        <v>226</v>
      </c>
      <c r="I483" s="126">
        <v>53.4</v>
      </c>
      <c r="J483" s="126">
        <v>65662.554839004646</v>
      </c>
      <c r="K483" s="148">
        <v>86.99878787878788</v>
      </c>
      <c r="L483" s="15"/>
    </row>
    <row r="484" spans="2:12" ht="16.5" x14ac:dyDescent="0.3">
      <c r="B484" s="10"/>
      <c r="C484" s="146" t="s">
        <v>542</v>
      </c>
      <c r="D484" s="179" t="s">
        <v>543</v>
      </c>
      <c r="E484" s="147" t="s">
        <v>544</v>
      </c>
      <c r="F484" s="147"/>
      <c r="G484" s="135" t="s">
        <v>1557</v>
      </c>
      <c r="H484" s="135" t="s">
        <v>226</v>
      </c>
      <c r="I484" s="126">
        <v>40.049999999999997</v>
      </c>
      <c r="J484" s="126">
        <v>65702.604839004649</v>
      </c>
      <c r="K484" s="148">
        <v>86.99878787878788</v>
      </c>
      <c r="L484" s="15"/>
    </row>
    <row r="485" spans="2:12" ht="16.5" x14ac:dyDescent="0.3">
      <c r="B485" s="10"/>
      <c r="C485" s="146" t="s">
        <v>772</v>
      </c>
      <c r="D485" s="179" t="s">
        <v>466</v>
      </c>
      <c r="E485" s="147" t="s">
        <v>773</v>
      </c>
      <c r="F485" s="147" t="s">
        <v>473</v>
      </c>
      <c r="G485" s="135" t="s">
        <v>2060</v>
      </c>
      <c r="H485" s="135" t="s">
        <v>226</v>
      </c>
      <c r="I485" s="126">
        <v>52.51</v>
      </c>
      <c r="J485" s="126">
        <v>65755.114839004644</v>
      </c>
      <c r="K485" s="148">
        <v>86.99878787878788</v>
      </c>
      <c r="L485" s="15"/>
    </row>
    <row r="486" spans="2:12" ht="16.5" x14ac:dyDescent="0.3">
      <c r="B486" s="10"/>
      <c r="C486" s="146" t="s">
        <v>1405</v>
      </c>
      <c r="D486" s="179" t="s">
        <v>1406</v>
      </c>
      <c r="E486" s="147" t="s">
        <v>1407</v>
      </c>
      <c r="F486" s="147"/>
      <c r="G486" s="135" t="s">
        <v>2065</v>
      </c>
      <c r="H486" s="135" t="s">
        <v>226</v>
      </c>
      <c r="I486" s="126">
        <v>33.82</v>
      </c>
      <c r="J486" s="126">
        <v>65788.934839004651</v>
      </c>
      <c r="K486" s="148">
        <v>86.99878787878788</v>
      </c>
      <c r="L486" s="15"/>
    </row>
    <row r="487" spans="2:12" ht="16.5" x14ac:dyDescent="0.3">
      <c r="B487" s="10"/>
      <c r="C487" s="146" t="s">
        <v>506</v>
      </c>
      <c r="D487" s="179" t="s">
        <v>507</v>
      </c>
      <c r="E487" s="147" t="s">
        <v>508</v>
      </c>
      <c r="F487" s="147"/>
      <c r="G487" s="135" t="s">
        <v>2158</v>
      </c>
      <c r="H487" s="135" t="s">
        <v>226</v>
      </c>
      <c r="I487" s="126">
        <v>74.760000000000005</v>
      </c>
      <c r="J487" s="126">
        <v>65863.694839004645</v>
      </c>
      <c r="K487" s="148">
        <v>87.57260524710189</v>
      </c>
      <c r="L487" s="15"/>
    </row>
    <row r="488" spans="2:12" ht="16.5" x14ac:dyDescent="0.3">
      <c r="B488" s="10"/>
      <c r="C488" s="146" t="s">
        <v>35</v>
      </c>
      <c r="D488" s="179" t="s">
        <v>29</v>
      </c>
      <c r="E488" s="147" t="s">
        <v>30</v>
      </c>
      <c r="F488" s="147" t="s">
        <v>36</v>
      </c>
      <c r="G488" s="135">
        <v>1947</v>
      </c>
      <c r="H488" s="135" t="s">
        <v>226</v>
      </c>
      <c r="I488" s="126">
        <v>9.7900000000000009</v>
      </c>
      <c r="J488" s="126">
        <v>65873.484839004639</v>
      </c>
      <c r="K488" s="148">
        <v>87.862411998775642</v>
      </c>
      <c r="L488" s="15"/>
    </row>
    <row r="489" spans="2:12" ht="16.5" x14ac:dyDescent="0.3">
      <c r="B489" s="10"/>
      <c r="C489" s="146" t="s">
        <v>489</v>
      </c>
      <c r="D489" s="179" t="s">
        <v>490</v>
      </c>
      <c r="E489" s="147" t="s">
        <v>491</v>
      </c>
      <c r="F489" s="147"/>
      <c r="G489" s="135" t="s">
        <v>2154</v>
      </c>
      <c r="H489" s="135" t="s">
        <v>226</v>
      </c>
      <c r="I489" s="126">
        <v>12.46</v>
      </c>
      <c r="J489" s="126">
        <v>65885.944839004645</v>
      </c>
      <c r="K489" s="148">
        <v>89.947021943573674</v>
      </c>
      <c r="L489" s="15"/>
    </row>
    <row r="490" spans="2:12" ht="16.5" x14ac:dyDescent="0.3">
      <c r="B490" s="10"/>
      <c r="C490" s="146" t="s">
        <v>51</v>
      </c>
      <c r="D490" s="179" t="s">
        <v>40</v>
      </c>
      <c r="E490" s="147" t="s">
        <v>41</v>
      </c>
      <c r="F490" s="147" t="s">
        <v>52</v>
      </c>
      <c r="G490" s="135" t="s">
        <v>2062</v>
      </c>
      <c r="H490" s="135" t="s">
        <v>96</v>
      </c>
      <c r="I490" s="126">
        <v>72.09</v>
      </c>
      <c r="J490" s="126">
        <v>65958.034839004642</v>
      </c>
      <c r="K490" s="148">
        <v>90.570158730158738</v>
      </c>
      <c r="L490" s="15"/>
    </row>
    <row r="491" spans="2:12" ht="16.5" x14ac:dyDescent="0.3">
      <c r="B491" s="10"/>
      <c r="C491" s="146" t="s">
        <v>502</v>
      </c>
      <c r="D491" s="179" t="s">
        <v>493</v>
      </c>
      <c r="E491" s="147" t="s">
        <v>99</v>
      </c>
      <c r="F491" s="147" t="s">
        <v>503</v>
      </c>
      <c r="G491" s="135" t="s">
        <v>2156</v>
      </c>
      <c r="H491" s="135" t="s">
        <v>96</v>
      </c>
      <c r="I491" s="126">
        <v>57.583000000000006</v>
      </c>
      <c r="J491" s="126">
        <v>66015.617839004641</v>
      </c>
      <c r="K491" s="148">
        <v>90.570158730158738</v>
      </c>
      <c r="L491" s="15"/>
    </row>
    <row r="492" spans="2:12" ht="16.5" x14ac:dyDescent="0.3">
      <c r="B492" s="10"/>
      <c r="C492" s="146" t="s">
        <v>71</v>
      </c>
      <c r="D492" s="179" t="s">
        <v>72</v>
      </c>
      <c r="E492" s="147" t="s">
        <v>73</v>
      </c>
      <c r="F492" s="147" t="s">
        <v>76</v>
      </c>
      <c r="G492" s="135" t="s">
        <v>1990</v>
      </c>
      <c r="H492" s="135" t="s">
        <v>3</v>
      </c>
      <c r="I492" s="126">
        <v>15.007199999999999</v>
      </c>
      <c r="J492" s="126">
        <v>66030.625039004633</v>
      </c>
      <c r="K492" s="148">
        <v>90.849247311827938</v>
      </c>
      <c r="L492" s="15"/>
    </row>
    <row r="493" spans="2:12" ht="16.5" x14ac:dyDescent="0.3">
      <c r="B493" s="10"/>
      <c r="C493" s="146" t="s">
        <v>1573</v>
      </c>
      <c r="D493" s="179" t="s">
        <v>1574</v>
      </c>
      <c r="E493" s="147" t="s">
        <v>1575</v>
      </c>
      <c r="F493" s="147"/>
      <c r="G493" s="135" t="s">
        <v>2251</v>
      </c>
      <c r="H493" s="135" t="s">
        <v>226</v>
      </c>
      <c r="I493" s="126">
        <v>23.585000000000001</v>
      </c>
      <c r="J493" s="126">
        <v>66054.21003900464</v>
      </c>
      <c r="K493" s="148">
        <v>91.184043229497775</v>
      </c>
      <c r="L493" s="15"/>
    </row>
    <row r="494" spans="2:12" ht="16.5" x14ac:dyDescent="0.3">
      <c r="B494" s="10"/>
      <c r="C494" s="146" t="s">
        <v>504</v>
      </c>
      <c r="D494" s="179" t="s">
        <v>493</v>
      </c>
      <c r="E494" s="147" t="s">
        <v>99</v>
      </c>
      <c r="F494" s="147" t="s">
        <v>505</v>
      </c>
      <c r="G494" s="135" t="s">
        <v>2157</v>
      </c>
      <c r="H494" s="135" t="s">
        <v>96</v>
      </c>
      <c r="I494" s="126">
        <v>59.363000000000007</v>
      </c>
      <c r="J494" s="126">
        <v>66113.573039004637</v>
      </c>
      <c r="K494" s="148">
        <v>91.315620998719595</v>
      </c>
      <c r="L494" s="15"/>
    </row>
    <row r="495" spans="2:12" ht="16.5" x14ac:dyDescent="0.3">
      <c r="B495" s="10"/>
      <c r="C495" s="146" t="s">
        <v>49</v>
      </c>
      <c r="D495" s="179" t="s">
        <v>40</v>
      </c>
      <c r="E495" s="147" t="s">
        <v>41</v>
      </c>
      <c r="F495" s="147" t="s">
        <v>50</v>
      </c>
      <c r="G495" s="135" t="s">
        <v>2117</v>
      </c>
      <c r="H495" s="135" t="s">
        <v>96</v>
      </c>
      <c r="I495" s="126">
        <v>50.730000000000004</v>
      </c>
      <c r="J495" s="126">
        <v>66164.303039004633</v>
      </c>
      <c r="K495" s="148">
        <v>92.073595868302121</v>
      </c>
      <c r="L495" s="15"/>
    </row>
    <row r="496" spans="2:12" ht="16.5" x14ac:dyDescent="0.3">
      <c r="B496" s="10"/>
      <c r="C496" s="146" t="s">
        <v>563</v>
      </c>
      <c r="D496" s="179" t="s">
        <v>561</v>
      </c>
      <c r="E496" s="147" t="s">
        <v>564</v>
      </c>
      <c r="F496" s="147" t="s">
        <v>96</v>
      </c>
      <c r="G496" s="135" t="s">
        <v>2117</v>
      </c>
      <c r="H496" s="135" t="s">
        <v>96</v>
      </c>
      <c r="I496" s="126">
        <v>46.28</v>
      </c>
      <c r="J496" s="126">
        <v>66210.583039004632</v>
      </c>
      <c r="K496" s="148">
        <v>92.073595868302121</v>
      </c>
      <c r="L496" s="15"/>
    </row>
    <row r="497" spans="2:12" ht="16.5" x14ac:dyDescent="0.3">
      <c r="B497" s="10"/>
      <c r="C497" s="146" t="s">
        <v>1106</v>
      </c>
      <c r="D497" s="179" t="s">
        <v>561</v>
      </c>
      <c r="E497" s="147" t="s">
        <v>1107</v>
      </c>
      <c r="F497" s="147" t="s">
        <v>96</v>
      </c>
      <c r="G497" s="135" t="s">
        <v>2117</v>
      </c>
      <c r="H497" s="135" t="s">
        <v>96</v>
      </c>
      <c r="I497" s="126">
        <v>49.84</v>
      </c>
      <c r="J497" s="126">
        <v>66260.423039004629</v>
      </c>
      <c r="K497" s="148">
        <v>92.073595868302121</v>
      </c>
      <c r="L497" s="15"/>
    </row>
    <row r="498" spans="2:12" ht="16.5" x14ac:dyDescent="0.3">
      <c r="B498" s="10"/>
      <c r="C498" s="146" t="s">
        <v>1826</v>
      </c>
      <c r="D498" s="179" t="s">
        <v>160</v>
      </c>
      <c r="E498" s="147" t="s">
        <v>161</v>
      </c>
      <c r="F498" s="147" t="s">
        <v>1828</v>
      </c>
      <c r="G498" s="135" t="s">
        <v>2117</v>
      </c>
      <c r="H498" s="135" t="s">
        <v>96</v>
      </c>
      <c r="I498" s="126">
        <v>48.95</v>
      </c>
      <c r="J498" s="126">
        <v>66309.373039004626</v>
      </c>
      <c r="K498" s="148">
        <v>92.073595868302121</v>
      </c>
      <c r="L498" s="15"/>
    </row>
    <row r="499" spans="2:12" ht="16.5" x14ac:dyDescent="0.3">
      <c r="B499" s="10"/>
      <c r="C499" s="146" t="s">
        <v>45</v>
      </c>
      <c r="D499" s="179" t="s">
        <v>40</v>
      </c>
      <c r="E499" s="147" t="s">
        <v>41</v>
      </c>
      <c r="F499" s="147" t="s">
        <v>46</v>
      </c>
      <c r="G499" s="135" t="s">
        <v>2026</v>
      </c>
      <c r="H499" s="135" t="s">
        <v>96</v>
      </c>
      <c r="I499" s="126">
        <v>44.5</v>
      </c>
      <c r="J499" s="126">
        <v>66353.873039004626</v>
      </c>
      <c r="K499" s="148">
        <v>93.628365068942884</v>
      </c>
      <c r="L499" s="15"/>
    </row>
    <row r="500" spans="2:12" ht="16.5" x14ac:dyDescent="0.3">
      <c r="B500" s="10"/>
      <c r="C500" s="146" t="s">
        <v>288</v>
      </c>
      <c r="D500" s="179" t="s">
        <v>282</v>
      </c>
      <c r="E500" s="147" t="s">
        <v>289</v>
      </c>
      <c r="F500" s="147" t="s">
        <v>99</v>
      </c>
      <c r="G500" s="135" t="s">
        <v>2137</v>
      </c>
      <c r="H500" s="135" t="s">
        <v>96</v>
      </c>
      <c r="I500" s="126">
        <v>22.25</v>
      </c>
      <c r="J500" s="126">
        <v>66376.123039004626</v>
      </c>
      <c r="K500" s="148">
        <v>98.628373702422152</v>
      </c>
      <c r="L500" s="15"/>
    </row>
    <row r="501" spans="2:12" ht="16.5" x14ac:dyDescent="0.3">
      <c r="B501" s="10"/>
      <c r="C501" s="146" t="s">
        <v>691</v>
      </c>
      <c r="D501" s="179" t="s">
        <v>692</v>
      </c>
      <c r="E501" s="147" t="s">
        <v>693</v>
      </c>
      <c r="F501" s="147"/>
      <c r="G501" s="135" t="s">
        <v>2272</v>
      </c>
      <c r="H501" s="135" t="s">
        <v>4</v>
      </c>
      <c r="I501" s="126">
        <v>21.0885</v>
      </c>
      <c r="J501" s="126">
        <v>66397.211539004624</v>
      </c>
      <c r="K501" s="148">
        <v>102.01191872030445</v>
      </c>
      <c r="L501" s="15"/>
    </row>
    <row r="502" spans="2:12" ht="16.5" x14ac:dyDescent="0.3">
      <c r="B502" s="10"/>
      <c r="C502" s="146" t="s">
        <v>1459</v>
      </c>
      <c r="D502" s="179" t="s">
        <v>1445</v>
      </c>
      <c r="E502" s="147" t="s">
        <v>1446</v>
      </c>
      <c r="F502" s="147" t="s">
        <v>1460</v>
      </c>
      <c r="G502" s="135" t="s">
        <v>2306</v>
      </c>
      <c r="H502" s="135" t="s">
        <v>4</v>
      </c>
      <c r="I502" s="126">
        <v>50.15</v>
      </c>
      <c r="J502" s="126">
        <v>66447.361539004618</v>
      </c>
      <c r="K502" s="148">
        <v>102.01191872030445</v>
      </c>
      <c r="L502" s="15"/>
    </row>
    <row r="503" spans="2:12" ht="16.5" x14ac:dyDescent="0.3">
      <c r="B503" s="10"/>
      <c r="C503" s="146" t="s">
        <v>1028</v>
      </c>
      <c r="D503" s="179" t="s">
        <v>1029</v>
      </c>
      <c r="E503" s="147" t="s">
        <v>1030</v>
      </c>
      <c r="F503" s="147" t="s">
        <v>1032</v>
      </c>
      <c r="G503" s="135" t="s">
        <v>2317</v>
      </c>
      <c r="H503" s="135" t="s">
        <v>96</v>
      </c>
      <c r="I503" s="126">
        <v>13.795</v>
      </c>
      <c r="J503" s="126">
        <v>66461.156539004616</v>
      </c>
      <c r="K503" s="148">
        <v>103.2268115942029</v>
      </c>
      <c r="L503" s="15"/>
    </row>
    <row r="504" spans="2:12" ht="16.5" x14ac:dyDescent="0.3">
      <c r="B504" s="10"/>
      <c r="C504" s="146" t="s">
        <v>1035</v>
      </c>
      <c r="D504" s="179" t="s">
        <v>1029</v>
      </c>
      <c r="E504" s="147" t="s">
        <v>1030</v>
      </c>
      <c r="F504" s="147" t="s">
        <v>1036</v>
      </c>
      <c r="G504" s="135" t="s">
        <v>2318</v>
      </c>
      <c r="H504" s="135" t="s">
        <v>96</v>
      </c>
      <c r="I504" s="126">
        <v>17.088000000000001</v>
      </c>
      <c r="J504" s="126">
        <v>66478.24453900462</v>
      </c>
      <c r="K504" s="148">
        <v>103.2268115942029</v>
      </c>
      <c r="L504" s="15"/>
    </row>
    <row r="505" spans="2:12" ht="16.5" x14ac:dyDescent="0.3">
      <c r="B505" s="10"/>
      <c r="C505" s="146" t="s">
        <v>1037</v>
      </c>
      <c r="D505" s="179" t="s">
        <v>1029</v>
      </c>
      <c r="E505" s="147" t="s">
        <v>1030</v>
      </c>
      <c r="F505" s="147" t="s">
        <v>1038</v>
      </c>
      <c r="G505" s="135" t="s">
        <v>2319</v>
      </c>
      <c r="H505" s="135" t="s">
        <v>96</v>
      </c>
      <c r="I505" s="126">
        <v>13.795</v>
      </c>
      <c r="J505" s="126">
        <v>66492.039539004618</v>
      </c>
      <c r="K505" s="148">
        <v>103.2268115942029</v>
      </c>
      <c r="L505" s="15"/>
    </row>
    <row r="506" spans="2:12" ht="16.5" x14ac:dyDescent="0.3">
      <c r="B506" s="10"/>
      <c r="C506" s="146" t="s">
        <v>1039</v>
      </c>
      <c r="D506" s="179" t="s">
        <v>1029</v>
      </c>
      <c r="E506" s="147" t="s">
        <v>1030</v>
      </c>
      <c r="F506" s="147" t="s">
        <v>1040</v>
      </c>
      <c r="G506" s="135" t="s">
        <v>2320</v>
      </c>
      <c r="H506" s="135" t="s">
        <v>96</v>
      </c>
      <c r="I506" s="126">
        <v>9.2560000000000002</v>
      </c>
      <c r="J506" s="126">
        <v>66501.295539004612</v>
      </c>
      <c r="K506" s="148">
        <v>103.2268115942029</v>
      </c>
      <c r="L506" s="15"/>
    </row>
    <row r="507" spans="2:12" ht="16.5" x14ac:dyDescent="0.3">
      <c r="B507" s="10"/>
      <c r="C507" s="146" t="s">
        <v>1041</v>
      </c>
      <c r="D507" s="179" t="s">
        <v>1029</v>
      </c>
      <c r="E507" s="147" t="s">
        <v>1030</v>
      </c>
      <c r="F507" s="147" t="s">
        <v>1042</v>
      </c>
      <c r="G507" s="135" t="s">
        <v>2321</v>
      </c>
      <c r="H507" s="135" t="s">
        <v>96</v>
      </c>
      <c r="I507" s="126">
        <v>29.904000000000003</v>
      </c>
      <c r="J507" s="126">
        <v>66531.199539004607</v>
      </c>
      <c r="K507" s="148">
        <v>103.2268115942029</v>
      </c>
      <c r="L507" s="15"/>
    </row>
    <row r="508" spans="2:12" ht="16.5" x14ac:dyDescent="0.3">
      <c r="B508" s="10"/>
      <c r="C508" s="146" t="s">
        <v>1454</v>
      </c>
      <c r="D508" s="179" t="s">
        <v>1445</v>
      </c>
      <c r="E508" s="147" t="s">
        <v>1446</v>
      </c>
      <c r="F508" s="147" t="s">
        <v>1455</v>
      </c>
      <c r="G508" s="135" t="s">
        <v>2304</v>
      </c>
      <c r="H508" s="135" t="s">
        <v>4</v>
      </c>
      <c r="I508" s="126">
        <v>90.1</v>
      </c>
      <c r="J508" s="126">
        <v>66621.299539004613</v>
      </c>
      <c r="K508" s="148">
        <v>105.78535246560318</v>
      </c>
      <c r="L508" s="15"/>
    </row>
    <row r="509" spans="2:12" ht="16.5" x14ac:dyDescent="0.3">
      <c r="B509" s="10"/>
      <c r="C509" s="146" t="s">
        <v>1456</v>
      </c>
      <c r="D509" s="179" t="s">
        <v>1445</v>
      </c>
      <c r="E509" s="147" t="s">
        <v>1446</v>
      </c>
      <c r="F509" s="147" t="s">
        <v>1457</v>
      </c>
      <c r="G509" s="135" t="s">
        <v>2305</v>
      </c>
      <c r="H509" s="135" t="s">
        <v>4</v>
      </c>
      <c r="I509" s="126">
        <v>90.1</v>
      </c>
      <c r="J509" s="126">
        <v>66711.399539004618</v>
      </c>
      <c r="K509" s="148">
        <v>105.78535246560318</v>
      </c>
      <c r="L509" s="15"/>
    </row>
    <row r="510" spans="2:12" ht="16.5" x14ac:dyDescent="0.3">
      <c r="B510" s="10"/>
      <c r="C510" s="146" t="s">
        <v>957</v>
      </c>
      <c r="D510" s="179" t="s">
        <v>952</v>
      </c>
      <c r="E510" s="147" t="s">
        <v>953</v>
      </c>
      <c r="F510" s="147" t="s">
        <v>86</v>
      </c>
      <c r="G510" s="135" t="s">
        <v>2297</v>
      </c>
      <c r="H510" s="135" t="s">
        <v>4</v>
      </c>
      <c r="I510" s="126">
        <v>4.08</v>
      </c>
      <c r="J510" s="126">
        <v>66715.47953900462</v>
      </c>
      <c r="K510" s="148">
        <v>106.08732754475477</v>
      </c>
      <c r="L510" s="15"/>
    </row>
    <row r="511" spans="2:12" ht="16.5" x14ac:dyDescent="0.3">
      <c r="B511" s="10"/>
      <c r="C511" s="146" t="s">
        <v>1024</v>
      </c>
      <c r="D511" s="179" t="s">
        <v>1025</v>
      </c>
      <c r="E511" s="147" t="s">
        <v>1026</v>
      </c>
      <c r="F511" s="147"/>
      <c r="G511" s="135">
        <v>2004</v>
      </c>
      <c r="H511" s="135" t="s">
        <v>4</v>
      </c>
      <c r="I511" s="126">
        <v>97.240000000000009</v>
      </c>
      <c r="J511" s="126">
        <v>66812.719539004625</v>
      </c>
      <c r="K511" s="148">
        <v>106.55745506271813</v>
      </c>
      <c r="L511" s="15"/>
    </row>
    <row r="512" spans="2:12" ht="16.5" x14ac:dyDescent="0.3">
      <c r="B512" s="10"/>
      <c r="C512" s="146" t="s">
        <v>1144</v>
      </c>
      <c r="D512" s="179" t="s">
        <v>1141</v>
      </c>
      <c r="E512" s="147" t="s">
        <v>1145</v>
      </c>
      <c r="F512" s="147"/>
      <c r="G512" s="135" t="s">
        <v>1988</v>
      </c>
      <c r="H512" s="135" t="s">
        <v>4</v>
      </c>
      <c r="I512" s="126">
        <v>78.625</v>
      </c>
      <c r="J512" s="126">
        <v>66891.344539004625</v>
      </c>
      <c r="K512" s="148">
        <v>106.55745506271813</v>
      </c>
      <c r="L512" s="15"/>
    </row>
    <row r="513" spans="2:12" ht="16.5" x14ac:dyDescent="0.3">
      <c r="B513" s="10"/>
      <c r="C513" s="146" t="s">
        <v>1908</v>
      </c>
      <c r="D513" s="179" t="s">
        <v>1907</v>
      </c>
      <c r="E513" s="147" t="s">
        <v>1909</v>
      </c>
      <c r="F513" s="147" t="s">
        <v>469</v>
      </c>
      <c r="G513" s="135">
        <v>2008</v>
      </c>
      <c r="H513" s="135" t="s">
        <v>4</v>
      </c>
      <c r="I513" s="126">
        <v>51</v>
      </c>
      <c r="J513" s="126">
        <v>66942.344539004625</v>
      </c>
      <c r="K513" s="148">
        <v>106.55745506271813</v>
      </c>
      <c r="L513" s="15"/>
    </row>
    <row r="514" spans="2:12" ht="16.5" x14ac:dyDescent="0.3">
      <c r="B514" s="10"/>
      <c r="C514" s="146" t="s">
        <v>1843</v>
      </c>
      <c r="D514" s="179" t="s">
        <v>1840</v>
      </c>
      <c r="E514" s="147" t="s">
        <v>148</v>
      </c>
      <c r="F514" s="147" t="s">
        <v>1844</v>
      </c>
      <c r="G514" s="135" t="s">
        <v>2311</v>
      </c>
      <c r="H514" s="135" t="s">
        <v>4</v>
      </c>
      <c r="I514" s="126">
        <v>56.354999999999997</v>
      </c>
      <c r="J514" s="126">
        <v>66998.699539004621</v>
      </c>
      <c r="K514" s="148">
        <v>106.55745506271813</v>
      </c>
      <c r="L514" s="15"/>
    </row>
    <row r="515" spans="2:12" ht="16.5" x14ac:dyDescent="0.3">
      <c r="B515" s="10"/>
      <c r="C515" s="146" t="s">
        <v>740</v>
      </c>
      <c r="D515" s="179" t="s">
        <v>229</v>
      </c>
      <c r="E515" s="147" t="s">
        <v>741</v>
      </c>
      <c r="F515" s="147"/>
      <c r="G515" s="135" t="s">
        <v>2294</v>
      </c>
      <c r="H515" s="135" t="s">
        <v>4</v>
      </c>
      <c r="I515" s="126">
        <v>14.45</v>
      </c>
      <c r="J515" s="126">
        <v>67013.149539004618</v>
      </c>
      <c r="K515" s="148">
        <v>106.69652944356494</v>
      </c>
      <c r="L515" s="15"/>
    </row>
    <row r="516" spans="2:12" ht="16.5" x14ac:dyDescent="0.3">
      <c r="B516" s="10"/>
      <c r="C516" s="146" t="s">
        <v>965</v>
      </c>
      <c r="D516" s="179" t="s">
        <v>966</v>
      </c>
      <c r="E516" s="147" t="s">
        <v>967</v>
      </c>
      <c r="F516" s="147" t="s">
        <v>968</v>
      </c>
      <c r="G516" s="135" t="s">
        <v>2298</v>
      </c>
      <c r="H516" s="135" t="s">
        <v>4</v>
      </c>
      <c r="I516" s="126">
        <v>38.25</v>
      </c>
      <c r="J516" s="126">
        <v>67051.399539004618</v>
      </c>
      <c r="K516" s="148">
        <v>106.69652944356494</v>
      </c>
      <c r="L516" s="15"/>
    </row>
    <row r="517" spans="2:12" ht="16.5" x14ac:dyDescent="0.3">
      <c r="B517" s="10"/>
      <c r="C517" s="146" t="s">
        <v>969</v>
      </c>
      <c r="D517" s="179" t="s">
        <v>966</v>
      </c>
      <c r="E517" s="147" t="s">
        <v>967</v>
      </c>
      <c r="F517" s="147" t="s">
        <v>970</v>
      </c>
      <c r="G517" s="135" t="s">
        <v>2298</v>
      </c>
      <c r="H517" s="135" t="s">
        <v>4</v>
      </c>
      <c r="I517" s="126">
        <v>21.25</v>
      </c>
      <c r="J517" s="126">
        <v>67072.649539004618</v>
      </c>
      <c r="K517" s="148">
        <v>106.69652944356494</v>
      </c>
      <c r="L517" s="15"/>
    </row>
    <row r="518" spans="2:12" ht="16.5" x14ac:dyDescent="0.3">
      <c r="B518" s="10"/>
      <c r="C518" s="146" t="s">
        <v>156</v>
      </c>
      <c r="D518" s="179" t="s">
        <v>147</v>
      </c>
      <c r="E518" s="147" t="s">
        <v>148</v>
      </c>
      <c r="F518" s="147" t="s">
        <v>157</v>
      </c>
      <c r="G518" s="135" t="s">
        <v>2074</v>
      </c>
      <c r="H518" s="135" t="s">
        <v>4</v>
      </c>
      <c r="I518" s="126">
        <v>0.64600000000000002</v>
      </c>
      <c r="J518" s="126">
        <v>67073.295539004612</v>
      </c>
      <c r="K518" s="148">
        <v>106.69652944356494</v>
      </c>
      <c r="L518" s="15"/>
    </row>
    <row r="519" spans="2:12" ht="16.5" x14ac:dyDescent="0.3">
      <c r="B519" s="10"/>
      <c r="C519" s="146" t="s">
        <v>1450</v>
      </c>
      <c r="D519" s="179" t="s">
        <v>1445</v>
      </c>
      <c r="E519" s="147" t="s">
        <v>1446</v>
      </c>
      <c r="F519" s="147" t="s">
        <v>1451</v>
      </c>
      <c r="G519" s="135" t="s">
        <v>2303</v>
      </c>
      <c r="H519" s="135" t="s">
        <v>4</v>
      </c>
      <c r="I519" s="126">
        <v>29.324999999999999</v>
      </c>
      <c r="J519" s="126">
        <v>67102.620539004609</v>
      </c>
      <c r="K519" s="148">
        <v>107.00378679659855</v>
      </c>
      <c r="L519" s="15"/>
    </row>
    <row r="520" spans="2:12" ht="16.5" x14ac:dyDescent="0.3">
      <c r="B520" s="10"/>
      <c r="C520" s="146" t="s">
        <v>85</v>
      </c>
      <c r="D520" s="179" t="s">
        <v>79</v>
      </c>
      <c r="E520" s="147" t="s">
        <v>86</v>
      </c>
      <c r="F520" s="147" t="s">
        <v>86</v>
      </c>
      <c r="G520" s="135">
        <v>1991</v>
      </c>
      <c r="H520" s="135" t="s">
        <v>4</v>
      </c>
      <c r="I520" s="126">
        <v>0.442</v>
      </c>
      <c r="J520" s="126">
        <v>67103.062539004604</v>
      </c>
      <c r="K520" s="148">
        <v>107.93637143117274</v>
      </c>
      <c r="L520" s="15"/>
    </row>
    <row r="521" spans="2:12" ht="16.5" x14ac:dyDescent="0.3">
      <c r="B521" s="10"/>
      <c r="C521" s="146"/>
      <c r="D521" s="179" t="s">
        <v>1980</v>
      </c>
      <c r="E521" s="147"/>
      <c r="F521" s="147"/>
      <c r="G521" s="135"/>
      <c r="H521" s="135" t="s">
        <v>4</v>
      </c>
      <c r="I521" s="126">
        <v>346.42542636022375</v>
      </c>
      <c r="J521" s="126">
        <v>67449.487965364824</v>
      </c>
      <c r="K521" s="148">
        <v>108.25089017067619</v>
      </c>
      <c r="L521" s="15"/>
    </row>
    <row r="522" spans="2:12" ht="16.5" x14ac:dyDescent="0.3">
      <c r="B522" s="10"/>
      <c r="C522" s="146" t="s">
        <v>1292</v>
      </c>
      <c r="D522" s="179" t="s">
        <v>1293</v>
      </c>
      <c r="E522" s="147" t="s">
        <v>1294</v>
      </c>
      <c r="F522" s="147"/>
      <c r="G522" s="135" t="s">
        <v>2300</v>
      </c>
      <c r="H522" s="135" t="s">
        <v>4</v>
      </c>
      <c r="I522" s="126">
        <v>9.69</v>
      </c>
      <c r="J522" s="126">
        <v>67459.177965364826</v>
      </c>
      <c r="K522" s="148">
        <v>108.88551082257368</v>
      </c>
      <c r="L522" s="15"/>
    </row>
    <row r="523" spans="2:12" ht="16.5" x14ac:dyDescent="0.3">
      <c r="B523" s="10"/>
      <c r="C523" s="146" t="s">
        <v>743</v>
      </c>
      <c r="D523" s="179" t="s">
        <v>229</v>
      </c>
      <c r="E523" s="147" t="s">
        <v>744</v>
      </c>
      <c r="F523" s="147"/>
      <c r="G523" s="135" t="s">
        <v>2295</v>
      </c>
      <c r="H523" s="135" t="s">
        <v>4</v>
      </c>
      <c r="I523" s="126">
        <v>102</v>
      </c>
      <c r="J523" s="126">
        <v>67561.177965364826</v>
      </c>
      <c r="K523" s="148">
        <v>111.07638014224175</v>
      </c>
      <c r="L523" s="15"/>
    </row>
    <row r="524" spans="2:12" ht="16.5" x14ac:dyDescent="0.3">
      <c r="B524" s="10"/>
      <c r="C524" s="146" t="s">
        <v>1808</v>
      </c>
      <c r="D524" s="179" t="s">
        <v>1804</v>
      </c>
      <c r="E524" s="147" t="s">
        <v>1809</v>
      </c>
      <c r="F524" s="147" t="s">
        <v>1809</v>
      </c>
      <c r="G524" s="135" t="s">
        <v>2309</v>
      </c>
      <c r="H524" s="135" t="s">
        <v>4</v>
      </c>
      <c r="I524" s="126">
        <v>8.9249999999999989</v>
      </c>
      <c r="J524" s="126">
        <v>67570.102965364829</v>
      </c>
      <c r="K524" s="148">
        <v>112.17470322570092</v>
      </c>
      <c r="L524" s="15"/>
    </row>
    <row r="525" spans="2:12" ht="16.5" x14ac:dyDescent="0.3">
      <c r="B525" s="10"/>
      <c r="C525" s="146" t="s">
        <v>1472</v>
      </c>
      <c r="D525" s="179" t="s">
        <v>1293</v>
      </c>
      <c r="E525" s="147" t="s">
        <v>1473</v>
      </c>
      <c r="F525" s="147"/>
      <c r="G525" s="135" t="s">
        <v>2307</v>
      </c>
      <c r="H525" s="135" t="s">
        <v>4</v>
      </c>
      <c r="I525" s="126">
        <v>9.69</v>
      </c>
      <c r="J525" s="126">
        <v>67579.792965364832</v>
      </c>
      <c r="K525" s="148">
        <v>112.17470322570092</v>
      </c>
      <c r="L525" s="15"/>
    </row>
    <row r="526" spans="2:12" ht="16.5" x14ac:dyDescent="0.3">
      <c r="B526" s="10"/>
      <c r="C526" s="146" t="s">
        <v>190</v>
      </c>
      <c r="D526" s="179" t="s">
        <v>163</v>
      </c>
      <c r="E526" s="147" t="s">
        <v>191</v>
      </c>
      <c r="F526" s="147" t="s">
        <v>191</v>
      </c>
      <c r="G526" s="135" t="s">
        <v>748</v>
      </c>
      <c r="H526" s="135" t="s">
        <v>4</v>
      </c>
      <c r="I526" s="126">
        <v>156.4</v>
      </c>
      <c r="J526" s="126">
        <v>67736.192965364826</v>
      </c>
      <c r="K526" s="148">
        <v>112.51468702761439</v>
      </c>
      <c r="L526" s="15"/>
    </row>
    <row r="527" spans="2:12" ht="16.5" x14ac:dyDescent="0.3">
      <c r="B527" s="10"/>
      <c r="C527" s="146" t="s">
        <v>1441</v>
      </c>
      <c r="D527" s="179" t="s">
        <v>278</v>
      </c>
      <c r="E527" s="147" t="s">
        <v>1442</v>
      </c>
      <c r="F527" s="147"/>
      <c r="G527" s="135" t="s">
        <v>2117</v>
      </c>
      <c r="H527" s="135" t="s">
        <v>4</v>
      </c>
      <c r="I527" s="126">
        <v>73.95</v>
      </c>
      <c r="J527" s="126">
        <v>67810.142965364823</v>
      </c>
      <c r="K527" s="148">
        <v>113.89567386386967</v>
      </c>
      <c r="L527" s="15"/>
    </row>
    <row r="528" spans="2:12" ht="16.5" x14ac:dyDescent="0.3">
      <c r="B528" s="10"/>
      <c r="C528" s="146" t="s">
        <v>1431</v>
      </c>
      <c r="D528" s="179" t="s">
        <v>278</v>
      </c>
      <c r="E528" s="147" t="s">
        <v>1432</v>
      </c>
      <c r="F528" s="147"/>
      <c r="G528" s="135" t="s">
        <v>2301</v>
      </c>
      <c r="H528" s="135" t="s">
        <v>4</v>
      </c>
      <c r="I528" s="126">
        <v>74.8</v>
      </c>
      <c r="J528" s="126">
        <v>67884.942965364826</v>
      </c>
      <c r="K528" s="148">
        <v>114.24628154667671</v>
      </c>
      <c r="L528" s="15"/>
    </row>
    <row r="529" spans="2:12" ht="16.5" x14ac:dyDescent="0.3">
      <c r="B529" s="10"/>
      <c r="C529" s="146" t="s">
        <v>1444</v>
      </c>
      <c r="D529" s="179" t="s">
        <v>1445</v>
      </c>
      <c r="E529" s="147" t="s">
        <v>1446</v>
      </c>
      <c r="F529" s="147" t="s">
        <v>1448</v>
      </c>
      <c r="G529" s="135" t="s">
        <v>2302</v>
      </c>
      <c r="H529" s="135" t="s">
        <v>4</v>
      </c>
      <c r="I529" s="126">
        <v>23.8</v>
      </c>
      <c r="J529" s="126">
        <v>67908.742965364829</v>
      </c>
      <c r="K529" s="148">
        <v>114.24628154667671</v>
      </c>
      <c r="L529" s="15"/>
    </row>
    <row r="530" spans="2:12" ht="16.5" x14ac:dyDescent="0.3">
      <c r="B530" s="10"/>
      <c r="C530" s="146" t="s">
        <v>1803</v>
      </c>
      <c r="D530" s="179" t="s">
        <v>1804</v>
      </c>
      <c r="E530" s="147" t="s">
        <v>1805</v>
      </c>
      <c r="F530" s="147" t="s">
        <v>1805</v>
      </c>
      <c r="G530" s="135" t="s">
        <v>2308</v>
      </c>
      <c r="H530" s="135" t="s">
        <v>4</v>
      </c>
      <c r="I530" s="126">
        <v>20.399999999999999</v>
      </c>
      <c r="J530" s="126">
        <v>67929.142965364823</v>
      </c>
      <c r="K530" s="148">
        <v>115.99952099722734</v>
      </c>
      <c r="L530" s="15"/>
    </row>
    <row r="531" spans="2:12" ht="16.5" x14ac:dyDescent="0.3">
      <c r="B531" s="10"/>
      <c r="C531" s="146" t="s">
        <v>1963</v>
      </c>
      <c r="D531" s="179" t="s">
        <v>1964</v>
      </c>
      <c r="E531" s="147"/>
      <c r="F531" s="147"/>
      <c r="G531" s="135" t="s">
        <v>2450</v>
      </c>
      <c r="H531" s="135" t="s">
        <v>5</v>
      </c>
      <c r="I531" s="126">
        <v>8.6019999999999985</v>
      </c>
      <c r="J531" s="126">
        <v>67937.744965364822</v>
      </c>
      <c r="K531" s="148">
        <v>116.72191795100883</v>
      </c>
      <c r="L531" s="15"/>
    </row>
    <row r="532" spans="2:12" ht="16.5" x14ac:dyDescent="0.3">
      <c r="B532" s="10"/>
      <c r="C532" s="146"/>
      <c r="D532" s="179" t="s">
        <v>1980</v>
      </c>
      <c r="E532" s="147"/>
      <c r="F532" s="147"/>
      <c r="G532" s="135"/>
      <c r="H532" s="135" t="s">
        <v>5</v>
      </c>
      <c r="I532" s="126">
        <v>414.42877949999996</v>
      </c>
      <c r="J532" s="126">
        <v>68352.17374486482</v>
      </c>
      <c r="K532" s="148">
        <v>116.72191795100883</v>
      </c>
      <c r="L532" s="15"/>
    </row>
    <row r="533" spans="2:12" ht="16.5" x14ac:dyDescent="0.3">
      <c r="B533" s="10"/>
      <c r="C533" s="146" t="s">
        <v>863</v>
      </c>
      <c r="D533" s="179" t="s">
        <v>864</v>
      </c>
      <c r="E533" s="147" t="s">
        <v>865</v>
      </c>
      <c r="F533" s="147"/>
      <c r="G533" s="135" t="s">
        <v>2296</v>
      </c>
      <c r="H533" s="135" t="s">
        <v>4</v>
      </c>
      <c r="I533" s="126">
        <v>37.824999999999996</v>
      </c>
      <c r="J533" s="126">
        <v>68389.998744864817</v>
      </c>
      <c r="K533" s="148">
        <v>117.87597005778815</v>
      </c>
      <c r="L533" s="15"/>
    </row>
    <row r="534" spans="2:12" ht="16.5" x14ac:dyDescent="0.3">
      <c r="B534" s="10"/>
      <c r="C534" s="146" t="s">
        <v>834</v>
      </c>
      <c r="D534" s="179" t="s">
        <v>835</v>
      </c>
      <c r="E534" s="147" t="s">
        <v>836</v>
      </c>
      <c r="F534" s="147" t="s">
        <v>838</v>
      </c>
      <c r="G534" s="135" t="s">
        <v>2030</v>
      </c>
      <c r="H534" s="135" t="s">
        <v>4</v>
      </c>
      <c r="I534" s="126">
        <v>19.72</v>
      </c>
      <c r="J534" s="126">
        <v>68409.718744864818</v>
      </c>
      <c r="K534" s="148">
        <v>121.38365223239165</v>
      </c>
      <c r="L534" s="15"/>
    </row>
    <row r="535" spans="2:12" ht="16.5" x14ac:dyDescent="0.3">
      <c r="B535" s="10"/>
      <c r="C535" s="146" t="s">
        <v>839</v>
      </c>
      <c r="D535" s="179" t="s">
        <v>835</v>
      </c>
      <c r="E535" s="147" t="s">
        <v>836</v>
      </c>
      <c r="F535" s="147" t="s">
        <v>840</v>
      </c>
      <c r="G535" s="135" t="s">
        <v>2030</v>
      </c>
      <c r="H535" s="135" t="s">
        <v>4</v>
      </c>
      <c r="I535" s="126">
        <v>19.72</v>
      </c>
      <c r="J535" s="126">
        <v>68429.438744864819</v>
      </c>
      <c r="K535" s="148">
        <v>121.38365223239165</v>
      </c>
      <c r="L535" s="15"/>
    </row>
    <row r="536" spans="2:12" ht="16.5" x14ac:dyDescent="0.3">
      <c r="B536" s="10"/>
      <c r="C536" s="146" t="s">
        <v>841</v>
      </c>
      <c r="D536" s="179" t="s">
        <v>835</v>
      </c>
      <c r="E536" s="147" t="s">
        <v>836</v>
      </c>
      <c r="F536" s="147" t="s">
        <v>316</v>
      </c>
      <c r="G536" s="135" t="s">
        <v>2030</v>
      </c>
      <c r="H536" s="135" t="s">
        <v>4</v>
      </c>
      <c r="I536" s="126">
        <v>19.72</v>
      </c>
      <c r="J536" s="126">
        <v>68449.158744864821</v>
      </c>
      <c r="K536" s="148">
        <v>121.38365223239165</v>
      </c>
      <c r="L536" s="15"/>
    </row>
    <row r="537" spans="2:12" ht="16.5" x14ac:dyDescent="0.3">
      <c r="B537" s="10"/>
      <c r="C537" s="146" t="s">
        <v>842</v>
      </c>
      <c r="D537" s="179" t="s">
        <v>835</v>
      </c>
      <c r="E537" s="147" t="s">
        <v>836</v>
      </c>
      <c r="F537" s="147" t="s">
        <v>843</v>
      </c>
      <c r="G537" s="135" t="s">
        <v>2030</v>
      </c>
      <c r="H537" s="135" t="s">
        <v>4</v>
      </c>
      <c r="I537" s="126">
        <v>19.72</v>
      </c>
      <c r="J537" s="126">
        <v>68468.878744864822</v>
      </c>
      <c r="K537" s="148">
        <v>121.38365223239165</v>
      </c>
      <c r="L537" s="15"/>
    </row>
    <row r="538" spans="2:12" ht="16.5" x14ac:dyDescent="0.3">
      <c r="B538" s="10"/>
      <c r="C538" s="146" t="s">
        <v>1798</v>
      </c>
      <c r="D538" s="179" t="s">
        <v>40</v>
      </c>
      <c r="E538" s="147" t="s">
        <v>1799</v>
      </c>
      <c r="F538" s="147" t="s">
        <v>1802</v>
      </c>
      <c r="G538" s="135" t="s">
        <v>2064</v>
      </c>
      <c r="H538" s="135" t="s">
        <v>4</v>
      </c>
      <c r="I538" s="126">
        <v>115.6</v>
      </c>
      <c r="J538" s="126">
        <v>68584.478744864828</v>
      </c>
      <c r="K538" s="148">
        <v>122.33040811806684</v>
      </c>
      <c r="L538" s="15"/>
    </row>
    <row r="539" spans="2:12" ht="16.5" x14ac:dyDescent="0.3">
      <c r="B539" s="10"/>
      <c r="C539" s="146" t="s">
        <v>1945</v>
      </c>
      <c r="D539" s="179" t="s">
        <v>329</v>
      </c>
      <c r="E539" s="147" t="s">
        <v>1943</v>
      </c>
      <c r="F539" s="147" t="s">
        <v>1946</v>
      </c>
      <c r="G539" s="135" t="s">
        <v>2053</v>
      </c>
      <c r="H539" s="135" t="s">
        <v>4</v>
      </c>
      <c r="I539" s="126">
        <v>39.1</v>
      </c>
      <c r="J539" s="126">
        <v>68623.578744864833</v>
      </c>
      <c r="K539" s="148">
        <v>127.29670316068292</v>
      </c>
      <c r="L539" s="15"/>
    </row>
    <row r="540" spans="2:12" ht="16.5" x14ac:dyDescent="0.3">
      <c r="B540" s="10"/>
      <c r="C540" s="146" t="s">
        <v>313</v>
      </c>
      <c r="D540" s="179" t="s">
        <v>314</v>
      </c>
      <c r="E540" s="147" t="s">
        <v>311</v>
      </c>
      <c r="F540" s="147" t="s">
        <v>316</v>
      </c>
      <c r="G540" s="135" t="s">
        <v>2062</v>
      </c>
      <c r="H540" s="135" t="s">
        <v>4</v>
      </c>
      <c r="I540" s="126">
        <v>73.099999999999994</v>
      </c>
      <c r="J540" s="126">
        <v>68696.678744864839</v>
      </c>
      <c r="K540" s="148">
        <v>128.33915213915205</v>
      </c>
      <c r="L540" s="15"/>
    </row>
    <row r="541" spans="2:12" ht="16.5" x14ac:dyDescent="0.3">
      <c r="B541" s="10"/>
      <c r="C541" s="146" t="s">
        <v>1736</v>
      </c>
      <c r="D541" s="179" t="s">
        <v>40</v>
      </c>
      <c r="E541" s="147" t="s">
        <v>1720</v>
      </c>
      <c r="F541" s="147" t="s">
        <v>1737</v>
      </c>
      <c r="G541" s="135" t="s">
        <v>1788</v>
      </c>
      <c r="H541" s="135" t="s">
        <v>4</v>
      </c>
      <c r="I541" s="126">
        <v>19.805</v>
      </c>
      <c r="J541" s="126">
        <v>68716.483744864832</v>
      </c>
      <c r="K541" s="148">
        <v>129.39895302123205</v>
      </c>
      <c r="L541" s="15"/>
    </row>
    <row r="542" spans="2:12" ht="16.5" x14ac:dyDescent="0.3">
      <c r="B542" s="10"/>
      <c r="C542" s="146" t="s">
        <v>1738</v>
      </c>
      <c r="D542" s="179" t="s">
        <v>40</v>
      </c>
      <c r="E542" s="147" t="s">
        <v>1720</v>
      </c>
      <c r="F542" s="147" t="s">
        <v>1739</v>
      </c>
      <c r="G542" s="135" t="s">
        <v>1788</v>
      </c>
      <c r="H542" s="135" t="s">
        <v>4</v>
      </c>
      <c r="I542" s="126">
        <v>19.805</v>
      </c>
      <c r="J542" s="126">
        <v>68736.288744864825</v>
      </c>
      <c r="K542" s="148">
        <v>129.39895302123205</v>
      </c>
      <c r="L542" s="15"/>
    </row>
    <row r="543" spans="2:12" ht="16.5" x14ac:dyDescent="0.3">
      <c r="B543" s="10"/>
      <c r="C543" s="146" t="s">
        <v>1740</v>
      </c>
      <c r="D543" s="179" t="s">
        <v>40</v>
      </c>
      <c r="E543" s="147" t="s">
        <v>1720</v>
      </c>
      <c r="F543" s="147" t="s">
        <v>1741</v>
      </c>
      <c r="G543" s="135" t="s">
        <v>1788</v>
      </c>
      <c r="H543" s="135" t="s">
        <v>4</v>
      </c>
      <c r="I543" s="126">
        <v>19.805</v>
      </c>
      <c r="J543" s="126">
        <v>68756.093744864818</v>
      </c>
      <c r="K543" s="148">
        <v>129.39895302123205</v>
      </c>
      <c r="L543" s="15"/>
    </row>
    <row r="544" spans="2:12" ht="16.5" x14ac:dyDescent="0.3">
      <c r="B544" s="10"/>
      <c r="C544" s="146" t="s">
        <v>1855</v>
      </c>
      <c r="D544" s="179" t="s">
        <v>278</v>
      </c>
      <c r="E544" s="147" t="s">
        <v>1856</v>
      </c>
      <c r="F544" s="147" t="s">
        <v>99</v>
      </c>
      <c r="G544" s="135" t="s">
        <v>2117</v>
      </c>
      <c r="H544" s="135" t="s">
        <v>4</v>
      </c>
      <c r="I544" s="126">
        <v>47.6</v>
      </c>
      <c r="J544" s="126">
        <v>68803.693744864824</v>
      </c>
      <c r="K544" s="148">
        <v>130.4765426850642</v>
      </c>
      <c r="L544" s="15"/>
    </row>
    <row r="545" spans="2:12" ht="16.5" x14ac:dyDescent="0.3">
      <c r="B545" s="10"/>
      <c r="C545" s="146" t="s">
        <v>517</v>
      </c>
      <c r="D545" s="179" t="s">
        <v>493</v>
      </c>
      <c r="E545" s="147" t="s">
        <v>99</v>
      </c>
      <c r="F545" s="147" t="s">
        <v>518</v>
      </c>
      <c r="G545" s="135" t="s">
        <v>2293</v>
      </c>
      <c r="H545" s="135" t="s">
        <v>4</v>
      </c>
      <c r="I545" s="126">
        <v>73.27</v>
      </c>
      <c r="J545" s="126">
        <v>68876.963744864828</v>
      </c>
      <c r="K545" s="148">
        <v>131.57237279893522</v>
      </c>
      <c r="L545" s="15"/>
    </row>
    <row r="546" spans="2:12" ht="16.5" x14ac:dyDescent="0.3">
      <c r="B546" s="10"/>
      <c r="C546" s="146" t="s">
        <v>1810</v>
      </c>
      <c r="D546" s="179" t="s">
        <v>785</v>
      </c>
      <c r="E546" s="147" t="s">
        <v>1811</v>
      </c>
      <c r="F546" s="147" t="s">
        <v>25</v>
      </c>
      <c r="G546" s="135">
        <v>1972</v>
      </c>
      <c r="H546" s="135" t="s">
        <v>4</v>
      </c>
      <c r="I546" s="126">
        <v>42.924999999999997</v>
      </c>
      <c r="J546" s="126">
        <v>68919.888744864831</v>
      </c>
      <c r="K546" s="148">
        <v>131.57237279893522</v>
      </c>
      <c r="L546" s="15"/>
    </row>
    <row r="547" spans="2:12" ht="16.5" x14ac:dyDescent="0.3">
      <c r="B547" s="10"/>
      <c r="C547" s="146" t="s">
        <v>1812</v>
      </c>
      <c r="D547" s="179" t="s">
        <v>785</v>
      </c>
      <c r="E547" s="147" t="s">
        <v>1811</v>
      </c>
      <c r="F547" s="147" t="s">
        <v>26</v>
      </c>
      <c r="G547" s="135">
        <v>1972</v>
      </c>
      <c r="H547" s="135" t="s">
        <v>4</v>
      </c>
      <c r="I547" s="126">
        <v>42.924999999999997</v>
      </c>
      <c r="J547" s="126">
        <v>68962.813744864834</v>
      </c>
      <c r="K547" s="148">
        <v>131.57237279893522</v>
      </c>
      <c r="L547" s="15"/>
    </row>
    <row r="548" spans="2:12" ht="16.5" x14ac:dyDescent="0.3">
      <c r="B548" s="10"/>
      <c r="C548" s="146" t="s">
        <v>193</v>
      </c>
      <c r="D548" s="179" t="s">
        <v>163</v>
      </c>
      <c r="E548" s="147" t="s">
        <v>194</v>
      </c>
      <c r="F548" s="147" t="s">
        <v>196</v>
      </c>
      <c r="G548" s="135" t="s">
        <v>2292</v>
      </c>
      <c r="H548" s="135" t="s">
        <v>4</v>
      </c>
      <c r="I548" s="126">
        <v>28.9</v>
      </c>
      <c r="J548" s="126">
        <v>68991.713744864828</v>
      </c>
      <c r="K548" s="148">
        <v>132.68691045250458</v>
      </c>
      <c r="L548" s="15"/>
    </row>
    <row r="549" spans="2:12" ht="16.5" x14ac:dyDescent="0.3">
      <c r="B549" s="10"/>
      <c r="C549" s="146" t="s">
        <v>1269</v>
      </c>
      <c r="D549" s="179" t="s">
        <v>1260</v>
      </c>
      <c r="E549" s="147" t="s">
        <v>1270</v>
      </c>
      <c r="F549" s="147" t="s">
        <v>1271</v>
      </c>
      <c r="G549" s="135" t="s">
        <v>2033</v>
      </c>
      <c r="H549" s="135" t="s">
        <v>5</v>
      </c>
      <c r="I549" s="126">
        <v>143.922</v>
      </c>
      <c r="J549" s="126">
        <v>69135.635744864834</v>
      </c>
      <c r="K549" s="148">
        <v>142.43789971789968</v>
      </c>
      <c r="L549" s="15"/>
    </row>
    <row r="550" spans="2:12" ht="16.5" x14ac:dyDescent="0.3">
      <c r="B550" s="10"/>
      <c r="C550" s="146" t="s">
        <v>1415</v>
      </c>
      <c r="D550" s="179" t="s">
        <v>1416</v>
      </c>
      <c r="E550" s="147" t="s">
        <v>1417</v>
      </c>
      <c r="F550" s="147">
        <v>2</v>
      </c>
      <c r="G550" s="135" t="s">
        <v>2237</v>
      </c>
      <c r="H550" s="135" t="s">
        <v>226</v>
      </c>
      <c r="I550" s="126">
        <v>32.04</v>
      </c>
      <c r="J550" s="126">
        <v>69167.675744864828</v>
      </c>
      <c r="K550" s="148">
        <v>158.24777777777777</v>
      </c>
      <c r="L550" s="15"/>
    </row>
    <row r="551" spans="2:12" ht="16.5" x14ac:dyDescent="0.3">
      <c r="B551" s="10"/>
      <c r="C551" s="146"/>
      <c r="D551" s="179"/>
      <c r="E551" s="147"/>
      <c r="F551" s="147"/>
      <c r="G551" s="135"/>
      <c r="H551" s="135"/>
      <c r="I551" s="126"/>
      <c r="J551" s="126"/>
      <c r="K551" s="148"/>
      <c r="L551" s="15"/>
    </row>
    <row r="552" spans="2:12" ht="16.5" x14ac:dyDescent="0.3">
      <c r="B552" s="10"/>
      <c r="C552" s="146"/>
      <c r="D552" s="179"/>
      <c r="E552" s="147"/>
      <c r="F552" s="147"/>
      <c r="G552" s="135"/>
      <c r="H552" s="135"/>
      <c r="I552" s="126"/>
      <c r="J552" s="126"/>
      <c r="K552" s="148"/>
      <c r="L552" s="15"/>
    </row>
    <row r="553" spans="2:12" ht="16.5" x14ac:dyDescent="0.3">
      <c r="B553" s="10"/>
      <c r="C553" s="146"/>
      <c r="D553" s="179"/>
      <c r="E553" s="147"/>
      <c r="F553" s="147"/>
      <c r="G553" s="135"/>
      <c r="H553" s="135"/>
      <c r="I553" s="126"/>
      <c r="J553" s="126"/>
      <c r="K553" s="148"/>
      <c r="L553" s="15"/>
    </row>
    <row r="554" spans="2:12" ht="16.5" x14ac:dyDescent="0.3">
      <c r="B554" s="10"/>
      <c r="C554" s="146"/>
      <c r="D554" s="179"/>
      <c r="E554" s="147"/>
      <c r="F554" s="147"/>
      <c r="G554" s="135"/>
      <c r="H554" s="135"/>
      <c r="I554" s="126"/>
      <c r="J554" s="126"/>
      <c r="K554" s="148"/>
      <c r="L554" s="15"/>
    </row>
    <row r="555" spans="2:12" ht="16.5" x14ac:dyDescent="0.3">
      <c r="B555" s="10"/>
      <c r="C555" s="146"/>
      <c r="D555" s="179"/>
      <c r="E555" s="147"/>
      <c r="F555" s="147"/>
      <c r="G555" s="135"/>
      <c r="H555" s="135"/>
      <c r="I555" s="126"/>
      <c r="J555" s="126"/>
      <c r="K555" s="148"/>
      <c r="L555" s="15"/>
    </row>
    <row r="556" spans="2:12" ht="16.5" x14ac:dyDescent="0.3">
      <c r="B556" s="10"/>
      <c r="C556" s="146"/>
      <c r="D556" s="179"/>
      <c r="E556" s="147"/>
      <c r="F556" s="147"/>
      <c r="G556" s="135"/>
      <c r="H556" s="135"/>
      <c r="I556" s="126"/>
      <c r="J556" s="126"/>
      <c r="K556" s="148"/>
      <c r="L556" s="15"/>
    </row>
    <row r="557" spans="2:12" ht="16.5" x14ac:dyDescent="0.3">
      <c r="B557" s="10"/>
      <c r="C557" s="146"/>
      <c r="D557" s="179"/>
      <c r="E557" s="147"/>
      <c r="F557" s="147"/>
      <c r="G557" s="135"/>
      <c r="H557" s="135"/>
      <c r="I557" s="126"/>
      <c r="J557" s="126"/>
      <c r="K557" s="148"/>
      <c r="L557" s="15"/>
    </row>
    <row r="558" spans="2:12" ht="16.5" x14ac:dyDescent="0.3">
      <c r="B558" s="10"/>
      <c r="C558" s="146"/>
      <c r="D558" s="179"/>
      <c r="E558" s="147"/>
      <c r="F558" s="147"/>
      <c r="G558" s="135"/>
      <c r="H558" s="135"/>
      <c r="I558" s="126"/>
      <c r="J558" s="126"/>
      <c r="K558" s="148"/>
      <c r="L558" s="15"/>
    </row>
    <row r="559" spans="2:12" ht="16.5" x14ac:dyDescent="0.3">
      <c r="B559" s="10"/>
      <c r="C559" s="146"/>
      <c r="D559" s="179"/>
      <c r="E559" s="147"/>
      <c r="F559" s="147"/>
      <c r="G559" s="135"/>
      <c r="H559" s="135"/>
      <c r="I559" s="126"/>
      <c r="J559" s="126"/>
      <c r="K559" s="148"/>
      <c r="L559" s="15"/>
    </row>
    <row r="560" spans="2:12" ht="16.5" x14ac:dyDescent="0.3">
      <c r="B560" s="10"/>
      <c r="C560" s="146"/>
      <c r="D560" s="179"/>
      <c r="E560" s="147"/>
      <c r="F560" s="147"/>
      <c r="G560" s="135"/>
      <c r="H560" s="135"/>
      <c r="I560" s="126"/>
      <c r="J560" s="126"/>
      <c r="K560" s="148"/>
      <c r="L560" s="15"/>
    </row>
    <row r="561" spans="2:12" ht="17.25" thickBot="1" x14ac:dyDescent="0.35">
      <c r="B561" s="10"/>
      <c r="C561" s="359"/>
      <c r="D561" s="360"/>
      <c r="E561" s="219"/>
      <c r="F561" s="219"/>
      <c r="G561" s="220"/>
      <c r="H561" s="220"/>
      <c r="I561" s="221"/>
      <c r="J561" s="221"/>
      <c r="K561" s="222"/>
      <c r="L561" s="15"/>
    </row>
    <row r="562" spans="2:12" ht="18.75" thickBot="1" x14ac:dyDescent="0.4">
      <c r="B562" s="21"/>
      <c r="C562" s="22"/>
      <c r="D562" s="22"/>
      <c r="E562" s="23"/>
      <c r="F562" s="23"/>
      <c r="G562" s="24"/>
      <c r="H562" s="24"/>
      <c r="I562" s="24"/>
      <c r="J562" s="24"/>
      <c r="K562" s="24"/>
      <c r="L562" s="25"/>
    </row>
  </sheetData>
  <sheetProtection algorithmName="SHA-512" hashValue="byE3vtqKoFF9JWNj61saknzkPATJNDSjBNAuuzKXGiDNwlbx6MCEFPy5tK5aE7142dG+lgCm2i8LKIoJEmNFvg==" saltValue="BQ0if5foNnYjmWSFQfwghw==" spinCount="100000" sheet="1" objects="1" scenarios="1"/>
  <mergeCells count="2">
    <mergeCell ref="C10:K10"/>
    <mergeCell ref="C7:K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saveChart">
                <anchor moveWithCells="1" sizeWithCells="1">
                  <from>
                    <xdr:col>9</xdr:col>
                    <xdr:colOff>971550</xdr:colOff>
                    <xdr:row>7</xdr:row>
                    <xdr:rowOff>5229225</xdr:rowOff>
                  </from>
                  <to>
                    <xdr:col>10</xdr:col>
                    <xdr:colOff>1476375</xdr:colOff>
                    <xdr:row>7</xdr:row>
                    <xdr:rowOff>6229350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rgb="FFFFBF27"/>
  </sheetPr>
  <dimension ref="A1:AB560"/>
  <sheetViews>
    <sheetView zoomScale="70" zoomScaleNormal="70" workbookViewId="0">
      <selection activeCell="I14" sqref="I14"/>
    </sheetView>
  </sheetViews>
  <sheetFormatPr defaultColWidth="11.42578125" defaultRowHeight="15" x14ac:dyDescent="0.25"/>
  <cols>
    <col min="1" max="1" width="3" style="278" customWidth="1"/>
    <col min="2" max="2" width="2.85546875" style="278" customWidth="1"/>
    <col min="3" max="3" width="13.85546875" style="287" customWidth="1"/>
    <col min="4" max="4" width="27.5703125" style="287" customWidth="1"/>
    <col min="5" max="5" width="44.85546875" style="287" customWidth="1"/>
    <col min="6" max="6" width="25" style="287" customWidth="1"/>
    <col min="7" max="7" width="21.85546875" style="287" customWidth="1"/>
    <col min="8" max="9" width="26.5703125" style="287" customWidth="1"/>
    <col min="10" max="10" width="22.42578125" style="287" customWidth="1"/>
    <col min="11" max="11" width="31.42578125" style="288" customWidth="1"/>
    <col min="12" max="12" width="19.85546875" style="287" customWidth="1"/>
    <col min="13" max="13" width="17.28515625" style="287" customWidth="1"/>
    <col min="14" max="14" width="18.85546875" style="287" hidden="1" customWidth="1"/>
    <col min="15" max="15" width="18.42578125" style="287" hidden="1" customWidth="1"/>
    <col min="16" max="16" width="53" style="287" hidden="1" customWidth="1"/>
    <col min="17" max="17" width="24.140625" style="287" customWidth="1"/>
    <col min="18" max="18" width="21.7109375" style="287" customWidth="1"/>
    <col min="19" max="19" width="29.5703125" style="287" customWidth="1"/>
    <col min="20" max="20" width="27.28515625" style="287" customWidth="1"/>
    <col min="21" max="21" width="15.140625" style="287" customWidth="1"/>
    <col min="22" max="22" width="22.85546875" style="287" customWidth="1"/>
    <col min="23" max="23" width="35.85546875" style="287" customWidth="1"/>
    <col min="24" max="24" width="29.28515625" style="287" customWidth="1"/>
    <col min="25" max="25" width="25.85546875" style="287" customWidth="1"/>
    <col min="26" max="26" width="16.28515625" style="278" customWidth="1"/>
    <col min="27" max="27" width="3" style="278" customWidth="1"/>
    <col min="28" max="16384" width="11.42578125" style="277"/>
  </cols>
  <sheetData>
    <row r="1" spans="1:28" ht="17.25" customHeight="1" thickBot="1" x14ac:dyDescent="0.3">
      <c r="A1" s="276"/>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row>
    <row r="2" spans="1:28" ht="14.25" customHeight="1" x14ac:dyDescent="0.3">
      <c r="A2" s="276"/>
      <c r="B2" s="225"/>
      <c r="C2" s="226"/>
      <c r="D2" s="227"/>
      <c r="E2" s="226"/>
      <c r="F2" s="226"/>
      <c r="G2" s="226"/>
      <c r="H2" s="226"/>
      <c r="I2" s="226"/>
      <c r="J2" s="226"/>
      <c r="K2" s="226"/>
      <c r="L2" s="226"/>
      <c r="M2" s="226"/>
      <c r="N2" s="226"/>
      <c r="O2" s="226"/>
      <c r="P2" s="226"/>
      <c r="Q2" s="226"/>
      <c r="R2" s="226"/>
      <c r="S2" s="226"/>
      <c r="T2" s="226"/>
      <c r="U2" s="226"/>
      <c r="V2" s="226"/>
      <c r="W2" s="226"/>
      <c r="X2" s="226"/>
      <c r="Y2" s="226"/>
      <c r="Z2" s="226"/>
      <c r="AA2" s="228"/>
      <c r="AB2" s="276"/>
    </row>
    <row r="3" spans="1:28" ht="82.5" customHeight="1" x14ac:dyDescent="0.3">
      <c r="A3" s="276"/>
      <c r="B3" s="229"/>
      <c r="C3" s="230" t="s">
        <v>2489</v>
      </c>
      <c r="D3" s="231"/>
      <c r="E3" s="232"/>
      <c r="F3" s="232"/>
      <c r="G3" s="232"/>
      <c r="H3" s="232"/>
      <c r="I3" s="232"/>
      <c r="J3" s="232"/>
      <c r="K3" s="232"/>
      <c r="L3" s="232"/>
      <c r="M3" s="232"/>
      <c r="N3" s="232"/>
      <c r="O3" s="232"/>
      <c r="P3" s="232"/>
      <c r="Q3" s="232"/>
      <c r="R3" s="232"/>
      <c r="S3" s="232"/>
      <c r="T3" s="232"/>
      <c r="U3" s="232"/>
      <c r="V3" s="232"/>
      <c r="W3" s="232"/>
      <c r="X3" s="232"/>
      <c r="Y3" s="232"/>
      <c r="Z3" s="233"/>
      <c r="AA3" s="234"/>
      <c r="AB3" s="276"/>
    </row>
    <row r="4" spans="1:28" ht="7.5" customHeight="1" x14ac:dyDescent="0.3">
      <c r="A4" s="276"/>
      <c r="B4" s="229"/>
      <c r="C4" s="235"/>
      <c r="D4" s="236"/>
      <c r="E4" s="235"/>
      <c r="F4" s="235"/>
      <c r="G4" s="235"/>
      <c r="H4" s="235"/>
      <c r="I4" s="235"/>
      <c r="J4" s="235"/>
      <c r="K4" s="235"/>
      <c r="L4" s="235"/>
      <c r="M4" s="235"/>
      <c r="N4" s="235"/>
      <c r="O4" s="235"/>
      <c r="P4" s="235"/>
      <c r="Q4" s="235"/>
      <c r="R4" s="235"/>
      <c r="S4" s="235"/>
      <c r="T4" s="235"/>
      <c r="U4" s="235"/>
      <c r="V4" s="235"/>
      <c r="W4" s="235"/>
      <c r="X4" s="235"/>
      <c r="Y4" s="235"/>
      <c r="Z4" s="235"/>
      <c r="AA4" s="234"/>
      <c r="AB4" s="278"/>
    </row>
    <row r="5" spans="1:28" ht="18" x14ac:dyDescent="0.35">
      <c r="A5" s="276"/>
      <c r="B5" s="229"/>
      <c r="C5" s="237" t="s">
        <v>2481</v>
      </c>
      <c r="D5" s="231"/>
      <c r="E5" s="231"/>
      <c r="F5" s="231"/>
      <c r="G5" s="231"/>
      <c r="H5" s="231"/>
      <c r="I5" s="231"/>
      <c r="J5" s="231"/>
      <c r="K5" s="231"/>
      <c r="L5" s="231"/>
      <c r="M5" s="231"/>
      <c r="N5" s="231"/>
      <c r="O5" s="231"/>
      <c r="P5" s="231"/>
      <c r="Q5" s="231"/>
      <c r="R5" s="231"/>
      <c r="S5" s="231"/>
      <c r="T5" s="231"/>
      <c r="U5" s="231"/>
      <c r="V5" s="231"/>
      <c r="W5" s="231"/>
      <c r="X5" s="231"/>
      <c r="Y5" s="231"/>
      <c r="Z5" s="279" t="str">
        <f>Impressum!F5</f>
        <v xml:space="preserve">Version 2019.1.4 </v>
      </c>
      <c r="AA5" s="234"/>
      <c r="AB5" s="278"/>
    </row>
    <row r="6" spans="1:28" ht="7.5" customHeight="1" x14ac:dyDescent="0.3">
      <c r="A6" s="276"/>
      <c r="B6" s="229"/>
      <c r="C6" s="235"/>
      <c r="D6" s="236"/>
      <c r="E6" s="235"/>
      <c r="F6" s="235"/>
      <c r="G6" s="235"/>
      <c r="H6" s="235"/>
      <c r="I6" s="235"/>
      <c r="J6" s="235"/>
      <c r="K6" s="235"/>
      <c r="L6" s="235"/>
      <c r="M6" s="235"/>
      <c r="N6" s="235"/>
      <c r="O6" s="235"/>
      <c r="P6" s="235"/>
      <c r="Q6" s="235"/>
      <c r="R6" s="235"/>
      <c r="S6" s="235"/>
      <c r="T6" s="235"/>
      <c r="U6" s="235"/>
      <c r="V6" s="235"/>
      <c r="W6" s="235"/>
      <c r="X6" s="235"/>
      <c r="Y6" s="235"/>
      <c r="Z6" s="235"/>
      <c r="AA6" s="234"/>
      <c r="AB6" s="278"/>
    </row>
    <row r="7" spans="1:28" ht="78.75" customHeight="1" x14ac:dyDescent="0.3">
      <c r="B7" s="229"/>
      <c r="C7" s="381" t="s">
        <v>2560</v>
      </c>
      <c r="D7" s="382"/>
      <c r="E7" s="382"/>
      <c r="F7" s="382"/>
      <c r="G7" s="382"/>
      <c r="H7" s="382"/>
      <c r="I7" s="382"/>
      <c r="J7" s="382"/>
      <c r="K7" s="382"/>
      <c r="L7" s="280"/>
      <c r="M7" s="280"/>
      <c r="N7" s="280"/>
      <c r="O7" s="280"/>
      <c r="P7" s="280"/>
      <c r="Q7" s="280"/>
      <c r="R7" s="280"/>
      <c r="S7" s="280"/>
      <c r="T7" s="280"/>
      <c r="U7" s="280"/>
      <c r="V7" s="280"/>
      <c r="W7" s="280"/>
      <c r="X7" s="280"/>
      <c r="Y7" s="280"/>
      <c r="Z7" s="281"/>
      <c r="AA7" s="234"/>
      <c r="AB7" s="278"/>
    </row>
    <row r="8" spans="1:28" ht="17.25" thickBot="1" x14ac:dyDescent="0.35">
      <c r="B8" s="229"/>
      <c r="C8" s="235"/>
      <c r="D8" s="236"/>
      <c r="E8" s="235"/>
      <c r="F8" s="235"/>
      <c r="G8" s="235"/>
      <c r="H8" s="235"/>
      <c r="I8" s="235"/>
      <c r="J8" s="235"/>
      <c r="K8" s="235"/>
      <c r="L8" s="235"/>
      <c r="M8" s="235"/>
      <c r="N8" s="235"/>
      <c r="O8" s="235"/>
      <c r="P8" s="235"/>
      <c r="Q8" s="235"/>
      <c r="R8" s="235"/>
      <c r="S8" s="235"/>
      <c r="T8" s="235"/>
      <c r="U8" s="235"/>
      <c r="V8" s="235"/>
      <c r="W8" s="235"/>
      <c r="X8" s="235"/>
      <c r="Y8" s="235"/>
      <c r="Z8" s="235"/>
      <c r="AA8" s="234"/>
      <c r="AB8" s="278"/>
    </row>
    <row r="9" spans="1:28" ht="16.5" x14ac:dyDescent="0.3">
      <c r="B9" s="229"/>
      <c r="C9" s="282"/>
      <c r="D9" s="283"/>
      <c r="E9" s="284"/>
      <c r="F9" s="285"/>
      <c r="G9" s="285"/>
      <c r="H9" s="285"/>
      <c r="I9" s="285"/>
      <c r="J9" s="285"/>
      <c r="K9" s="285"/>
      <c r="L9" s="285"/>
      <c r="M9" s="285"/>
      <c r="N9" s="285"/>
      <c r="O9" s="285"/>
      <c r="P9" s="285"/>
      <c r="Q9" s="285"/>
      <c r="R9" s="285"/>
      <c r="S9" s="285"/>
      <c r="T9" s="285"/>
      <c r="U9" s="285"/>
      <c r="V9" s="285"/>
      <c r="W9" s="285"/>
      <c r="X9" s="285"/>
      <c r="Y9" s="285"/>
      <c r="Z9" s="286"/>
      <c r="AA9" s="234"/>
      <c r="AB9" s="278"/>
    </row>
    <row r="10" spans="1:28" ht="64.5" customHeight="1" thickBot="1" x14ac:dyDescent="0.35">
      <c r="B10" s="229"/>
      <c r="C10" s="351" t="s">
        <v>2484</v>
      </c>
      <c r="D10" s="352" t="s">
        <v>9</v>
      </c>
      <c r="E10" s="353" t="s">
        <v>10</v>
      </c>
      <c r="F10" s="352" t="s">
        <v>11</v>
      </c>
      <c r="G10" s="352" t="s">
        <v>12</v>
      </c>
      <c r="H10" s="352" t="s">
        <v>13</v>
      </c>
      <c r="I10" s="354" t="s">
        <v>2431</v>
      </c>
      <c r="J10" s="354" t="s">
        <v>14</v>
      </c>
      <c r="K10" s="354" t="s">
        <v>15</v>
      </c>
      <c r="L10" s="354" t="s">
        <v>2432</v>
      </c>
      <c r="M10" s="354" t="s">
        <v>2529</v>
      </c>
      <c r="N10" s="354" t="s">
        <v>16</v>
      </c>
      <c r="O10" s="354" t="s">
        <v>17</v>
      </c>
      <c r="P10" s="354" t="s">
        <v>18</v>
      </c>
      <c r="Q10" s="355" t="s">
        <v>2434</v>
      </c>
      <c r="R10" s="355" t="s">
        <v>2438</v>
      </c>
      <c r="S10" s="355" t="s">
        <v>2433</v>
      </c>
      <c r="T10" s="355" t="s">
        <v>2439</v>
      </c>
      <c r="U10" s="355" t="s">
        <v>2388</v>
      </c>
      <c r="V10" s="355" t="s">
        <v>2437</v>
      </c>
      <c r="W10" s="354" t="s">
        <v>2435</v>
      </c>
      <c r="X10" s="355" t="s">
        <v>2436</v>
      </c>
      <c r="Y10" s="355" t="s">
        <v>2470</v>
      </c>
      <c r="Z10" s="356" t="s">
        <v>2471</v>
      </c>
      <c r="AA10" s="234"/>
      <c r="AB10" s="278"/>
    </row>
    <row r="11" spans="1:28" ht="18.75" customHeight="1" x14ac:dyDescent="0.3">
      <c r="B11" s="229"/>
      <c r="C11" s="289" t="s">
        <v>21</v>
      </c>
      <c r="D11" s="293" t="s">
        <v>2528</v>
      </c>
      <c r="E11" s="293" t="s">
        <v>2528</v>
      </c>
      <c r="F11" s="293" t="s">
        <v>2528</v>
      </c>
      <c r="G11" s="293" t="s">
        <v>2528</v>
      </c>
      <c r="H11" s="293" t="s">
        <v>2528</v>
      </c>
      <c r="I11" s="293" t="s">
        <v>2528</v>
      </c>
      <c r="J11" s="293" t="s">
        <v>2528</v>
      </c>
      <c r="K11" s="293" t="s">
        <v>2528</v>
      </c>
      <c r="L11" s="293" t="s">
        <v>2528</v>
      </c>
      <c r="M11" s="293" t="s">
        <v>2528</v>
      </c>
      <c r="N11" s="294"/>
      <c r="O11" s="294"/>
      <c r="P11" s="294"/>
      <c r="Q11" s="294" t="s">
        <v>2530</v>
      </c>
      <c r="R11" s="294" t="s">
        <v>2530</v>
      </c>
      <c r="S11" s="293" t="s">
        <v>2528</v>
      </c>
      <c r="T11" s="293" t="s">
        <v>2528</v>
      </c>
      <c r="U11" s="294" t="s">
        <v>2530</v>
      </c>
      <c r="V11" s="293" t="s">
        <v>2528</v>
      </c>
      <c r="W11" s="294" t="s">
        <v>2530</v>
      </c>
      <c r="X11" s="297">
        <f>IF(ISNUMBER((1-VLOOKUP(R11,Start!$H$33:$I$40,2,FALSE)/100)*W11),(1-VLOOKUP(R11,Start!$H$33:$I$40,2,FALSE)/100)*W11,0)</f>
        <v>0</v>
      </c>
      <c r="Y11" s="297">
        <f>IF(ISNUMBER(VLOOKUP(Q11,Start!$C$9:$D$15,2,FALSE)+VLOOKUP(Q11,Start!$C$23:$D$29,2,FALSE)),VLOOKUP(Q11,Start!$C$9:$D$15,2,FALSE)+VLOOKUP(Q11,Start!$C$23:$D$29,2,FALSE),0)</f>
        <v>0</v>
      </c>
      <c r="Z11" s="298">
        <f>IF(ISNUMBER((Y11/U11)+Start!$D$19*(VLOOKUP(Q11,Start!$M$33:$N$39,2,FALSE)/U11)+VLOOKUP(R11,Start!$C$33:$D$40,2,FALSE)),(Y11/U11)+Start!$D$19*(VLOOKUP(Q11,Start!$M$33:$N$39,2,FALSE)/U11)+VLOOKUP(R11,Start!$C$33:$D$40,2,FALSE),0)</f>
        <v>0</v>
      </c>
      <c r="AA11" s="234"/>
      <c r="AB11" s="278"/>
    </row>
    <row r="12" spans="1:28" ht="18.75" customHeight="1" x14ac:dyDescent="0.3">
      <c r="B12" s="229"/>
      <c r="C12" s="289" t="s">
        <v>21</v>
      </c>
      <c r="D12" s="293" t="s">
        <v>2528</v>
      </c>
      <c r="E12" s="293" t="s">
        <v>2528</v>
      </c>
      <c r="F12" s="293" t="s">
        <v>2528</v>
      </c>
      <c r="G12" s="293" t="s">
        <v>2528</v>
      </c>
      <c r="H12" s="293" t="s">
        <v>2528</v>
      </c>
      <c r="I12" s="293" t="s">
        <v>2528</v>
      </c>
      <c r="J12" s="293" t="s">
        <v>2528</v>
      </c>
      <c r="K12" s="293" t="s">
        <v>2528</v>
      </c>
      <c r="L12" s="293" t="s">
        <v>2528</v>
      </c>
      <c r="M12" s="293" t="s">
        <v>2528</v>
      </c>
      <c r="N12" s="295"/>
      <c r="O12" s="295"/>
      <c r="P12" s="296"/>
      <c r="Q12" s="294" t="s">
        <v>2530</v>
      </c>
      <c r="R12" s="294" t="s">
        <v>2530</v>
      </c>
      <c r="S12" s="293" t="s">
        <v>2528</v>
      </c>
      <c r="T12" s="293" t="s">
        <v>2528</v>
      </c>
      <c r="U12" s="294" t="s">
        <v>2530</v>
      </c>
      <c r="V12" s="293" t="s">
        <v>2528</v>
      </c>
      <c r="W12" s="294" t="s">
        <v>2530</v>
      </c>
      <c r="X12" s="297">
        <f>IF(ISNUMBER((1-VLOOKUP(R12,Start!$H$33:$I$40,2,FALSE)/100)*W12),(1-VLOOKUP(R12,Start!$H$33:$I$40,2,FALSE)/100)*W12,0)</f>
        <v>0</v>
      </c>
      <c r="Y12" s="297">
        <f>IF(ISNUMBER(VLOOKUP(Q12,Start!$C$9:$D$15,2,FALSE)+VLOOKUP(Q12,Start!$C$23:$D$29,2,FALSE)),VLOOKUP(Q12,Start!$C$9:$D$15,2,FALSE)+VLOOKUP(Q12,Start!$C$23:$D$29,2,FALSE),0)</f>
        <v>0</v>
      </c>
      <c r="Z12" s="298">
        <f>IF(ISNUMBER((Y12/U12)+Start!$D$19*(VLOOKUP(Q12,Start!$M$33:$N$39,2,FALSE)/U12)+VLOOKUP(R12,Start!$C$33:$D$40,2,FALSE)),(Y12/U12)+Start!$D$19*(VLOOKUP(Q12,Start!$M$33:$N$39,2,FALSE)/U12)+VLOOKUP(R12,Start!$C$33:$D$40,2,FALSE),0)</f>
        <v>0</v>
      </c>
      <c r="AA12" s="234"/>
      <c r="AB12" s="278"/>
    </row>
    <row r="13" spans="1:28" ht="18.75" customHeight="1" x14ac:dyDescent="0.3">
      <c r="B13" s="229"/>
      <c r="C13" s="289" t="s">
        <v>21</v>
      </c>
      <c r="D13" s="293" t="s">
        <v>2528</v>
      </c>
      <c r="E13" s="293" t="s">
        <v>2528</v>
      </c>
      <c r="F13" s="293" t="s">
        <v>2528</v>
      </c>
      <c r="G13" s="293" t="s">
        <v>2528</v>
      </c>
      <c r="H13" s="293" t="s">
        <v>2528</v>
      </c>
      <c r="I13" s="293" t="s">
        <v>2528</v>
      </c>
      <c r="J13" s="293" t="s">
        <v>2528</v>
      </c>
      <c r="K13" s="293" t="s">
        <v>2528</v>
      </c>
      <c r="L13" s="293" t="s">
        <v>2528</v>
      </c>
      <c r="M13" s="293" t="s">
        <v>2528</v>
      </c>
      <c r="N13" s="295"/>
      <c r="O13" s="295"/>
      <c r="P13" s="296"/>
      <c r="Q13" s="294" t="s">
        <v>2530</v>
      </c>
      <c r="R13" s="294" t="s">
        <v>2530</v>
      </c>
      <c r="S13" s="293" t="s">
        <v>2528</v>
      </c>
      <c r="T13" s="293" t="s">
        <v>2528</v>
      </c>
      <c r="U13" s="294" t="s">
        <v>2530</v>
      </c>
      <c r="V13" s="293" t="s">
        <v>2528</v>
      </c>
      <c r="W13" s="294" t="s">
        <v>2530</v>
      </c>
      <c r="X13" s="297">
        <f>IF(ISNUMBER((1-VLOOKUP(R13,Start!$H$33:$I$40,2,FALSE)/100)*W13),(1-VLOOKUP(R13,Start!$H$33:$I$40,2,FALSE)/100)*W13,0)</f>
        <v>0</v>
      </c>
      <c r="Y13" s="297">
        <f>IF(ISNUMBER(VLOOKUP(Q13,Start!$C$9:$D$15,2,FALSE)+VLOOKUP(Q13,Start!$C$23:$D$29,2,FALSE)),VLOOKUP(Q13,Start!$C$9:$D$15,2,FALSE)+VLOOKUP(Q13,Start!$C$23:$D$29,2,FALSE),0)</f>
        <v>0</v>
      </c>
      <c r="Z13" s="298">
        <f>IF(ISNUMBER((Y13/U13)+Start!$D$19*(VLOOKUP(Q13,Start!$M$33:$N$39,2,FALSE)/U13)+VLOOKUP(R13,Start!$C$33:$D$40,2,FALSE)),(Y13/U13)+Start!$D$19*(VLOOKUP(Q13,Start!$M$33:$N$39,2,FALSE)/U13)+VLOOKUP(R13,Start!$C$33:$D$40,2,FALSE),0)</f>
        <v>0</v>
      </c>
      <c r="AA13" s="234"/>
      <c r="AB13" s="278"/>
    </row>
    <row r="14" spans="1:28" ht="18.75" customHeight="1" x14ac:dyDescent="0.3">
      <c r="B14" s="229"/>
      <c r="C14" s="289" t="s">
        <v>21</v>
      </c>
      <c r="D14" s="293" t="s">
        <v>2528</v>
      </c>
      <c r="E14" s="293" t="s">
        <v>2528</v>
      </c>
      <c r="F14" s="293" t="s">
        <v>2528</v>
      </c>
      <c r="G14" s="293" t="s">
        <v>2528</v>
      </c>
      <c r="H14" s="293" t="s">
        <v>2528</v>
      </c>
      <c r="I14" s="293" t="s">
        <v>2528</v>
      </c>
      <c r="J14" s="293" t="s">
        <v>2528</v>
      </c>
      <c r="K14" s="293" t="s">
        <v>2528</v>
      </c>
      <c r="L14" s="293" t="s">
        <v>2528</v>
      </c>
      <c r="M14" s="293" t="s">
        <v>2528</v>
      </c>
      <c r="N14" s="295"/>
      <c r="O14" s="295"/>
      <c r="P14" s="296"/>
      <c r="Q14" s="294" t="s">
        <v>2530</v>
      </c>
      <c r="R14" s="294" t="s">
        <v>2530</v>
      </c>
      <c r="S14" s="293" t="s">
        <v>2528</v>
      </c>
      <c r="T14" s="293" t="s">
        <v>2528</v>
      </c>
      <c r="U14" s="294" t="s">
        <v>2530</v>
      </c>
      <c r="V14" s="293" t="s">
        <v>2528</v>
      </c>
      <c r="W14" s="294" t="s">
        <v>2530</v>
      </c>
      <c r="X14" s="297">
        <f>IF(ISNUMBER((1-VLOOKUP(R14,Start!$H$33:$I$40,2,FALSE)/100)*W14),(1-VLOOKUP(R14,Start!$H$33:$I$40,2,FALSE)/100)*W14,0)</f>
        <v>0</v>
      </c>
      <c r="Y14" s="297">
        <f>IF(ISNUMBER(VLOOKUP(Q14,Start!$C$9:$D$15,2,FALSE)+VLOOKUP(Q14,Start!$C$23:$D$29,2,FALSE)),VLOOKUP(Q14,Start!$C$9:$D$15,2,FALSE)+VLOOKUP(Q14,Start!$C$23:$D$29,2,FALSE),0)</f>
        <v>0</v>
      </c>
      <c r="Z14" s="298">
        <f>IF(ISNUMBER((Y14/U14)+Start!$D$19*(VLOOKUP(Q14,Start!$M$33:$N$39,2,FALSE)/U14)+VLOOKUP(R14,Start!$C$33:$D$40,2,FALSE)),(Y14/U14)+Start!$D$19*(VLOOKUP(Q14,Start!$M$33:$N$39,2,FALSE)/U14)+VLOOKUP(R14,Start!$C$33:$D$40,2,FALSE),0)</f>
        <v>0</v>
      </c>
      <c r="AA14" s="234"/>
      <c r="AB14" s="278"/>
    </row>
    <row r="15" spans="1:28" ht="18.75" customHeight="1" x14ac:dyDescent="0.3">
      <c r="B15" s="229"/>
      <c r="C15" s="289" t="s">
        <v>21</v>
      </c>
      <c r="D15" s="293" t="s">
        <v>2528</v>
      </c>
      <c r="E15" s="293" t="s">
        <v>2528</v>
      </c>
      <c r="F15" s="293" t="s">
        <v>2528</v>
      </c>
      <c r="G15" s="293" t="s">
        <v>2528</v>
      </c>
      <c r="H15" s="293" t="s">
        <v>2528</v>
      </c>
      <c r="I15" s="293" t="s">
        <v>2528</v>
      </c>
      <c r="J15" s="293" t="s">
        <v>2528</v>
      </c>
      <c r="K15" s="293" t="s">
        <v>2528</v>
      </c>
      <c r="L15" s="293" t="s">
        <v>2528</v>
      </c>
      <c r="M15" s="293" t="s">
        <v>2528</v>
      </c>
      <c r="N15" s="295"/>
      <c r="O15" s="295"/>
      <c r="P15" s="296"/>
      <c r="Q15" s="294" t="s">
        <v>2530</v>
      </c>
      <c r="R15" s="294" t="s">
        <v>2530</v>
      </c>
      <c r="S15" s="293" t="s">
        <v>2528</v>
      </c>
      <c r="T15" s="293" t="s">
        <v>2528</v>
      </c>
      <c r="U15" s="294" t="s">
        <v>2530</v>
      </c>
      <c r="V15" s="293" t="s">
        <v>2528</v>
      </c>
      <c r="W15" s="294" t="s">
        <v>2530</v>
      </c>
      <c r="X15" s="297">
        <f>IF(ISNUMBER((1-VLOOKUP(R15,Start!$H$33:$I$40,2,FALSE)/100)*W15),(1-VLOOKUP(R15,Start!$H$33:$I$40,2,FALSE)/100)*W15,0)</f>
        <v>0</v>
      </c>
      <c r="Y15" s="297">
        <f>IF(ISNUMBER(VLOOKUP(Q15,Start!$C$9:$D$15,2,FALSE)+VLOOKUP(Q15,Start!$C$23:$D$29,2,FALSE)),VLOOKUP(Q15,Start!$C$9:$D$15,2,FALSE)+VLOOKUP(Q15,Start!$C$23:$D$29,2,FALSE),0)</f>
        <v>0</v>
      </c>
      <c r="Z15" s="298">
        <f>IF(ISNUMBER((Y15/U15)+Start!$D$19*(VLOOKUP(Q15,Start!$M$33:$N$39,2,FALSE)/U15)+VLOOKUP(R15,Start!$C$33:$D$40,2,FALSE)),(Y15/U15)+Start!$D$19*(VLOOKUP(Q15,Start!$M$33:$N$39,2,FALSE)/U15)+VLOOKUP(R15,Start!$C$33:$D$40,2,FALSE),0)</f>
        <v>0</v>
      </c>
      <c r="AA15" s="234"/>
      <c r="AB15" s="278"/>
    </row>
    <row r="16" spans="1:28" ht="18.75" customHeight="1" x14ac:dyDescent="0.3">
      <c r="B16" s="229"/>
      <c r="C16" s="289" t="s">
        <v>21</v>
      </c>
      <c r="D16" s="293" t="s">
        <v>2528</v>
      </c>
      <c r="E16" s="293" t="s">
        <v>2528</v>
      </c>
      <c r="F16" s="293" t="s">
        <v>2528</v>
      </c>
      <c r="G16" s="293" t="s">
        <v>2528</v>
      </c>
      <c r="H16" s="293" t="s">
        <v>2528</v>
      </c>
      <c r="I16" s="293" t="s">
        <v>2528</v>
      </c>
      <c r="J16" s="293" t="s">
        <v>2528</v>
      </c>
      <c r="K16" s="293" t="s">
        <v>2528</v>
      </c>
      <c r="L16" s="293" t="s">
        <v>2528</v>
      </c>
      <c r="M16" s="293" t="s">
        <v>2528</v>
      </c>
      <c r="N16" s="295"/>
      <c r="O16" s="295"/>
      <c r="P16" s="296"/>
      <c r="Q16" s="294" t="s">
        <v>2530</v>
      </c>
      <c r="R16" s="294" t="s">
        <v>2530</v>
      </c>
      <c r="S16" s="293" t="s">
        <v>2528</v>
      </c>
      <c r="T16" s="293" t="s">
        <v>2528</v>
      </c>
      <c r="U16" s="294" t="s">
        <v>2530</v>
      </c>
      <c r="V16" s="293" t="s">
        <v>2528</v>
      </c>
      <c r="W16" s="294" t="s">
        <v>2530</v>
      </c>
      <c r="X16" s="297">
        <f>IF(ISNUMBER((1-VLOOKUP(R16,Start!$H$33:$I$40,2,FALSE)/100)*W16),(1-VLOOKUP(R16,Start!$H$33:$I$40,2,FALSE)/100)*W16,0)</f>
        <v>0</v>
      </c>
      <c r="Y16" s="297">
        <f>IF(ISNUMBER(VLOOKUP(Q16,Start!$C$9:$D$15,2,FALSE)+VLOOKUP(Q16,Start!$C$23:$D$29,2,FALSE)),VLOOKUP(Q16,Start!$C$9:$D$15,2,FALSE)+VLOOKUP(Q16,Start!$C$23:$D$29,2,FALSE),0)</f>
        <v>0</v>
      </c>
      <c r="Z16" s="298">
        <f>IF(ISNUMBER((Y16/U16)+Start!$D$19*(VLOOKUP(Q16,Start!$M$33:$N$39,2,FALSE)/U16)+VLOOKUP(R16,Start!$C$33:$D$40,2,FALSE)),(Y16/U16)+Start!$D$19*(VLOOKUP(Q16,Start!$M$33:$N$39,2,FALSE)/U16)+VLOOKUP(R16,Start!$C$33:$D$40,2,FALSE),0)</f>
        <v>0</v>
      </c>
      <c r="AA16" s="234"/>
      <c r="AB16" s="278"/>
    </row>
    <row r="17" spans="2:28" ht="18.75" customHeight="1" x14ac:dyDescent="0.3">
      <c r="B17" s="229"/>
      <c r="C17" s="289" t="s">
        <v>21</v>
      </c>
      <c r="D17" s="293" t="s">
        <v>2528</v>
      </c>
      <c r="E17" s="293" t="s">
        <v>2528</v>
      </c>
      <c r="F17" s="293" t="s">
        <v>2528</v>
      </c>
      <c r="G17" s="293" t="s">
        <v>2528</v>
      </c>
      <c r="H17" s="293" t="s">
        <v>2528</v>
      </c>
      <c r="I17" s="293" t="s">
        <v>2528</v>
      </c>
      <c r="J17" s="293" t="s">
        <v>2528</v>
      </c>
      <c r="K17" s="293" t="s">
        <v>2528</v>
      </c>
      <c r="L17" s="293" t="s">
        <v>2528</v>
      </c>
      <c r="M17" s="293" t="s">
        <v>2528</v>
      </c>
      <c r="N17" s="295"/>
      <c r="O17" s="295"/>
      <c r="P17" s="296"/>
      <c r="Q17" s="294" t="s">
        <v>2530</v>
      </c>
      <c r="R17" s="294" t="s">
        <v>2530</v>
      </c>
      <c r="S17" s="293" t="s">
        <v>2528</v>
      </c>
      <c r="T17" s="293" t="s">
        <v>2528</v>
      </c>
      <c r="U17" s="294" t="s">
        <v>2530</v>
      </c>
      <c r="V17" s="293" t="s">
        <v>2528</v>
      </c>
      <c r="W17" s="294" t="s">
        <v>2530</v>
      </c>
      <c r="X17" s="297">
        <f>IF(ISNUMBER((1-VLOOKUP(R17,Start!$H$33:$I$40,2,FALSE)/100)*W17),(1-VLOOKUP(R17,Start!$H$33:$I$40,2,FALSE)/100)*W17,0)</f>
        <v>0</v>
      </c>
      <c r="Y17" s="297">
        <f>IF(ISNUMBER(VLOOKUP(Q17,Start!$C$9:$D$15,2,FALSE)+VLOOKUP(Q17,Start!$C$23:$D$29,2,FALSE)),VLOOKUP(Q17,Start!$C$9:$D$15,2,FALSE)+VLOOKUP(Q17,Start!$C$23:$D$29,2,FALSE),0)</f>
        <v>0</v>
      </c>
      <c r="Z17" s="298">
        <f>IF(ISNUMBER((Y17/U17)+Start!$D$19*(VLOOKUP(Q17,Start!$M$33:$N$39,2,FALSE)/U17)+VLOOKUP(R17,Start!$C$33:$D$40,2,FALSE)),(Y17/U17)+Start!$D$19*(VLOOKUP(Q17,Start!$M$33:$N$39,2,FALSE)/U17)+VLOOKUP(R17,Start!$C$33:$D$40,2,FALSE),0)</f>
        <v>0</v>
      </c>
      <c r="AA17" s="234"/>
      <c r="AB17" s="278"/>
    </row>
    <row r="18" spans="2:28" ht="18.75" customHeight="1" x14ac:dyDescent="0.3">
      <c r="B18" s="229"/>
      <c r="C18" s="289" t="s">
        <v>21</v>
      </c>
      <c r="D18" s="293" t="s">
        <v>2528</v>
      </c>
      <c r="E18" s="293" t="s">
        <v>2528</v>
      </c>
      <c r="F18" s="293" t="s">
        <v>2528</v>
      </c>
      <c r="G18" s="293" t="s">
        <v>2528</v>
      </c>
      <c r="H18" s="293" t="s">
        <v>2528</v>
      </c>
      <c r="I18" s="293" t="s">
        <v>2528</v>
      </c>
      <c r="J18" s="293" t="s">
        <v>2528</v>
      </c>
      <c r="K18" s="293" t="s">
        <v>2528</v>
      </c>
      <c r="L18" s="293" t="s">
        <v>2528</v>
      </c>
      <c r="M18" s="293" t="s">
        <v>2528</v>
      </c>
      <c r="N18" s="295"/>
      <c r="O18" s="295"/>
      <c r="P18" s="296"/>
      <c r="Q18" s="294" t="s">
        <v>2530</v>
      </c>
      <c r="R18" s="294" t="s">
        <v>2530</v>
      </c>
      <c r="S18" s="293" t="s">
        <v>2528</v>
      </c>
      <c r="T18" s="293" t="s">
        <v>2528</v>
      </c>
      <c r="U18" s="294" t="s">
        <v>2530</v>
      </c>
      <c r="V18" s="293" t="s">
        <v>2528</v>
      </c>
      <c r="W18" s="294" t="s">
        <v>2530</v>
      </c>
      <c r="X18" s="297">
        <f>IF(ISNUMBER((1-VLOOKUP(R18,Start!$H$33:$I$40,2,FALSE)/100)*W18),(1-VLOOKUP(R18,Start!$H$33:$I$40,2,FALSE)/100)*W18,0)</f>
        <v>0</v>
      </c>
      <c r="Y18" s="297">
        <f>IF(ISNUMBER(VLOOKUP(Q18,Start!$C$9:$D$15,2,FALSE)+VLOOKUP(Q18,Start!$C$23:$D$29,2,FALSE)),VLOOKUP(Q18,Start!$C$9:$D$15,2,FALSE)+VLOOKUP(Q18,Start!$C$23:$D$29,2,FALSE),0)</f>
        <v>0</v>
      </c>
      <c r="Z18" s="298">
        <f>IF(ISNUMBER((Y18/U18)+Start!$D$19*(VLOOKUP(Q18,Start!$M$33:$N$39,2,FALSE)/U18)+VLOOKUP(R18,Start!$C$33:$D$40,2,FALSE)),(Y18/U18)+Start!$D$19*(VLOOKUP(Q18,Start!$M$33:$N$39,2,FALSE)/U18)+VLOOKUP(R18,Start!$C$33:$D$40,2,FALSE),0)</f>
        <v>0</v>
      </c>
      <c r="AA18" s="234"/>
      <c r="AB18" s="278"/>
    </row>
    <row r="19" spans="2:28" ht="18.75" customHeight="1" x14ac:dyDescent="0.3">
      <c r="B19" s="229"/>
      <c r="C19" s="289" t="s">
        <v>21</v>
      </c>
      <c r="D19" s="293" t="s">
        <v>2528</v>
      </c>
      <c r="E19" s="293" t="s">
        <v>2528</v>
      </c>
      <c r="F19" s="293" t="s">
        <v>2528</v>
      </c>
      <c r="G19" s="293" t="s">
        <v>2528</v>
      </c>
      <c r="H19" s="293" t="s">
        <v>2528</v>
      </c>
      <c r="I19" s="293" t="s">
        <v>2528</v>
      </c>
      <c r="J19" s="293" t="s">
        <v>2528</v>
      </c>
      <c r="K19" s="293" t="s">
        <v>2528</v>
      </c>
      <c r="L19" s="293" t="s">
        <v>2528</v>
      </c>
      <c r="M19" s="293" t="s">
        <v>2528</v>
      </c>
      <c r="N19" s="295"/>
      <c r="O19" s="295"/>
      <c r="P19" s="296"/>
      <c r="Q19" s="294" t="s">
        <v>2530</v>
      </c>
      <c r="R19" s="294" t="s">
        <v>2530</v>
      </c>
      <c r="S19" s="293" t="s">
        <v>2528</v>
      </c>
      <c r="T19" s="293" t="s">
        <v>2528</v>
      </c>
      <c r="U19" s="294" t="s">
        <v>2530</v>
      </c>
      <c r="V19" s="293" t="s">
        <v>2528</v>
      </c>
      <c r="W19" s="294" t="s">
        <v>2530</v>
      </c>
      <c r="X19" s="297">
        <f>IF(ISNUMBER((1-VLOOKUP(R19,Start!$H$33:$I$40,2,FALSE)/100)*W19),(1-VLOOKUP(R19,Start!$H$33:$I$40,2,FALSE)/100)*W19,0)</f>
        <v>0</v>
      </c>
      <c r="Y19" s="297">
        <f>IF(ISNUMBER(VLOOKUP(Q19,Start!$C$9:$D$15,2,FALSE)+VLOOKUP(Q19,Start!$C$23:$D$29,2,FALSE)),VLOOKUP(Q19,Start!$C$9:$D$15,2,FALSE)+VLOOKUP(Q19,Start!$C$23:$D$29,2,FALSE),0)</f>
        <v>0</v>
      </c>
      <c r="Z19" s="298">
        <f>IF(ISNUMBER((Y19/U19)+Start!$D$19*(VLOOKUP(Q19,Start!$M$33:$N$39,2,FALSE)/U19)+VLOOKUP(R19,Start!$C$33:$D$40,2,FALSE)),(Y19/U19)+Start!$D$19*(VLOOKUP(Q19,Start!$M$33:$N$39,2,FALSE)/U19)+VLOOKUP(R19,Start!$C$33:$D$40,2,FALSE),0)</f>
        <v>0</v>
      </c>
      <c r="AA19" s="234"/>
      <c r="AB19" s="278"/>
    </row>
    <row r="20" spans="2:28" ht="18.75" customHeight="1" x14ac:dyDescent="0.3">
      <c r="B20" s="229"/>
      <c r="C20" s="289" t="s">
        <v>21</v>
      </c>
      <c r="D20" s="293" t="s">
        <v>2528</v>
      </c>
      <c r="E20" s="293" t="s">
        <v>2528</v>
      </c>
      <c r="F20" s="293" t="s">
        <v>2528</v>
      </c>
      <c r="G20" s="293" t="s">
        <v>2528</v>
      </c>
      <c r="H20" s="293" t="s">
        <v>2528</v>
      </c>
      <c r="I20" s="293" t="s">
        <v>2528</v>
      </c>
      <c r="J20" s="293" t="s">
        <v>2528</v>
      </c>
      <c r="K20" s="293" t="s">
        <v>2528</v>
      </c>
      <c r="L20" s="293" t="s">
        <v>2528</v>
      </c>
      <c r="M20" s="293" t="s">
        <v>2528</v>
      </c>
      <c r="N20" s="295"/>
      <c r="O20" s="295"/>
      <c r="P20" s="296"/>
      <c r="Q20" s="294" t="s">
        <v>2530</v>
      </c>
      <c r="R20" s="294" t="s">
        <v>2530</v>
      </c>
      <c r="S20" s="293" t="s">
        <v>2528</v>
      </c>
      <c r="T20" s="293" t="s">
        <v>2528</v>
      </c>
      <c r="U20" s="294" t="s">
        <v>2530</v>
      </c>
      <c r="V20" s="293" t="s">
        <v>2528</v>
      </c>
      <c r="W20" s="294" t="s">
        <v>2530</v>
      </c>
      <c r="X20" s="297">
        <f>IF(ISNUMBER((1-VLOOKUP(R20,Start!$H$33:$I$40,2,FALSE)/100)*W20),(1-VLOOKUP(R20,Start!$H$33:$I$40,2,FALSE)/100)*W20,0)</f>
        <v>0</v>
      </c>
      <c r="Y20" s="297">
        <f>IF(ISNUMBER(VLOOKUP(Q20,Start!$C$9:$D$15,2,FALSE)+VLOOKUP(Q20,Start!$C$23:$D$29,2,FALSE)),VLOOKUP(Q20,Start!$C$9:$D$15,2,FALSE)+VLOOKUP(Q20,Start!$C$23:$D$29,2,FALSE),0)</f>
        <v>0</v>
      </c>
      <c r="Z20" s="298">
        <f>IF(ISNUMBER((Y20/U20)+Start!$D$19*(VLOOKUP(Q20,Start!$M$33:$N$39,2,FALSE)/U20)+VLOOKUP(R20,Start!$C$33:$D$40,2,FALSE)),(Y20/U20)+Start!$D$19*(VLOOKUP(Q20,Start!$M$33:$N$39,2,FALSE)/U20)+VLOOKUP(R20,Start!$C$33:$D$40,2,FALSE),0)</f>
        <v>0</v>
      </c>
      <c r="AA20" s="234"/>
      <c r="AB20" s="278"/>
    </row>
    <row r="21" spans="2:28" ht="18.75" customHeight="1" x14ac:dyDescent="0.3">
      <c r="B21" s="229"/>
      <c r="C21" s="289" t="s">
        <v>2485</v>
      </c>
      <c r="D21" s="299" t="s">
        <v>35</v>
      </c>
      <c r="E21" s="300" t="s">
        <v>29</v>
      </c>
      <c r="F21" s="301" t="s">
        <v>30</v>
      </c>
      <c r="G21" s="302">
        <v>31061</v>
      </c>
      <c r="H21" s="303" t="s">
        <v>31</v>
      </c>
      <c r="I21" s="303" t="s">
        <v>32</v>
      </c>
      <c r="J21" s="301" t="s">
        <v>22</v>
      </c>
      <c r="K21" s="301" t="s">
        <v>36</v>
      </c>
      <c r="L21" s="304" t="s">
        <v>2116</v>
      </c>
      <c r="M21" s="300" t="s">
        <v>7</v>
      </c>
      <c r="N21" s="132"/>
      <c r="O21" s="303"/>
      <c r="P21" s="300" t="s">
        <v>7</v>
      </c>
      <c r="Q21" s="300" t="s">
        <v>7</v>
      </c>
      <c r="R21" s="300" t="s">
        <v>226</v>
      </c>
      <c r="S21" s="300" t="s">
        <v>1981</v>
      </c>
      <c r="T21" s="300" t="s">
        <v>2458</v>
      </c>
      <c r="U21" s="303">
        <v>0.32669999999999999</v>
      </c>
      <c r="V21" s="300" t="s">
        <v>2458</v>
      </c>
      <c r="W21" s="297">
        <v>11</v>
      </c>
      <c r="X21" s="297">
        <f>(1-VLOOKUP(R21,Start!$H$33:$I$40,2,FALSE)/100)*W21</f>
        <v>9.7900000000000009</v>
      </c>
      <c r="Y21" s="297">
        <f>VLOOKUP(Q21,Start!$C$9:$D$15,2,FALSE)+VLOOKUP(Q21,Start!$C$23:$D$29,2,FALSE)</f>
        <v>23.27</v>
      </c>
      <c r="Z21" s="298">
        <f>(Y21/U21)+Start!$D$19*(VLOOKUP(Q21,Start!$M$33:$N$39,2,FALSE)/U21)+VLOOKUP(R21,Start!$C$33:$D$40,2,FALSE)</f>
        <v>87.862411998775642</v>
      </c>
      <c r="AA21" s="234"/>
      <c r="AB21" s="278"/>
    </row>
    <row r="22" spans="2:28" ht="18.75" customHeight="1" x14ac:dyDescent="0.3">
      <c r="B22" s="229"/>
      <c r="C22" s="289" t="s">
        <v>2485</v>
      </c>
      <c r="D22" s="305" t="s">
        <v>39</v>
      </c>
      <c r="E22" s="300" t="s">
        <v>40</v>
      </c>
      <c r="F22" s="300" t="s">
        <v>41</v>
      </c>
      <c r="G22" s="302">
        <v>73776</v>
      </c>
      <c r="H22" s="300" t="s">
        <v>42</v>
      </c>
      <c r="I22" s="300" t="s">
        <v>43</v>
      </c>
      <c r="J22" s="306" t="s">
        <v>20</v>
      </c>
      <c r="K22" s="300" t="s">
        <v>44</v>
      </c>
      <c r="L22" s="304" t="s">
        <v>1988</v>
      </c>
      <c r="M22" s="300" t="s">
        <v>7</v>
      </c>
      <c r="N22" s="300"/>
      <c r="O22" s="300"/>
      <c r="P22" s="300" t="s">
        <v>7</v>
      </c>
      <c r="Q22" s="300" t="s">
        <v>7</v>
      </c>
      <c r="R22" s="300" t="s">
        <v>96</v>
      </c>
      <c r="S22" s="300" t="s">
        <v>2115</v>
      </c>
      <c r="T22" s="300" t="s">
        <v>2458</v>
      </c>
      <c r="U22" s="303">
        <v>0.37219999999999998</v>
      </c>
      <c r="V22" s="300" t="s">
        <v>2458</v>
      </c>
      <c r="W22" s="307">
        <v>65</v>
      </c>
      <c r="X22" s="297">
        <f>(1-VLOOKUP(R22,Start!$H$33:$I$40,2,FALSE)/100)*W22</f>
        <v>57.85</v>
      </c>
      <c r="Y22" s="297">
        <f>VLOOKUP(Q22,Start!$C$9:$D$15,2,FALSE)+VLOOKUP(Q22,Start!$C$23:$D$29,2,FALSE)</f>
        <v>23.27</v>
      </c>
      <c r="Z22" s="298">
        <f>(Y22/U22)+Start!$D$19*(VLOOKUP(Q22,Start!$M$33:$N$39,2,FALSE)/U22)+VLOOKUP(R22,Start!$C$33:$D$40,2,FALSE)</f>
        <v>76.804943578721122</v>
      </c>
      <c r="AA22" s="234"/>
      <c r="AB22" s="278"/>
    </row>
    <row r="23" spans="2:28" ht="18.75" customHeight="1" x14ac:dyDescent="0.3">
      <c r="B23" s="229"/>
      <c r="C23" s="289" t="s">
        <v>2485</v>
      </c>
      <c r="D23" s="305" t="s">
        <v>45</v>
      </c>
      <c r="E23" s="300" t="s">
        <v>40</v>
      </c>
      <c r="F23" s="300" t="s">
        <v>41</v>
      </c>
      <c r="G23" s="302">
        <v>73776</v>
      </c>
      <c r="H23" s="300" t="s">
        <v>42</v>
      </c>
      <c r="I23" s="300" t="s">
        <v>43</v>
      </c>
      <c r="J23" s="306" t="s">
        <v>20</v>
      </c>
      <c r="K23" s="300" t="s">
        <v>46</v>
      </c>
      <c r="L23" s="304" t="s">
        <v>2026</v>
      </c>
      <c r="M23" s="300" t="s">
        <v>47</v>
      </c>
      <c r="N23" s="300" t="s">
        <v>7</v>
      </c>
      <c r="O23" s="300" t="s">
        <v>48</v>
      </c>
      <c r="P23" s="300" t="s">
        <v>7</v>
      </c>
      <c r="Q23" s="300" t="s">
        <v>7</v>
      </c>
      <c r="R23" s="300" t="s">
        <v>96</v>
      </c>
      <c r="S23" s="300" t="s">
        <v>2115</v>
      </c>
      <c r="T23" s="300" t="s">
        <v>2458</v>
      </c>
      <c r="U23" s="303">
        <v>0.30459999999999998</v>
      </c>
      <c r="V23" s="300" t="s">
        <v>2458</v>
      </c>
      <c r="W23" s="307">
        <v>50</v>
      </c>
      <c r="X23" s="297">
        <f>(1-VLOOKUP(R23,Start!$H$33:$I$40,2,FALSE)/100)*W23</f>
        <v>44.5</v>
      </c>
      <c r="Y23" s="297">
        <f>VLOOKUP(Q23,Start!$C$9:$D$15,2,FALSE)+VLOOKUP(Q23,Start!$C$23:$D$29,2,FALSE)</f>
        <v>23.27</v>
      </c>
      <c r="Z23" s="298">
        <f>(Y23/U23)+Start!$D$19*(VLOOKUP(Q23,Start!$M$33:$N$39,2,FALSE)/U23)+VLOOKUP(R23,Start!$C$33:$D$40,2,FALSE)</f>
        <v>93.628365068942884</v>
      </c>
      <c r="AA23" s="234"/>
      <c r="AB23" s="278"/>
    </row>
    <row r="24" spans="2:28" ht="18.75" customHeight="1" x14ac:dyDescent="0.3">
      <c r="B24" s="229"/>
      <c r="C24" s="289" t="s">
        <v>2485</v>
      </c>
      <c r="D24" s="305" t="s">
        <v>49</v>
      </c>
      <c r="E24" s="300" t="s">
        <v>40</v>
      </c>
      <c r="F24" s="300" t="s">
        <v>41</v>
      </c>
      <c r="G24" s="302">
        <v>73776</v>
      </c>
      <c r="H24" s="300" t="s">
        <v>42</v>
      </c>
      <c r="I24" s="300" t="s">
        <v>43</v>
      </c>
      <c r="J24" s="306" t="s">
        <v>20</v>
      </c>
      <c r="K24" s="300" t="s">
        <v>50</v>
      </c>
      <c r="L24" s="304" t="s">
        <v>2117</v>
      </c>
      <c r="M24" s="300" t="s">
        <v>47</v>
      </c>
      <c r="N24" s="300" t="s">
        <v>7</v>
      </c>
      <c r="O24" s="300" t="s">
        <v>48</v>
      </c>
      <c r="P24" s="300" t="s">
        <v>7</v>
      </c>
      <c r="Q24" s="300" t="s">
        <v>7</v>
      </c>
      <c r="R24" s="300" t="s">
        <v>96</v>
      </c>
      <c r="S24" s="300" t="s">
        <v>2115</v>
      </c>
      <c r="T24" s="300" t="s">
        <v>2458</v>
      </c>
      <c r="U24" s="303">
        <v>0.30980000000000002</v>
      </c>
      <c r="V24" s="300" t="s">
        <v>2458</v>
      </c>
      <c r="W24" s="307">
        <v>57</v>
      </c>
      <c r="X24" s="297">
        <f>(1-VLOOKUP(R24,Start!$H$33:$I$40,2,FALSE)/100)*W24</f>
        <v>50.730000000000004</v>
      </c>
      <c r="Y24" s="297">
        <f>VLOOKUP(Q24,Start!$C$9:$D$15,2,FALSE)+VLOOKUP(Q24,Start!$C$23:$D$29,2,FALSE)</f>
        <v>23.27</v>
      </c>
      <c r="Z24" s="298">
        <f>(Y24/U24)+Start!$D$19*(VLOOKUP(Q24,Start!$M$33:$N$39,2,FALSE)/U24)+VLOOKUP(R24,Start!$C$33:$D$40,2,FALSE)</f>
        <v>92.073595868302121</v>
      </c>
      <c r="AA24" s="234"/>
      <c r="AB24" s="278"/>
    </row>
    <row r="25" spans="2:28" ht="18.75" customHeight="1" x14ac:dyDescent="0.3">
      <c r="B25" s="229"/>
      <c r="C25" s="289" t="s">
        <v>2485</v>
      </c>
      <c r="D25" s="305" t="s">
        <v>51</v>
      </c>
      <c r="E25" s="300" t="s">
        <v>40</v>
      </c>
      <c r="F25" s="300" t="s">
        <v>41</v>
      </c>
      <c r="G25" s="302"/>
      <c r="H25" s="300" t="s">
        <v>42</v>
      </c>
      <c r="I25" s="300" t="s">
        <v>43</v>
      </c>
      <c r="J25" s="306" t="s">
        <v>20</v>
      </c>
      <c r="K25" s="300" t="s">
        <v>52</v>
      </c>
      <c r="L25" s="304" t="s">
        <v>2062</v>
      </c>
      <c r="M25" s="300" t="s">
        <v>47</v>
      </c>
      <c r="N25" s="300" t="s">
        <v>7</v>
      </c>
      <c r="O25" s="300" t="s">
        <v>48</v>
      </c>
      <c r="P25" s="300" t="s">
        <v>7</v>
      </c>
      <c r="Q25" s="300" t="s">
        <v>7</v>
      </c>
      <c r="R25" s="300" t="s">
        <v>96</v>
      </c>
      <c r="S25" s="300" t="s">
        <v>2115</v>
      </c>
      <c r="T25" s="300" t="s">
        <v>2458</v>
      </c>
      <c r="U25" s="303">
        <v>0.315</v>
      </c>
      <c r="V25" s="300" t="s">
        <v>2458</v>
      </c>
      <c r="W25" s="307">
        <v>81</v>
      </c>
      <c r="X25" s="297">
        <f>(1-VLOOKUP(R25,Start!$H$33:$I$40,2,FALSE)/100)*W25</f>
        <v>72.09</v>
      </c>
      <c r="Y25" s="297">
        <f>VLOOKUP(Q25,Start!$C$9:$D$15,2,FALSE)+VLOOKUP(Q25,Start!$C$23:$D$29,2,FALSE)</f>
        <v>23.27</v>
      </c>
      <c r="Z25" s="298">
        <f>(Y25/U25)+Start!$D$19*(VLOOKUP(Q25,Start!$M$33:$N$39,2,FALSE)/U25)+VLOOKUP(R25,Start!$C$33:$D$40,2,FALSE)</f>
        <v>90.570158730158738</v>
      </c>
      <c r="AA25" s="234"/>
      <c r="AB25" s="278"/>
    </row>
    <row r="26" spans="2:28" ht="18.75" customHeight="1" x14ac:dyDescent="0.3">
      <c r="B26" s="229"/>
      <c r="C26" s="289" t="s">
        <v>2485</v>
      </c>
      <c r="D26" s="305" t="s">
        <v>53</v>
      </c>
      <c r="E26" s="300" t="s">
        <v>40</v>
      </c>
      <c r="F26" s="300" t="s">
        <v>41</v>
      </c>
      <c r="G26" s="302">
        <v>73776</v>
      </c>
      <c r="H26" s="300" t="s">
        <v>42</v>
      </c>
      <c r="I26" s="300" t="s">
        <v>43</v>
      </c>
      <c r="J26" s="306" t="s">
        <v>20</v>
      </c>
      <c r="K26" s="300" t="s">
        <v>54</v>
      </c>
      <c r="L26" s="304" t="s">
        <v>1988</v>
      </c>
      <c r="M26" s="300" t="s">
        <v>3</v>
      </c>
      <c r="N26" s="300"/>
      <c r="O26" s="300"/>
      <c r="P26" s="300" t="s">
        <v>3</v>
      </c>
      <c r="Q26" s="300" t="s">
        <v>3</v>
      </c>
      <c r="R26" s="300" t="s">
        <v>3</v>
      </c>
      <c r="S26" s="300" t="s">
        <v>1981</v>
      </c>
      <c r="T26" s="300" t="s">
        <v>2458</v>
      </c>
      <c r="U26" s="303">
        <v>0.44</v>
      </c>
      <c r="V26" s="300" t="s">
        <v>2458</v>
      </c>
      <c r="W26" s="307">
        <v>336</v>
      </c>
      <c r="X26" s="297">
        <f>(1-VLOOKUP(R26,Start!$H$33:$I$40,2,FALSE)/100)*W26</f>
        <v>262.08</v>
      </c>
      <c r="Y26" s="297">
        <f>VLOOKUP(Q26,Start!$C$9:$D$15,2,FALSE)+VLOOKUP(Q26,Start!$C$23:$D$29,2,FALSE)</f>
        <v>12.53</v>
      </c>
      <c r="Z26" s="298">
        <f>(Y26/U26)+Start!$D$19*(VLOOKUP(Q26,Start!$M$33:$N$39,2,FALSE)/U26)+VLOOKUP(R26,Start!$C$33:$D$40,2,FALSE)</f>
        <v>48.618636363636362</v>
      </c>
      <c r="AA26" s="234"/>
      <c r="AB26" s="278"/>
    </row>
    <row r="27" spans="2:28" ht="18.75" customHeight="1" x14ac:dyDescent="0.3">
      <c r="B27" s="229"/>
      <c r="C27" s="289" t="s">
        <v>2485</v>
      </c>
      <c r="D27" s="305" t="s">
        <v>61</v>
      </c>
      <c r="E27" s="300" t="s">
        <v>62</v>
      </c>
      <c r="F27" s="303" t="s">
        <v>63</v>
      </c>
      <c r="G27" s="308">
        <v>17389</v>
      </c>
      <c r="H27" s="303" t="s">
        <v>64</v>
      </c>
      <c r="I27" s="303" t="s">
        <v>65</v>
      </c>
      <c r="J27" s="306" t="s">
        <v>66</v>
      </c>
      <c r="K27" s="303"/>
      <c r="L27" s="304" t="s">
        <v>2118</v>
      </c>
      <c r="M27" s="303" t="s">
        <v>47</v>
      </c>
      <c r="N27" s="309" t="s">
        <v>7</v>
      </c>
      <c r="O27" s="309" t="s">
        <v>7</v>
      </c>
      <c r="P27" s="303" t="s">
        <v>7</v>
      </c>
      <c r="Q27" s="300" t="s">
        <v>7</v>
      </c>
      <c r="R27" s="300" t="s">
        <v>226</v>
      </c>
      <c r="S27" s="300" t="s">
        <v>1981</v>
      </c>
      <c r="T27" s="300" t="s">
        <v>2458</v>
      </c>
      <c r="U27" s="303">
        <v>0.37730000000000002</v>
      </c>
      <c r="V27" s="300" t="s">
        <v>2458</v>
      </c>
      <c r="W27" s="310">
        <v>15.1</v>
      </c>
      <c r="X27" s="297">
        <f>(1-VLOOKUP(R27,Start!$H$33:$I$40,2,FALSE)/100)*W27</f>
        <v>13.439</v>
      </c>
      <c r="Y27" s="297">
        <f>VLOOKUP(Q27,Start!$C$9:$D$15,2,FALSE)+VLOOKUP(Q27,Start!$C$23:$D$29,2,FALSE)</f>
        <v>23.27</v>
      </c>
      <c r="Z27" s="298">
        <f>(Y27/U27)+Start!$D$19*(VLOOKUP(Q27,Start!$M$33:$N$39,2,FALSE)/U27)+VLOOKUP(R27,Start!$C$33:$D$40,2,FALSE)</f>
        <v>76.280280943546245</v>
      </c>
      <c r="AA27" s="234"/>
      <c r="AB27" s="278"/>
    </row>
    <row r="28" spans="2:28" ht="18.75" customHeight="1" x14ac:dyDescent="0.3">
      <c r="B28" s="229"/>
      <c r="C28" s="289" t="s">
        <v>2485</v>
      </c>
      <c r="D28" s="299" t="s">
        <v>94</v>
      </c>
      <c r="E28" s="300" t="s">
        <v>95</v>
      </c>
      <c r="F28" s="300" t="s">
        <v>96</v>
      </c>
      <c r="G28" s="302">
        <v>86165</v>
      </c>
      <c r="H28" s="300" t="s">
        <v>97</v>
      </c>
      <c r="I28" s="300" t="s">
        <v>98</v>
      </c>
      <c r="J28" s="306" t="s">
        <v>55</v>
      </c>
      <c r="K28" s="300" t="s">
        <v>99</v>
      </c>
      <c r="L28" s="304" t="s">
        <v>2120</v>
      </c>
      <c r="M28" s="132" t="s">
        <v>7</v>
      </c>
      <c r="N28" s="132"/>
      <c r="O28" s="132"/>
      <c r="P28" s="132" t="s">
        <v>7</v>
      </c>
      <c r="Q28" s="300" t="s">
        <v>7</v>
      </c>
      <c r="R28" s="300" t="s">
        <v>96</v>
      </c>
      <c r="S28" s="300" t="s">
        <v>2115</v>
      </c>
      <c r="T28" s="300" t="s">
        <v>2458</v>
      </c>
      <c r="U28" s="303">
        <v>0.39040000000000002</v>
      </c>
      <c r="V28" s="300" t="s">
        <v>2458</v>
      </c>
      <c r="W28" s="307">
        <v>30.7</v>
      </c>
      <c r="X28" s="297">
        <f>(1-VLOOKUP(R28,Start!$H$33:$I$40,2,FALSE)/100)*W28</f>
        <v>27.323</v>
      </c>
      <c r="Y28" s="297">
        <f>VLOOKUP(Q28,Start!$C$9:$D$15,2,FALSE)+VLOOKUP(Q28,Start!$C$23:$D$29,2,FALSE)</f>
        <v>23.27</v>
      </c>
      <c r="Z28" s="298">
        <f>(Y28/U28)+Start!$D$19*(VLOOKUP(Q28,Start!$M$33:$N$39,2,FALSE)/U28)+VLOOKUP(R28,Start!$C$33:$D$40,2,FALSE)</f>
        <v>73.271004098360649</v>
      </c>
      <c r="AA28" s="234"/>
      <c r="AB28" s="278"/>
    </row>
    <row r="29" spans="2:28" ht="18.75" customHeight="1" x14ac:dyDescent="0.3">
      <c r="B29" s="229"/>
      <c r="C29" s="289" t="s">
        <v>2485</v>
      </c>
      <c r="D29" s="299" t="s">
        <v>116</v>
      </c>
      <c r="E29" s="300" t="s">
        <v>117</v>
      </c>
      <c r="F29" s="300" t="s">
        <v>118</v>
      </c>
      <c r="G29" s="311">
        <v>39249</v>
      </c>
      <c r="H29" s="312" t="s">
        <v>119</v>
      </c>
      <c r="I29" s="313" t="s">
        <v>120</v>
      </c>
      <c r="J29" s="306" t="s">
        <v>38</v>
      </c>
      <c r="K29" s="313" t="s">
        <v>70</v>
      </c>
      <c r="L29" s="304" t="s">
        <v>2122</v>
      </c>
      <c r="M29" s="300" t="s">
        <v>7</v>
      </c>
      <c r="N29" s="300"/>
      <c r="O29" s="313"/>
      <c r="P29" s="314" t="s">
        <v>7</v>
      </c>
      <c r="Q29" s="300" t="s">
        <v>7</v>
      </c>
      <c r="R29" s="300" t="s">
        <v>226</v>
      </c>
      <c r="S29" s="300" t="s">
        <v>1981</v>
      </c>
      <c r="T29" s="300" t="s">
        <v>2458</v>
      </c>
      <c r="U29" s="303">
        <v>0.37840000000000001</v>
      </c>
      <c r="V29" s="300" t="s">
        <v>2458</v>
      </c>
      <c r="W29" s="315">
        <v>17.8</v>
      </c>
      <c r="X29" s="297">
        <f>(1-VLOOKUP(R29,Start!$H$33:$I$40,2,FALSE)/100)*W29</f>
        <v>15.842000000000001</v>
      </c>
      <c r="Y29" s="297">
        <f>VLOOKUP(Q29,Start!$C$9:$D$15,2,FALSE)+VLOOKUP(Q29,Start!$C$23:$D$29,2,FALSE)</f>
        <v>23.27</v>
      </c>
      <c r="Z29" s="298">
        <f>(Y29/U29)+Start!$D$19*(VLOOKUP(Q29,Start!$M$33:$N$39,2,FALSE)/U29)+VLOOKUP(R29,Start!$C$33:$D$40,2,FALSE)</f>
        <v>76.062896405919659</v>
      </c>
      <c r="AA29" s="234"/>
      <c r="AB29" s="278"/>
    </row>
    <row r="30" spans="2:28" ht="18.75" customHeight="1" x14ac:dyDescent="0.3">
      <c r="B30" s="229"/>
      <c r="C30" s="289" t="s">
        <v>2485</v>
      </c>
      <c r="D30" s="305" t="s">
        <v>123</v>
      </c>
      <c r="E30" s="300" t="s">
        <v>124</v>
      </c>
      <c r="F30" s="300" t="s">
        <v>125</v>
      </c>
      <c r="G30" s="311">
        <v>34225</v>
      </c>
      <c r="H30" s="300" t="s">
        <v>126</v>
      </c>
      <c r="I30" s="300"/>
      <c r="J30" s="301" t="s">
        <v>105</v>
      </c>
      <c r="K30" s="300"/>
      <c r="L30" s="304" t="s">
        <v>2123</v>
      </c>
      <c r="M30" s="300" t="s">
        <v>7</v>
      </c>
      <c r="N30" s="132"/>
      <c r="O30" s="132"/>
      <c r="P30" s="132" t="s">
        <v>7</v>
      </c>
      <c r="Q30" s="300" t="s">
        <v>7</v>
      </c>
      <c r="R30" s="300" t="s">
        <v>226</v>
      </c>
      <c r="S30" s="300" t="s">
        <v>1996</v>
      </c>
      <c r="T30" s="300" t="s">
        <v>2458</v>
      </c>
      <c r="U30" s="303">
        <v>0.58950000000000002</v>
      </c>
      <c r="V30" s="300" t="s">
        <v>2458</v>
      </c>
      <c r="W30" s="307">
        <v>78</v>
      </c>
      <c r="X30" s="297">
        <f>(1-VLOOKUP(R30,Start!$H$33:$I$40,2,FALSE)/100)*W30</f>
        <v>69.42</v>
      </c>
      <c r="Y30" s="297">
        <f>VLOOKUP(Q30,Start!$C$9:$D$15,2,FALSE)+VLOOKUP(Q30,Start!$C$23:$D$29,2,FALSE)</f>
        <v>23.27</v>
      </c>
      <c r="Z30" s="298">
        <f>(Y30/U30)+Start!$D$19*(VLOOKUP(Q30,Start!$M$33:$N$39,2,FALSE)/U30)+VLOOKUP(R30,Start!$C$33:$D$40,2,FALSE)</f>
        <v>49.361916878710765</v>
      </c>
      <c r="AA30" s="234"/>
      <c r="AB30" s="278"/>
    </row>
    <row r="31" spans="2:28" ht="18.75" customHeight="1" x14ac:dyDescent="0.3">
      <c r="B31" s="229"/>
      <c r="C31" s="289" t="s">
        <v>2485</v>
      </c>
      <c r="D31" s="299" t="s">
        <v>159</v>
      </c>
      <c r="E31" s="300" t="s">
        <v>160</v>
      </c>
      <c r="F31" s="300" t="s">
        <v>158</v>
      </c>
      <c r="G31" s="302">
        <v>59192</v>
      </c>
      <c r="H31" s="300" t="s">
        <v>158</v>
      </c>
      <c r="I31" s="300"/>
      <c r="J31" s="306" t="s">
        <v>19</v>
      </c>
      <c r="K31" s="300" t="s">
        <v>140</v>
      </c>
      <c r="L31" s="304" t="s">
        <v>1991</v>
      </c>
      <c r="M31" s="300" t="s">
        <v>3</v>
      </c>
      <c r="N31" s="300"/>
      <c r="O31" s="300"/>
      <c r="P31" s="300" t="s">
        <v>3</v>
      </c>
      <c r="Q31" s="300" t="s">
        <v>3</v>
      </c>
      <c r="R31" s="300" t="s">
        <v>3</v>
      </c>
      <c r="S31" s="300" t="s">
        <v>1981</v>
      </c>
      <c r="T31" s="300" t="s">
        <v>2458</v>
      </c>
      <c r="U31" s="303">
        <v>0.3775</v>
      </c>
      <c r="V31" s="300" t="s">
        <v>2458</v>
      </c>
      <c r="W31" s="307">
        <v>717</v>
      </c>
      <c r="X31" s="297">
        <f>(1-VLOOKUP(R31,Start!$H$33:$I$40,2,FALSE)/100)*W31</f>
        <v>559.26</v>
      </c>
      <c r="Y31" s="297">
        <f>VLOOKUP(Q31,Start!$C$9:$D$15,2,FALSE)+VLOOKUP(Q31,Start!$C$23:$D$29,2,FALSE)</f>
        <v>12.53</v>
      </c>
      <c r="Z31" s="298">
        <f>(Y31/U31)+Start!$D$19*(VLOOKUP(Q31,Start!$M$33:$N$39,2,FALSE)/U31)+VLOOKUP(R31,Start!$C$33:$D$40,2,FALSE)</f>
        <v>56.452847682119206</v>
      </c>
      <c r="AA31" s="234"/>
      <c r="AB31" s="278"/>
    </row>
    <row r="32" spans="2:28" ht="18.75" customHeight="1" x14ac:dyDescent="0.3">
      <c r="B32" s="229"/>
      <c r="C32" s="289" t="s">
        <v>2485</v>
      </c>
      <c r="D32" s="305" t="s">
        <v>173</v>
      </c>
      <c r="E32" s="300" t="s">
        <v>163</v>
      </c>
      <c r="F32" s="300" t="s">
        <v>174</v>
      </c>
      <c r="G32" s="302">
        <v>10179</v>
      </c>
      <c r="H32" s="300" t="s">
        <v>165</v>
      </c>
      <c r="I32" s="300" t="s">
        <v>175</v>
      </c>
      <c r="J32" s="306" t="s">
        <v>165</v>
      </c>
      <c r="K32" s="300" t="s">
        <v>176</v>
      </c>
      <c r="L32" s="304" t="s">
        <v>2125</v>
      </c>
      <c r="M32" s="300" t="s">
        <v>7</v>
      </c>
      <c r="N32" s="300"/>
      <c r="O32" s="300"/>
      <c r="P32" s="300" t="s">
        <v>7</v>
      </c>
      <c r="Q32" s="300" t="s">
        <v>7</v>
      </c>
      <c r="R32" s="300" t="s">
        <v>226</v>
      </c>
      <c r="S32" s="300" t="s">
        <v>1996</v>
      </c>
      <c r="T32" s="300" t="s">
        <v>2458</v>
      </c>
      <c r="U32" s="303">
        <v>0.52200000000000002</v>
      </c>
      <c r="V32" s="300" t="s">
        <v>2458</v>
      </c>
      <c r="W32" s="307">
        <v>444</v>
      </c>
      <c r="X32" s="297">
        <f>(1-VLOOKUP(R32,Start!$H$33:$I$40,2,FALSE)/100)*W32</f>
        <v>395.16</v>
      </c>
      <c r="Y32" s="297">
        <f>VLOOKUP(Q32,Start!$C$9:$D$15,2,FALSE)+VLOOKUP(Q32,Start!$C$23:$D$29,2,FALSE)</f>
        <v>23.27</v>
      </c>
      <c r="Z32" s="298">
        <f>(Y32/U32)+Start!$D$19*(VLOOKUP(Q32,Start!$M$33:$N$39,2,FALSE)/U32)+VLOOKUP(R32,Start!$C$33:$D$40,2,FALSE)</f>
        <v>55.550957854406128</v>
      </c>
      <c r="AA32" s="234"/>
      <c r="AB32" s="278"/>
    </row>
    <row r="33" spans="2:28" ht="18.75" customHeight="1" x14ac:dyDescent="0.3">
      <c r="B33" s="229"/>
      <c r="C33" s="289" t="s">
        <v>2485</v>
      </c>
      <c r="D33" s="305" t="s">
        <v>177</v>
      </c>
      <c r="E33" s="300" t="s">
        <v>163</v>
      </c>
      <c r="F33" s="300" t="s">
        <v>178</v>
      </c>
      <c r="G33" s="302">
        <v>10589</v>
      </c>
      <c r="H33" s="300" t="s">
        <v>165</v>
      </c>
      <c r="I33" s="300" t="s">
        <v>179</v>
      </c>
      <c r="J33" s="306" t="s">
        <v>165</v>
      </c>
      <c r="K33" s="300" t="s">
        <v>178</v>
      </c>
      <c r="L33" s="304" t="s">
        <v>2062</v>
      </c>
      <c r="M33" s="300" t="s">
        <v>47</v>
      </c>
      <c r="N33" s="300" t="s">
        <v>7</v>
      </c>
      <c r="O33" s="300" t="s">
        <v>180</v>
      </c>
      <c r="P33" s="300" t="s">
        <v>7</v>
      </c>
      <c r="Q33" s="300" t="s">
        <v>7</v>
      </c>
      <c r="R33" s="300" t="s">
        <v>96</v>
      </c>
      <c r="S33" s="300" t="s">
        <v>2115</v>
      </c>
      <c r="T33" s="300" t="s">
        <v>2458</v>
      </c>
      <c r="U33" s="303">
        <v>0.38</v>
      </c>
      <c r="V33" s="300" t="s">
        <v>2458</v>
      </c>
      <c r="W33" s="307">
        <v>144</v>
      </c>
      <c r="X33" s="297">
        <f>(1-VLOOKUP(R33,Start!$H$33:$I$40,2,FALSE)/100)*W33</f>
        <v>128.16</v>
      </c>
      <c r="Y33" s="297">
        <f>VLOOKUP(Q33,Start!$C$9:$D$15,2,FALSE)+VLOOKUP(Q33,Start!$C$23:$D$29,2,FALSE)</f>
        <v>23.27</v>
      </c>
      <c r="Z33" s="298">
        <f>(Y33/U33)+Start!$D$19*(VLOOKUP(Q33,Start!$M$33:$N$39,2,FALSE)/U33)+VLOOKUP(R33,Start!$C$33:$D$40,2,FALSE)</f>
        <v>75.248947368421057</v>
      </c>
      <c r="AA33" s="234"/>
      <c r="AB33" s="278"/>
    </row>
    <row r="34" spans="2:28" ht="18.75" customHeight="1" x14ac:dyDescent="0.3">
      <c r="B34" s="229"/>
      <c r="C34" s="289" t="s">
        <v>2485</v>
      </c>
      <c r="D34" s="305" t="s">
        <v>181</v>
      </c>
      <c r="E34" s="300" t="s">
        <v>163</v>
      </c>
      <c r="F34" s="300" t="s">
        <v>182</v>
      </c>
      <c r="G34" s="302">
        <v>12207</v>
      </c>
      <c r="H34" s="300" t="s">
        <v>165</v>
      </c>
      <c r="I34" s="300" t="s">
        <v>183</v>
      </c>
      <c r="J34" s="306" t="s">
        <v>165</v>
      </c>
      <c r="K34" s="300" t="s">
        <v>184</v>
      </c>
      <c r="L34" s="304" t="s">
        <v>2126</v>
      </c>
      <c r="M34" s="300" t="s">
        <v>7</v>
      </c>
      <c r="N34" s="300"/>
      <c r="O34" s="300"/>
      <c r="P34" s="300" t="s">
        <v>7</v>
      </c>
      <c r="Q34" s="300" t="s">
        <v>7</v>
      </c>
      <c r="R34" s="300" t="s">
        <v>226</v>
      </c>
      <c r="S34" s="300" t="s">
        <v>1981</v>
      </c>
      <c r="T34" s="300" t="s">
        <v>2458</v>
      </c>
      <c r="U34" s="303">
        <v>0.38279999999999997</v>
      </c>
      <c r="V34" s="300" t="s">
        <v>2458</v>
      </c>
      <c r="W34" s="307">
        <v>144</v>
      </c>
      <c r="X34" s="297">
        <f>(1-VLOOKUP(R34,Start!$H$33:$I$40,2,FALSE)/100)*W34</f>
        <v>128.16</v>
      </c>
      <c r="Y34" s="297">
        <f>VLOOKUP(Q34,Start!$C$9:$D$15,2,FALSE)+VLOOKUP(Q34,Start!$C$23:$D$29,2,FALSE)</f>
        <v>23.27</v>
      </c>
      <c r="Z34" s="298">
        <f>(Y34/U34)+Start!$D$19*(VLOOKUP(Q34,Start!$M$33:$N$39,2,FALSE)/U34)+VLOOKUP(R34,Start!$C$33:$D$40,2,FALSE)</f>
        <v>75.205851619644733</v>
      </c>
      <c r="AA34" s="234"/>
      <c r="AB34" s="278"/>
    </row>
    <row r="35" spans="2:28" ht="18.75" customHeight="1" x14ac:dyDescent="0.3">
      <c r="B35" s="229"/>
      <c r="C35" s="289" t="s">
        <v>2485</v>
      </c>
      <c r="D35" s="299" t="s">
        <v>169</v>
      </c>
      <c r="E35" s="300" t="s">
        <v>163</v>
      </c>
      <c r="F35" s="300" t="s">
        <v>170</v>
      </c>
      <c r="G35" s="302">
        <v>10317</v>
      </c>
      <c r="H35" s="300" t="s">
        <v>165</v>
      </c>
      <c r="I35" s="300" t="s">
        <v>171</v>
      </c>
      <c r="J35" s="306" t="s">
        <v>165</v>
      </c>
      <c r="K35" s="300" t="s">
        <v>170</v>
      </c>
      <c r="L35" s="304" t="s">
        <v>2124</v>
      </c>
      <c r="M35" s="300" t="s">
        <v>47</v>
      </c>
      <c r="N35" s="300" t="s">
        <v>2</v>
      </c>
      <c r="O35" s="300" t="s">
        <v>172</v>
      </c>
      <c r="P35" s="300" t="s">
        <v>7</v>
      </c>
      <c r="Q35" s="300" t="s">
        <v>7</v>
      </c>
      <c r="R35" s="300" t="s">
        <v>226</v>
      </c>
      <c r="S35" s="300" t="s">
        <v>1981</v>
      </c>
      <c r="T35" s="300" t="s">
        <v>2458</v>
      </c>
      <c r="U35" s="303">
        <v>0.4037</v>
      </c>
      <c r="V35" s="300" t="s">
        <v>2458</v>
      </c>
      <c r="W35" s="307">
        <v>164</v>
      </c>
      <c r="X35" s="297">
        <f>(1-VLOOKUP(R35,Start!$H$33:$I$40,2,FALSE)/100)*W35</f>
        <v>145.96</v>
      </c>
      <c r="Y35" s="297">
        <f>VLOOKUP(Q35,Start!$C$9:$D$15,2,FALSE)+VLOOKUP(Q35,Start!$C$23:$D$29,2,FALSE)</f>
        <v>23.27</v>
      </c>
      <c r="Z35" s="298">
        <f>(Y35/U35)+Start!$D$19*(VLOOKUP(Q35,Start!$M$33:$N$39,2,FALSE)/U35)+VLOOKUP(R35,Start!$C$33:$D$40,2,FALSE)</f>
        <v>71.390017339608619</v>
      </c>
      <c r="AA35" s="234"/>
      <c r="AB35" s="278"/>
    </row>
    <row r="36" spans="2:28" ht="18.75" customHeight="1" x14ac:dyDescent="0.3">
      <c r="B36" s="229"/>
      <c r="C36" s="289" t="s">
        <v>2485</v>
      </c>
      <c r="D36" s="305" t="s">
        <v>197</v>
      </c>
      <c r="E36" s="300" t="s">
        <v>163</v>
      </c>
      <c r="F36" s="300" t="s">
        <v>164</v>
      </c>
      <c r="G36" s="302">
        <v>13599</v>
      </c>
      <c r="H36" s="300" t="s">
        <v>165</v>
      </c>
      <c r="I36" s="300" t="s">
        <v>166</v>
      </c>
      <c r="J36" s="306" t="s">
        <v>165</v>
      </c>
      <c r="K36" s="300" t="s">
        <v>198</v>
      </c>
      <c r="L36" s="304" t="s">
        <v>1992</v>
      </c>
      <c r="M36" s="300" t="s">
        <v>47</v>
      </c>
      <c r="N36" s="300" t="s">
        <v>3</v>
      </c>
      <c r="O36" s="300" t="s">
        <v>122</v>
      </c>
      <c r="P36" s="300" t="s">
        <v>3</v>
      </c>
      <c r="Q36" s="300" t="s">
        <v>3</v>
      </c>
      <c r="R36" s="300" t="s">
        <v>3</v>
      </c>
      <c r="S36" s="300" t="s">
        <v>1981</v>
      </c>
      <c r="T36" s="300" t="s">
        <v>2458</v>
      </c>
      <c r="U36" s="303">
        <v>0.34749999999999998</v>
      </c>
      <c r="V36" s="300" t="s">
        <v>2458</v>
      </c>
      <c r="W36" s="307">
        <v>124</v>
      </c>
      <c r="X36" s="297">
        <f>(1-VLOOKUP(R36,Start!$H$33:$I$40,2,FALSE)/100)*W36</f>
        <v>96.72</v>
      </c>
      <c r="Y36" s="297">
        <f>VLOOKUP(Q36,Start!$C$9:$D$15,2,FALSE)+VLOOKUP(Q36,Start!$C$23:$D$29,2,FALSE)</f>
        <v>12.53</v>
      </c>
      <c r="Z36" s="298">
        <f>(Y36/U36)+Start!$D$19*(VLOOKUP(Q36,Start!$M$33:$N$39,2,FALSE)/U36)+VLOOKUP(R36,Start!$C$33:$D$40,2,FALSE)</f>
        <v>61.214244604316548</v>
      </c>
      <c r="AA36" s="234"/>
      <c r="AB36" s="278"/>
    </row>
    <row r="37" spans="2:28" ht="18.75" customHeight="1" x14ac:dyDescent="0.3">
      <c r="B37" s="229"/>
      <c r="C37" s="289" t="s">
        <v>2485</v>
      </c>
      <c r="D37" s="316" t="s">
        <v>190</v>
      </c>
      <c r="E37" s="300" t="s">
        <v>163</v>
      </c>
      <c r="F37" s="303" t="s">
        <v>191</v>
      </c>
      <c r="G37" s="303">
        <v>14199</v>
      </c>
      <c r="H37" s="303" t="s">
        <v>165</v>
      </c>
      <c r="I37" s="303" t="s">
        <v>192</v>
      </c>
      <c r="J37" s="306" t="s">
        <v>165</v>
      </c>
      <c r="K37" s="303" t="s">
        <v>191</v>
      </c>
      <c r="L37" s="304" t="s">
        <v>748</v>
      </c>
      <c r="M37" s="303" t="s">
        <v>48</v>
      </c>
      <c r="N37" s="303"/>
      <c r="O37" s="313"/>
      <c r="P37" s="303" t="s">
        <v>48</v>
      </c>
      <c r="Q37" s="300" t="s">
        <v>4</v>
      </c>
      <c r="R37" s="300" t="s">
        <v>4</v>
      </c>
      <c r="S37" s="300" t="s">
        <v>1981</v>
      </c>
      <c r="T37" s="300" t="s">
        <v>2458</v>
      </c>
      <c r="U37" s="303">
        <v>0.35970000000000002</v>
      </c>
      <c r="V37" s="300" t="s">
        <v>2458</v>
      </c>
      <c r="W37" s="307">
        <v>184</v>
      </c>
      <c r="X37" s="297">
        <f>(1-VLOOKUP(R37,Start!$H$33:$I$40,2,FALSE)/100)*W37</f>
        <v>156.4</v>
      </c>
      <c r="Y37" s="297">
        <f>VLOOKUP(Q37,Start!$C$9:$D$15,2,FALSE)+VLOOKUP(Q37,Start!$C$23:$D$29,2,FALSE)</f>
        <v>33.223832923832894</v>
      </c>
      <c r="Z37" s="298">
        <f>(Y37/U37)+Start!$D$19*(VLOOKUP(Q37,Start!$M$33:$N$39,2,FALSE)/U37)+VLOOKUP(R37,Start!$C$33:$D$40,2,FALSE)</f>
        <v>112.51468702761439</v>
      </c>
      <c r="AA37" s="234"/>
      <c r="AB37" s="278"/>
    </row>
    <row r="38" spans="2:28" ht="18.75" customHeight="1" x14ac:dyDescent="0.3">
      <c r="B38" s="229"/>
      <c r="C38" s="289" t="s">
        <v>2485</v>
      </c>
      <c r="D38" s="305" t="s">
        <v>162</v>
      </c>
      <c r="E38" s="300" t="s">
        <v>163</v>
      </c>
      <c r="F38" s="300" t="s">
        <v>164</v>
      </c>
      <c r="G38" s="302">
        <v>13599</v>
      </c>
      <c r="H38" s="300" t="s">
        <v>165</v>
      </c>
      <c r="I38" s="300" t="s">
        <v>166</v>
      </c>
      <c r="J38" s="306" t="s">
        <v>165</v>
      </c>
      <c r="K38" s="300" t="s">
        <v>167</v>
      </c>
      <c r="L38" s="304" t="s">
        <v>2333</v>
      </c>
      <c r="M38" s="300" t="s">
        <v>6</v>
      </c>
      <c r="N38" s="300" t="s">
        <v>168</v>
      </c>
      <c r="O38" s="300"/>
      <c r="P38" s="300" t="s">
        <v>6</v>
      </c>
      <c r="Q38" s="300" t="s">
        <v>6</v>
      </c>
      <c r="R38" s="300" t="s">
        <v>6</v>
      </c>
      <c r="S38" s="300" t="s">
        <v>1981</v>
      </c>
      <c r="T38" s="300" t="s">
        <v>2458</v>
      </c>
      <c r="U38" s="303">
        <v>0.33</v>
      </c>
      <c r="V38" s="300" t="s">
        <v>2458</v>
      </c>
      <c r="W38" s="307">
        <v>36</v>
      </c>
      <c r="X38" s="297">
        <f>(1-VLOOKUP(R38,Start!$H$33:$I$40,2,FALSE)/100)*W38</f>
        <v>30.599999999999998</v>
      </c>
      <c r="Y38" s="297">
        <f>VLOOKUP(Q38,Start!$C$9:$D$15,2,FALSE)+VLOOKUP(Q38,Start!$C$23:$D$29,2,FALSE)</f>
        <v>0</v>
      </c>
      <c r="Z38" s="298">
        <f>(Y38/U38)+Start!$D$19*(VLOOKUP(Q38,Start!$M$33:$N$39,2,FALSE)/U38)+VLOOKUP(R38,Start!$C$33:$D$40,2,FALSE)</f>
        <v>1</v>
      </c>
      <c r="AA38" s="234"/>
      <c r="AB38" s="278"/>
    </row>
    <row r="39" spans="2:28" ht="18.75" customHeight="1" x14ac:dyDescent="0.3">
      <c r="B39" s="229"/>
      <c r="C39" s="289" t="s">
        <v>2485</v>
      </c>
      <c r="D39" s="305" t="s">
        <v>199</v>
      </c>
      <c r="E39" s="300" t="s">
        <v>163</v>
      </c>
      <c r="F39" s="300" t="s">
        <v>194</v>
      </c>
      <c r="G39" s="302">
        <v>13353</v>
      </c>
      <c r="H39" s="300" t="s">
        <v>165</v>
      </c>
      <c r="I39" s="300" t="s">
        <v>195</v>
      </c>
      <c r="J39" s="306" t="s">
        <v>165</v>
      </c>
      <c r="K39" s="300" t="s">
        <v>200</v>
      </c>
      <c r="L39" s="304" t="s">
        <v>1993</v>
      </c>
      <c r="M39" s="300" t="s">
        <v>47</v>
      </c>
      <c r="N39" s="300" t="s">
        <v>3</v>
      </c>
      <c r="O39" s="300" t="s">
        <v>122</v>
      </c>
      <c r="P39" s="300" t="s">
        <v>3</v>
      </c>
      <c r="Q39" s="300" t="s">
        <v>3</v>
      </c>
      <c r="R39" s="300" t="s">
        <v>3</v>
      </c>
      <c r="S39" s="300" t="s">
        <v>1981</v>
      </c>
      <c r="T39" s="300" t="s">
        <v>2458</v>
      </c>
      <c r="U39" s="303">
        <v>0.4</v>
      </c>
      <c r="V39" s="300" t="s">
        <v>2458</v>
      </c>
      <c r="W39" s="307">
        <v>89</v>
      </c>
      <c r="X39" s="297">
        <f>(1-VLOOKUP(R39,Start!$H$33:$I$40,2,FALSE)/100)*W39</f>
        <v>69.42</v>
      </c>
      <c r="Y39" s="297">
        <f>VLOOKUP(Q39,Start!$C$9:$D$15,2,FALSE)+VLOOKUP(Q39,Start!$C$23:$D$29,2,FALSE)</f>
        <v>12.53</v>
      </c>
      <c r="Z39" s="298">
        <f>(Y39/U39)+Start!$D$19*(VLOOKUP(Q39,Start!$M$33:$N$39,2,FALSE)/U39)+VLOOKUP(R39,Start!$C$33:$D$40,2,FALSE)</f>
        <v>53.350499999999997</v>
      </c>
      <c r="AA39" s="234"/>
      <c r="AB39" s="278"/>
    </row>
    <row r="40" spans="2:28" ht="18.75" customHeight="1" x14ac:dyDescent="0.3">
      <c r="B40" s="229"/>
      <c r="C40" s="289" t="s">
        <v>2485</v>
      </c>
      <c r="D40" s="305" t="s">
        <v>193</v>
      </c>
      <c r="E40" s="300" t="s">
        <v>163</v>
      </c>
      <c r="F40" s="300" t="s">
        <v>194</v>
      </c>
      <c r="G40" s="302">
        <v>13353</v>
      </c>
      <c r="H40" s="300" t="s">
        <v>165</v>
      </c>
      <c r="I40" s="300" t="s">
        <v>195</v>
      </c>
      <c r="J40" s="306" t="s">
        <v>165</v>
      </c>
      <c r="K40" s="300" t="s">
        <v>196</v>
      </c>
      <c r="L40" s="304" t="s">
        <v>2292</v>
      </c>
      <c r="M40" s="300" t="s">
        <v>48</v>
      </c>
      <c r="N40" s="300"/>
      <c r="O40" s="300"/>
      <c r="P40" s="300" t="s">
        <v>48</v>
      </c>
      <c r="Q40" s="300" t="s">
        <v>4</v>
      </c>
      <c r="R40" s="300" t="s">
        <v>4</v>
      </c>
      <c r="S40" s="300" t="s">
        <v>2115</v>
      </c>
      <c r="T40" s="300" t="s">
        <v>2458</v>
      </c>
      <c r="U40" s="303">
        <v>0.30459999999999998</v>
      </c>
      <c r="V40" s="300" t="s">
        <v>2458</v>
      </c>
      <c r="W40" s="307">
        <v>34</v>
      </c>
      <c r="X40" s="297">
        <f>(1-VLOOKUP(R40,Start!$H$33:$I$40,2,FALSE)/100)*W40</f>
        <v>28.9</v>
      </c>
      <c r="Y40" s="297">
        <f>VLOOKUP(Q40,Start!$C$9:$D$15,2,FALSE)+VLOOKUP(Q40,Start!$C$23:$D$29,2,FALSE)</f>
        <v>33.223832923832894</v>
      </c>
      <c r="Z40" s="298">
        <f>(Y40/U40)+Start!$D$19*(VLOOKUP(Q40,Start!$M$33:$N$39,2,FALSE)/U40)+VLOOKUP(R40,Start!$C$33:$D$40,2,FALSE)</f>
        <v>132.68691045250458</v>
      </c>
      <c r="AA40" s="234"/>
      <c r="AB40" s="278"/>
    </row>
    <row r="41" spans="2:28" ht="18.75" customHeight="1" x14ac:dyDescent="0.3">
      <c r="B41" s="229"/>
      <c r="C41" s="289" t="s">
        <v>2485</v>
      </c>
      <c r="D41" s="305" t="s">
        <v>201</v>
      </c>
      <c r="E41" s="300" t="s">
        <v>163</v>
      </c>
      <c r="F41" s="300" t="s">
        <v>202</v>
      </c>
      <c r="G41" s="302">
        <v>13599</v>
      </c>
      <c r="H41" s="300" t="s">
        <v>165</v>
      </c>
      <c r="I41" s="300" t="s">
        <v>203</v>
      </c>
      <c r="J41" s="306" t="s">
        <v>165</v>
      </c>
      <c r="K41" s="300" t="s">
        <v>204</v>
      </c>
      <c r="L41" s="304" t="s">
        <v>1994</v>
      </c>
      <c r="M41" s="300" t="s">
        <v>3</v>
      </c>
      <c r="N41" s="300"/>
      <c r="O41" s="300"/>
      <c r="P41" s="300" t="s">
        <v>3</v>
      </c>
      <c r="Q41" s="300" t="s">
        <v>3</v>
      </c>
      <c r="R41" s="300" t="s">
        <v>3</v>
      </c>
      <c r="S41" s="300" t="s">
        <v>1981</v>
      </c>
      <c r="T41" s="300" t="s">
        <v>2458</v>
      </c>
      <c r="U41" s="303">
        <v>0.39250000000000002</v>
      </c>
      <c r="V41" s="300" t="s">
        <v>2458</v>
      </c>
      <c r="W41" s="307">
        <v>282</v>
      </c>
      <c r="X41" s="297">
        <f>(1-VLOOKUP(R41,Start!$H$33:$I$40,2,FALSE)/100)*W41</f>
        <v>219.96</v>
      </c>
      <c r="Y41" s="297">
        <f>VLOOKUP(Q41,Start!$C$9:$D$15,2,FALSE)+VLOOKUP(Q41,Start!$C$23:$D$29,2,FALSE)</f>
        <v>12.53</v>
      </c>
      <c r="Z41" s="298">
        <f>(Y41/U41)+Start!$D$19*(VLOOKUP(Q41,Start!$M$33:$N$39,2,FALSE)/U41)+VLOOKUP(R41,Start!$C$33:$D$40,2,FALSE)</f>
        <v>54.345095541401271</v>
      </c>
      <c r="AA41" s="234"/>
      <c r="AB41" s="278"/>
    </row>
    <row r="42" spans="2:28" ht="18.75" customHeight="1" x14ac:dyDescent="0.3">
      <c r="B42" s="229"/>
      <c r="C42" s="289" t="s">
        <v>2485</v>
      </c>
      <c r="D42" s="305" t="s">
        <v>205</v>
      </c>
      <c r="E42" s="300" t="s">
        <v>163</v>
      </c>
      <c r="F42" s="300" t="s">
        <v>202</v>
      </c>
      <c r="G42" s="302">
        <v>13599</v>
      </c>
      <c r="H42" s="300" t="s">
        <v>165</v>
      </c>
      <c r="I42" s="300" t="s">
        <v>203</v>
      </c>
      <c r="J42" s="306" t="s">
        <v>165</v>
      </c>
      <c r="K42" s="300" t="s">
        <v>206</v>
      </c>
      <c r="L42" s="304" t="s">
        <v>1995</v>
      </c>
      <c r="M42" s="132" t="s">
        <v>3</v>
      </c>
      <c r="N42" s="132"/>
      <c r="O42" s="132"/>
      <c r="P42" s="132" t="s">
        <v>3</v>
      </c>
      <c r="Q42" s="300" t="s">
        <v>3</v>
      </c>
      <c r="R42" s="300" t="s">
        <v>3</v>
      </c>
      <c r="S42" s="300" t="s">
        <v>1981</v>
      </c>
      <c r="T42" s="300" t="s">
        <v>2458</v>
      </c>
      <c r="U42" s="303">
        <v>0.39500000000000002</v>
      </c>
      <c r="V42" s="300" t="s">
        <v>2458</v>
      </c>
      <c r="W42" s="307">
        <v>282</v>
      </c>
      <c r="X42" s="297">
        <f>(1-VLOOKUP(R42,Start!$H$33:$I$40,2,FALSE)/100)*W42</f>
        <v>219.96</v>
      </c>
      <c r="Y42" s="297">
        <f>VLOOKUP(Q42,Start!$C$9:$D$15,2,FALSE)+VLOOKUP(Q42,Start!$C$23:$D$29,2,FALSE)</f>
        <v>12.53</v>
      </c>
      <c r="Z42" s="298">
        <f>(Y42/U42)+Start!$D$19*(VLOOKUP(Q42,Start!$M$33:$N$39,2,FALSE)/U42)+VLOOKUP(R42,Start!$C$33:$D$40,2,FALSE)</f>
        <v>54.00936708860759</v>
      </c>
      <c r="AA42" s="234"/>
      <c r="AB42" s="278"/>
    </row>
    <row r="43" spans="2:28" ht="18.75" customHeight="1" x14ac:dyDescent="0.3">
      <c r="B43" s="229"/>
      <c r="C43" s="289" t="s">
        <v>2485</v>
      </c>
      <c r="D43" s="305" t="s">
        <v>211</v>
      </c>
      <c r="E43" s="300" t="s">
        <v>208</v>
      </c>
      <c r="F43" s="300" t="s">
        <v>212</v>
      </c>
      <c r="G43" s="302">
        <v>6406</v>
      </c>
      <c r="H43" s="300" t="s">
        <v>210</v>
      </c>
      <c r="I43" s="300"/>
      <c r="J43" s="306" t="s">
        <v>38</v>
      </c>
      <c r="K43" s="300"/>
      <c r="L43" s="304" t="s">
        <v>2128</v>
      </c>
      <c r="M43" s="300" t="s">
        <v>7</v>
      </c>
      <c r="N43" s="300"/>
      <c r="O43" s="300"/>
      <c r="P43" s="300" t="s">
        <v>7</v>
      </c>
      <c r="Q43" s="300" t="s">
        <v>7</v>
      </c>
      <c r="R43" s="300" t="s">
        <v>226</v>
      </c>
      <c r="S43" s="300" t="s">
        <v>1996</v>
      </c>
      <c r="T43" s="300" t="s">
        <v>2458</v>
      </c>
      <c r="U43" s="303">
        <v>0.51300000000000001</v>
      </c>
      <c r="V43" s="300" t="s">
        <v>2458</v>
      </c>
      <c r="W43" s="307">
        <v>140.5</v>
      </c>
      <c r="X43" s="297">
        <f>(1-VLOOKUP(R43,Start!$H$33:$I$40,2,FALSE)/100)*W43</f>
        <v>125.045</v>
      </c>
      <c r="Y43" s="297">
        <f>VLOOKUP(Q43,Start!$C$9:$D$15,2,FALSE)+VLOOKUP(Q43,Start!$C$23:$D$29,2,FALSE)</f>
        <v>23.27</v>
      </c>
      <c r="Z43" s="298">
        <f>(Y43/U43)+Start!$D$19*(VLOOKUP(Q43,Start!$M$33:$N$39,2,FALSE)/U43)+VLOOKUP(R43,Start!$C$33:$D$40,2,FALSE)</f>
        <v>56.499220272904481</v>
      </c>
      <c r="AA43" s="234"/>
      <c r="AB43" s="278"/>
    </row>
    <row r="44" spans="2:28" ht="18.75" customHeight="1" x14ac:dyDescent="0.3">
      <c r="B44" s="229"/>
      <c r="C44" s="289" t="s">
        <v>2485</v>
      </c>
      <c r="D44" s="305" t="s">
        <v>207</v>
      </c>
      <c r="E44" s="300" t="s">
        <v>208</v>
      </c>
      <c r="F44" s="300" t="s">
        <v>209</v>
      </c>
      <c r="G44" s="302">
        <v>6406</v>
      </c>
      <c r="H44" s="300" t="s">
        <v>210</v>
      </c>
      <c r="I44" s="300"/>
      <c r="J44" s="306" t="s">
        <v>38</v>
      </c>
      <c r="K44" s="300"/>
      <c r="L44" s="304" t="s">
        <v>2334</v>
      </c>
      <c r="M44" s="300" t="s">
        <v>6</v>
      </c>
      <c r="N44" s="300"/>
      <c r="O44" s="300"/>
      <c r="P44" s="300" t="s">
        <v>6</v>
      </c>
      <c r="Q44" s="300" t="s">
        <v>6</v>
      </c>
      <c r="R44" s="300" t="s">
        <v>6</v>
      </c>
      <c r="S44" s="300" t="s">
        <v>1996</v>
      </c>
      <c r="T44" s="300" t="s">
        <v>2458</v>
      </c>
      <c r="U44" s="303">
        <v>0.33</v>
      </c>
      <c r="V44" s="300" t="s">
        <v>2458</v>
      </c>
      <c r="W44" s="307">
        <v>35</v>
      </c>
      <c r="X44" s="297">
        <f>(1-VLOOKUP(R44,Start!$H$33:$I$40,2,FALSE)/100)*W44</f>
        <v>29.75</v>
      </c>
      <c r="Y44" s="297">
        <f>VLOOKUP(Q44,Start!$C$9:$D$15,2,FALSE)+VLOOKUP(Q44,Start!$C$23:$D$29,2,FALSE)</f>
        <v>0</v>
      </c>
      <c r="Z44" s="298">
        <f>(Y44/U44)+Start!$D$19*(VLOOKUP(Q44,Start!$M$33:$N$39,2,FALSE)/U44)+VLOOKUP(R44,Start!$C$33:$D$40,2,FALSE)</f>
        <v>1</v>
      </c>
      <c r="AA44" s="234"/>
      <c r="AB44" s="278"/>
    </row>
    <row r="45" spans="2:28" ht="18.75" customHeight="1" x14ac:dyDescent="0.3">
      <c r="B45" s="229"/>
      <c r="C45" s="289" t="s">
        <v>2485</v>
      </c>
      <c r="D45" s="305" t="s">
        <v>215</v>
      </c>
      <c r="E45" s="300" t="s">
        <v>216</v>
      </c>
      <c r="F45" s="300" t="s">
        <v>217</v>
      </c>
      <c r="G45" s="302">
        <v>33609</v>
      </c>
      <c r="H45" s="300" t="s">
        <v>218</v>
      </c>
      <c r="I45" s="300" t="s">
        <v>219</v>
      </c>
      <c r="J45" s="306" t="s">
        <v>19</v>
      </c>
      <c r="K45" s="300" t="s">
        <v>220</v>
      </c>
      <c r="L45" s="304" t="s">
        <v>2335</v>
      </c>
      <c r="M45" s="300" t="s">
        <v>6</v>
      </c>
      <c r="N45" s="300" t="s">
        <v>221</v>
      </c>
      <c r="O45" s="300"/>
      <c r="P45" s="300" t="s">
        <v>6</v>
      </c>
      <c r="Q45" s="300" t="s">
        <v>6</v>
      </c>
      <c r="R45" s="300" t="s">
        <v>6</v>
      </c>
      <c r="S45" s="300" t="s">
        <v>1981</v>
      </c>
      <c r="T45" s="300" t="s">
        <v>2458</v>
      </c>
      <c r="U45" s="303">
        <v>0.33</v>
      </c>
      <c r="V45" s="300" t="s">
        <v>2458</v>
      </c>
      <c r="W45" s="307">
        <v>34</v>
      </c>
      <c r="X45" s="297">
        <f>(1-VLOOKUP(R45,Start!$H$33:$I$40,2,FALSE)/100)*W45</f>
        <v>28.9</v>
      </c>
      <c r="Y45" s="297">
        <f>VLOOKUP(Q45,Start!$C$9:$D$15,2,FALSE)+VLOOKUP(Q45,Start!$C$23:$D$29,2,FALSE)</f>
        <v>0</v>
      </c>
      <c r="Z45" s="298">
        <f>(Y45/U45)+Start!$D$19*(VLOOKUP(Q45,Start!$M$33:$N$39,2,FALSE)/U45)+VLOOKUP(R45,Start!$C$33:$D$40,2,FALSE)</f>
        <v>1</v>
      </c>
      <c r="AA45" s="234"/>
      <c r="AB45" s="278"/>
    </row>
    <row r="46" spans="2:28" ht="18.75" customHeight="1" x14ac:dyDescent="0.3">
      <c r="B46" s="229"/>
      <c r="C46" s="289" t="s">
        <v>2485</v>
      </c>
      <c r="D46" s="305" t="s">
        <v>224</v>
      </c>
      <c r="E46" s="300" t="s">
        <v>222</v>
      </c>
      <c r="F46" s="300" t="s">
        <v>225</v>
      </c>
      <c r="G46" s="302">
        <v>33697</v>
      </c>
      <c r="H46" s="300" t="s">
        <v>218</v>
      </c>
      <c r="I46" s="300"/>
      <c r="J46" s="306" t="s">
        <v>19</v>
      </c>
      <c r="K46" s="300" t="s">
        <v>226</v>
      </c>
      <c r="L46" s="304" t="s">
        <v>2129</v>
      </c>
      <c r="M46" s="132" t="s">
        <v>7</v>
      </c>
      <c r="N46" s="132"/>
      <c r="O46" s="132"/>
      <c r="P46" s="132" t="s">
        <v>7</v>
      </c>
      <c r="Q46" s="300" t="s">
        <v>7</v>
      </c>
      <c r="R46" s="300" t="s">
        <v>226</v>
      </c>
      <c r="S46" s="300" t="s">
        <v>1996</v>
      </c>
      <c r="T46" s="300" t="s">
        <v>2458</v>
      </c>
      <c r="U46" s="303">
        <v>0.5625</v>
      </c>
      <c r="V46" s="300" t="s">
        <v>2458</v>
      </c>
      <c r="W46" s="307">
        <v>37.450000000000003</v>
      </c>
      <c r="X46" s="297">
        <f>(1-VLOOKUP(R46,Start!$H$33:$I$40,2,FALSE)/100)*W46</f>
        <v>33.330500000000001</v>
      </c>
      <c r="Y46" s="297">
        <f>VLOOKUP(Q46,Start!$C$9:$D$15,2,FALSE)+VLOOKUP(Q46,Start!$C$23:$D$29,2,FALSE)</f>
        <v>23.27</v>
      </c>
      <c r="Z46" s="298">
        <f>(Y46/U46)+Start!$D$19*(VLOOKUP(Q46,Start!$M$33:$N$39,2,FALSE)/U46)+VLOOKUP(R46,Start!$C$33:$D$40,2,FALSE)</f>
        <v>51.659288888888888</v>
      </c>
      <c r="AA46" s="234"/>
      <c r="AB46" s="278"/>
    </row>
    <row r="47" spans="2:28" ht="18.75" customHeight="1" x14ac:dyDescent="0.3">
      <c r="B47" s="229"/>
      <c r="C47" s="289" t="s">
        <v>2485</v>
      </c>
      <c r="D47" s="299" t="s">
        <v>228</v>
      </c>
      <c r="E47" s="300" t="s">
        <v>229</v>
      </c>
      <c r="F47" s="132" t="s">
        <v>230</v>
      </c>
      <c r="G47" s="311">
        <v>6749</v>
      </c>
      <c r="H47" s="312" t="s">
        <v>231</v>
      </c>
      <c r="I47" s="132"/>
      <c r="J47" s="301" t="s">
        <v>38</v>
      </c>
      <c r="K47" s="300"/>
      <c r="L47" s="304" t="s">
        <v>2130</v>
      </c>
      <c r="M47" s="300" t="s">
        <v>7</v>
      </c>
      <c r="N47" s="132"/>
      <c r="O47" s="300"/>
      <c r="P47" s="314" t="s">
        <v>7</v>
      </c>
      <c r="Q47" s="300" t="s">
        <v>7</v>
      </c>
      <c r="R47" s="300" t="s">
        <v>226</v>
      </c>
      <c r="S47" s="300" t="s">
        <v>1996</v>
      </c>
      <c r="T47" s="300" t="s">
        <v>2458</v>
      </c>
      <c r="U47" s="303">
        <v>0.54</v>
      </c>
      <c r="V47" s="300" t="s">
        <v>2458</v>
      </c>
      <c r="W47" s="315">
        <v>106</v>
      </c>
      <c r="X47" s="297">
        <f>(1-VLOOKUP(R47,Start!$H$33:$I$40,2,FALSE)/100)*W47</f>
        <v>94.34</v>
      </c>
      <c r="Y47" s="297">
        <f>VLOOKUP(Q47,Start!$C$9:$D$15,2,FALSE)+VLOOKUP(Q47,Start!$C$23:$D$29,2,FALSE)</f>
        <v>23.27</v>
      </c>
      <c r="Z47" s="298">
        <f>(Y47/U47)+Start!$D$19*(VLOOKUP(Q47,Start!$M$33:$N$39,2,FALSE)/U47)+VLOOKUP(R47,Start!$C$33:$D$40,2,FALSE)</f>
        <v>53.749259259259254</v>
      </c>
      <c r="AA47" s="234"/>
      <c r="AB47" s="278"/>
    </row>
    <row r="48" spans="2:28" ht="18.75" customHeight="1" x14ac:dyDescent="0.3">
      <c r="B48" s="229"/>
      <c r="C48" s="289" t="s">
        <v>2485</v>
      </c>
      <c r="D48" s="299" t="s">
        <v>243</v>
      </c>
      <c r="E48" s="300" t="s">
        <v>244</v>
      </c>
      <c r="F48" s="300" t="s">
        <v>245</v>
      </c>
      <c r="G48" s="311">
        <v>44805</v>
      </c>
      <c r="H48" s="312" t="s">
        <v>246</v>
      </c>
      <c r="I48" s="313"/>
      <c r="J48" s="306" t="s">
        <v>19</v>
      </c>
      <c r="K48" s="313"/>
      <c r="L48" s="304" t="s">
        <v>2131</v>
      </c>
      <c r="M48" s="300" t="s">
        <v>7</v>
      </c>
      <c r="N48" s="300"/>
      <c r="O48" s="313"/>
      <c r="P48" s="314" t="s">
        <v>7</v>
      </c>
      <c r="Q48" s="300" t="s">
        <v>7</v>
      </c>
      <c r="R48" s="300" t="s">
        <v>226</v>
      </c>
      <c r="S48" s="300" t="s">
        <v>1981</v>
      </c>
      <c r="T48" s="300" t="s">
        <v>2458</v>
      </c>
      <c r="U48" s="303">
        <v>0.39929999999999999</v>
      </c>
      <c r="V48" s="300" t="s">
        <v>2458</v>
      </c>
      <c r="W48" s="315">
        <v>44</v>
      </c>
      <c r="X48" s="297">
        <f>(1-VLOOKUP(R48,Start!$H$33:$I$40,2,FALSE)/100)*W48</f>
        <v>39.160000000000004</v>
      </c>
      <c r="Y48" s="297">
        <f>VLOOKUP(Q48,Start!$C$9:$D$15,2,FALSE)+VLOOKUP(Q48,Start!$C$23:$D$29,2,FALSE)</f>
        <v>23.27</v>
      </c>
      <c r="Z48" s="298">
        <f>(Y48/U48)+Start!$D$19*(VLOOKUP(Q48,Start!$M$33:$N$39,2,FALSE)/U48)+VLOOKUP(R48,Start!$C$33:$D$40,2,FALSE)</f>
        <v>72.160155271725515</v>
      </c>
      <c r="AA48" s="234"/>
      <c r="AB48" s="278"/>
    </row>
    <row r="49" spans="2:28" ht="18.75" customHeight="1" x14ac:dyDescent="0.3">
      <c r="B49" s="229"/>
      <c r="C49" s="289" t="s">
        <v>2485</v>
      </c>
      <c r="D49" s="299" t="s">
        <v>247</v>
      </c>
      <c r="E49" s="300" t="s">
        <v>23</v>
      </c>
      <c r="F49" s="300" t="s">
        <v>248</v>
      </c>
      <c r="G49" s="311">
        <v>4007</v>
      </c>
      <c r="H49" s="312" t="s">
        <v>249</v>
      </c>
      <c r="I49" s="313" t="s">
        <v>250</v>
      </c>
      <c r="J49" s="306" t="s">
        <v>78</v>
      </c>
      <c r="K49" s="313" t="s">
        <v>251</v>
      </c>
      <c r="L49" s="304" t="s">
        <v>2075</v>
      </c>
      <c r="M49" s="300" t="s">
        <v>2</v>
      </c>
      <c r="N49" s="300"/>
      <c r="O49" s="313"/>
      <c r="P49" s="314" t="s">
        <v>2</v>
      </c>
      <c r="Q49" s="300" t="s">
        <v>2</v>
      </c>
      <c r="R49" s="300" t="s">
        <v>2</v>
      </c>
      <c r="S49" s="300" t="s">
        <v>1981</v>
      </c>
      <c r="T49" s="300" t="s">
        <v>2458</v>
      </c>
      <c r="U49" s="303">
        <v>0.4</v>
      </c>
      <c r="V49" s="300" t="s">
        <v>2458</v>
      </c>
      <c r="W49" s="315">
        <v>875</v>
      </c>
      <c r="X49" s="297">
        <f>(1-VLOOKUP(R49,Start!$H$33:$I$40,2,FALSE)/100)*W49</f>
        <v>761.25</v>
      </c>
      <c r="Y49" s="297">
        <f>VLOOKUP(Q49,Start!$C$9:$D$15,2,FALSE)+VLOOKUP(Q49,Start!$C$23:$D$29,2,FALSE)</f>
        <v>3.1</v>
      </c>
      <c r="Z49" s="298">
        <f>(Y49/U49)+Start!$D$19*(VLOOKUP(Q49,Start!$M$33:$N$39,2,FALSE)/U49)+VLOOKUP(R49,Start!$C$33:$D$40,2,FALSE)</f>
        <v>34.296000000000006</v>
      </c>
      <c r="AA49" s="234"/>
      <c r="AB49" s="278"/>
    </row>
    <row r="50" spans="2:28" ht="18.75" customHeight="1" x14ac:dyDescent="0.3">
      <c r="B50" s="229"/>
      <c r="C50" s="289" t="s">
        <v>2485</v>
      </c>
      <c r="D50" s="299" t="s">
        <v>252</v>
      </c>
      <c r="E50" s="313" t="s">
        <v>40</v>
      </c>
      <c r="F50" s="300" t="s">
        <v>253</v>
      </c>
      <c r="G50" s="311">
        <v>4564</v>
      </c>
      <c r="H50" s="312" t="s">
        <v>249</v>
      </c>
      <c r="I50" s="313" t="s">
        <v>250</v>
      </c>
      <c r="J50" s="306" t="s">
        <v>78</v>
      </c>
      <c r="K50" s="313" t="s">
        <v>254</v>
      </c>
      <c r="L50" s="304" t="s">
        <v>2076</v>
      </c>
      <c r="M50" s="300" t="s">
        <v>2</v>
      </c>
      <c r="N50" s="300"/>
      <c r="O50" s="313"/>
      <c r="P50" s="314" t="s">
        <v>2</v>
      </c>
      <c r="Q50" s="300" t="s">
        <v>2</v>
      </c>
      <c r="R50" s="300" t="s">
        <v>2</v>
      </c>
      <c r="S50" s="300" t="s">
        <v>1981</v>
      </c>
      <c r="T50" s="300" t="s">
        <v>2458</v>
      </c>
      <c r="U50" s="303">
        <v>0.39760000000000001</v>
      </c>
      <c r="V50" s="300" t="s">
        <v>2458</v>
      </c>
      <c r="W50" s="315">
        <v>875</v>
      </c>
      <c r="X50" s="297">
        <f>(1-VLOOKUP(R50,Start!$H$33:$I$40,2,FALSE)/100)*W50</f>
        <v>761.25</v>
      </c>
      <c r="Y50" s="297">
        <f>VLOOKUP(Q50,Start!$C$9:$D$15,2,FALSE)+VLOOKUP(Q50,Start!$C$23:$D$29,2,FALSE)</f>
        <v>3.1</v>
      </c>
      <c r="Z50" s="298">
        <f>(Y50/U50)+Start!$D$19*(VLOOKUP(Q50,Start!$M$33:$N$39,2,FALSE)/U50)+VLOOKUP(R50,Start!$C$33:$D$40,2,FALSE)</f>
        <v>34.492756539235415</v>
      </c>
      <c r="AA50" s="234"/>
      <c r="AB50" s="278"/>
    </row>
    <row r="51" spans="2:28" ht="18.75" customHeight="1" x14ac:dyDescent="0.3">
      <c r="B51" s="229"/>
      <c r="C51" s="289" t="s">
        <v>2485</v>
      </c>
      <c r="D51" s="299" t="s">
        <v>260</v>
      </c>
      <c r="E51" s="300" t="s">
        <v>261</v>
      </c>
      <c r="F51" s="132" t="s">
        <v>262</v>
      </c>
      <c r="G51" s="311">
        <v>53115</v>
      </c>
      <c r="H51" s="312" t="s">
        <v>263</v>
      </c>
      <c r="I51" s="132"/>
      <c r="J51" s="301" t="s">
        <v>19</v>
      </c>
      <c r="K51" s="300" t="s">
        <v>262</v>
      </c>
      <c r="L51" s="304" t="s">
        <v>2337</v>
      </c>
      <c r="M51" s="300" t="s">
        <v>47</v>
      </c>
      <c r="N51" s="132" t="s">
        <v>168</v>
      </c>
      <c r="O51" s="300"/>
      <c r="P51" s="314" t="s">
        <v>6</v>
      </c>
      <c r="Q51" s="300" t="s">
        <v>6</v>
      </c>
      <c r="R51" s="300" t="s">
        <v>6</v>
      </c>
      <c r="S51" s="300" t="s">
        <v>1981</v>
      </c>
      <c r="T51" s="300" t="s">
        <v>2458</v>
      </c>
      <c r="U51" s="303">
        <v>0.33</v>
      </c>
      <c r="V51" s="300" t="s">
        <v>2458</v>
      </c>
      <c r="W51" s="315">
        <v>12</v>
      </c>
      <c r="X51" s="297">
        <f>(1-VLOOKUP(R51,Start!$H$33:$I$40,2,FALSE)/100)*W51</f>
        <v>10.199999999999999</v>
      </c>
      <c r="Y51" s="297">
        <f>VLOOKUP(Q51,Start!$C$9:$D$15,2,FALSE)+VLOOKUP(Q51,Start!$C$23:$D$29,2,FALSE)</f>
        <v>0</v>
      </c>
      <c r="Z51" s="298">
        <f>(Y51/U51)+Start!$D$19*(VLOOKUP(Q51,Start!$M$33:$N$39,2,FALSE)/U51)+VLOOKUP(R51,Start!$C$33:$D$40,2,FALSE)</f>
        <v>1</v>
      </c>
      <c r="AA51" s="234"/>
      <c r="AB51" s="278"/>
    </row>
    <row r="52" spans="2:28" ht="18.75" customHeight="1" x14ac:dyDescent="0.3">
      <c r="B52" s="229"/>
      <c r="C52" s="289" t="s">
        <v>2485</v>
      </c>
      <c r="D52" s="299" t="s">
        <v>264</v>
      </c>
      <c r="E52" s="317" t="s">
        <v>261</v>
      </c>
      <c r="F52" s="300" t="s">
        <v>262</v>
      </c>
      <c r="G52" s="311">
        <v>53115</v>
      </c>
      <c r="H52" s="312" t="s">
        <v>263</v>
      </c>
      <c r="I52" s="132"/>
      <c r="J52" s="301" t="s">
        <v>19</v>
      </c>
      <c r="K52" s="300" t="s">
        <v>262</v>
      </c>
      <c r="L52" s="304" t="s">
        <v>2133</v>
      </c>
      <c r="M52" s="300" t="s">
        <v>47</v>
      </c>
      <c r="N52" s="300" t="s">
        <v>7</v>
      </c>
      <c r="O52" s="300" t="s">
        <v>168</v>
      </c>
      <c r="P52" s="300" t="s">
        <v>7</v>
      </c>
      <c r="Q52" s="300" t="s">
        <v>7</v>
      </c>
      <c r="R52" s="300" t="s">
        <v>226</v>
      </c>
      <c r="S52" s="300" t="s">
        <v>1981</v>
      </c>
      <c r="T52" s="300" t="s">
        <v>2458</v>
      </c>
      <c r="U52" s="303">
        <v>0.39929999999999999</v>
      </c>
      <c r="V52" s="300" t="s">
        <v>2458</v>
      </c>
      <c r="W52" s="315">
        <v>95</v>
      </c>
      <c r="X52" s="297">
        <f>(1-VLOOKUP(R52,Start!$H$33:$I$40,2,FALSE)/100)*W52</f>
        <v>84.55</v>
      </c>
      <c r="Y52" s="297">
        <f>VLOOKUP(Q52,Start!$C$9:$D$15,2,FALSE)+VLOOKUP(Q52,Start!$C$23:$D$29,2,FALSE)</f>
        <v>23.27</v>
      </c>
      <c r="Z52" s="298">
        <f>(Y52/U52)+Start!$D$19*(VLOOKUP(Q52,Start!$M$33:$N$39,2,FALSE)/U52)+VLOOKUP(R52,Start!$C$33:$D$40,2,FALSE)</f>
        <v>72.160155271725515</v>
      </c>
      <c r="AA52" s="234"/>
      <c r="AB52" s="278"/>
    </row>
    <row r="53" spans="2:28" ht="18.75" customHeight="1" x14ac:dyDescent="0.3">
      <c r="B53" s="229"/>
      <c r="C53" s="289" t="s">
        <v>2485</v>
      </c>
      <c r="D53" s="299" t="s">
        <v>265</v>
      </c>
      <c r="E53" s="300" t="s">
        <v>23</v>
      </c>
      <c r="F53" s="132" t="s">
        <v>266</v>
      </c>
      <c r="G53" s="311">
        <v>2943</v>
      </c>
      <c r="H53" s="312" t="s">
        <v>266</v>
      </c>
      <c r="I53" s="132" t="s">
        <v>267</v>
      </c>
      <c r="J53" s="301" t="s">
        <v>78</v>
      </c>
      <c r="K53" s="300" t="s">
        <v>268</v>
      </c>
      <c r="L53" s="304" t="s">
        <v>2077</v>
      </c>
      <c r="M53" s="300" t="s">
        <v>2</v>
      </c>
      <c r="N53" s="132"/>
      <c r="O53" s="300"/>
      <c r="P53" s="314" t="s">
        <v>2</v>
      </c>
      <c r="Q53" s="300" t="s">
        <v>2</v>
      </c>
      <c r="R53" s="300" t="s">
        <v>2</v>
      </c>
      <c r="S53" s="300" t="s">
        <v>1981</v>
      </c>
      <c r="T53" s="300" t="s">
        <v>2458</v>
      </c>
      <c r="U53" s="303">
        <v>0.38319999999999999</v>
      </c>
      <c r="V53" s="300" t="s">
        <v>2458</v>
      </c>
      <c r="W53" s="315">
        <v>465</v>
      </c>
      <c r="X53" s="297">
        <f>(1-VLOOKUP(R53,Start!$H$33:$I$40,2,FALSE)/100)*W53</f>
        <v>404.55</v>
      </c>
      <c r="Y53" s="297">
        <f>VLOOKUP(Q53,Start!$C$9:$D$15,2,FALSE)+VLOOKUP(Q53,Start!$C$23:$D$29,2,FALSE)</f>
        <v>3.1</v>
      </c>
      <c r="Z53" s="298">
        <f>(Y53/U53)+Start!$D$19*(VLOOKUP(Q53,Start!$M$33:$N$39,2,FALSE)/U53)+VLOOKUP(R53,Start!$C$33:$D$40,2,FALSE)</f>
        <v>35.725052192066812</v>
      </c>
      <c r="AA53" s="234"/>
      <c r="AB53" s="278"/>
    </row>
    <row r="54" spans="2:28" ht="18.75" customHeight="1" x14ac:dyDescent="0.3">
      <c r="B54" s="229"/>
      <c r="C54" s="289" t="s">
        <v>2485</v>
      </c>
      <c r="D54" s="318" t="s">
        <v>269</v>
      </c>
      <c r="E54" s="319" t="s">
        <v>23</v>
      </c>
      <c r="F54" s="320" t="s">
        <v>266</v>
      </c>
      <c r="G54" s="311">
        <v>2943</v>
      </c>
      <c r="H54" s="320" t="s">
        <v>266</v>
      </c>
      <c r="I54" s="321" t="s">
        <v>267</v>
      </c>
      <c r="J54" s="320" t="s">
        <v>78</v>
      </c>
      <c r="K54" s="319" t="s">
        <v>270</v>
      </c>
      <c r="L54" s="304" t="s">
        <v>2063</v>
      </c>
      <c r="M54" s="322" t="s">
        <v>2</v>
      </c>
      <c r="N54" s="321"/>
      <c r="O54" s="319"/>
      <c r="P54" s="314" t="s">
        <v>2</v>
      </c>
      <c r="Q54" s="300" t="s">
        <v>2</v>
      </c>
      <c r="R54" s="300" t="s">
        <v>2</v>
      </c>
      <c r="S54" s="300" t="s">
        <v>1981</v>
      </c>
      <c r="T54" s="300" t="s">
        <v>2458</v>
      </c>
      <c r="U54" s="303">
        <v>0.3856</v>
      </c>
      <c r="V54" s="300" t="s">
        <v>2458</v>
      </c>
      <c r="W54" s="315">
        <v>465</v>
      </c>
      <c r="X54" s="297">
        <f>(1-VLOOKUP(R54,Start!$H$33:$I$40,2,FALSE)/100)*W54</f>
        <v>404.55</v>
      </c>
      <c r="Y54" s="297">
        <f>VLOOKUP(Q54,Start!$C$9:$D$15,2,FALSE)+VLOOKUP(Q54,Start!$C$23:$D$29,2,FALSE)</f>
        <v>3.1</v>
      </c>
      <c r="Z54" s="298">
        <f>(Y54/U54)+Start!$D$19*(VLOOKUP(Q54,Start!$M$33:$N$39,2,FALSE)/U54)+VLOOKUP(R54,Start!$C$33:$D$40,2,FALSE)</f>
        <v>35.513278008298762</v>
      </c>
      <c r="AA54" s="234"/>
      <c r="AB54" s="278"/>
    </row>
    <row r="55" spans="2:28" ht="18.75" customHeight="1" x14ac:dyDescent="0.3">
      <c r="B55" s="229"/>
      <c r="C55" s="289" t="s">
        <v>2485</v>
      </c>
      <c r="D55" s="305" t="s">
        <v>271</v>
      </c>
      <c r="E55" s="300" t="s">
        <v>23</v>
      </c>
      <c r="F55" s="300" t="s">
        <v>266</v>
      </c>
      <c r="G55" s="302">
        <v>2943</v>
      </c>
      <c r="H55" s="300" t="s">
        <v>266</v>
      </c>
      <c r="I55" s="300" t="s">
        <v>267</v>
      </c>
      <c r="J55" s="306" t="s">
        <v>78</v>
      </c>
      <c r="K55" s="300" t="s">
        <v>272</v>
      </c>
      <c r="L55" s="304" t="s">
        <v>2078</v>
      </c>
      <c r="M55" s="300" t="s">
        <v>2</v>
      </c>
      <c r="N55" s="300"/>
      <c r="O55" s="300"/>
      <c r="P55" s="300" t="s">
        <v>2</v>
      </c>
      <c r="Q55" s="300" t="s">
        <v>2</v>
      </c>
      <c r="R55" s="300" t="s">
        <v>2</v>
      </c>
      <c r="S55" s="300" t="s">
        <v>1981</v>
      </c>
      <c r="T55" s="300" t="s">
        <v>2458</v>
      </c>
      <c r="U55" s="303">
        <v>0.4</v>
      </c>
      <c r="V55" s="300" t="s">
        <v>2458</v>
      </c>
      <c r="W55" s="307">
        <v>857</v>
      </c>
      <c r="X55" s="297">
        <f>(1-VLOOKUP(R55,Start!$H$33:$I$40,2,FALSE)/100)*W55</f>
        <v>745.59</v>
      </c>
      <c r="Y55" s="297">
        <f>VLOOKUP(Q55,Start!$C$9:$D$15,2,FALSE)+VLOOKUP(Q55,Start!$C$23:$D$29,2,FALSE)</f>
        <v>3.1</v>
      </c>
      <c r="Z55" s="298">
        <f>(Y55/U55)+Start!$D$19*(VLOOKUP(Q55,Start!$M$33:$N$39,2,FALSE)/U55)+VLOOKUP(R55,Start!$C$33:$D$40,2,FALSE)</f>
        <v>34.296000000000006</v>
      </c>
      <c r="AA55" s="234"/>
      <c r="AB55" s="278"/>
    </row>
    <row r="56" spans="2:28" ht="18.75" customHeight="1" x14ac:dyDescent="0.3">
      <c r="B56" s="229"/>
      <c r="C56" s="289" t="s">
        <v>2485</v>
      </c>
      <c r="D56" s="299" t="s">
        <v>274</v>
      </c>
      <c r="E56" s="313" t="s">
        <v>275</v>
      </c>
      <c r="F56" s="300" t="s">
        <v>276</v>
      </c>
      <c r="G56" s="311">
        <v>14772</v>
      </c>
      <c r="H56" s="312" t="s">
        <v>24</v>
      </c>
      <c r="I56" s="313"/>
      <c r="J56" s="306" t="s">
        <v>24</v>
      </c>
      <c r="K56" s="313"/>
      <c r="L56" s="304" t="s">
        <v>2134</v>
      </c>
      <c r="M56" s="300" t="s">
        <v>7</v>
      </c>
      <c r="N56" s="300" t="s">
        <v>7</v>
      </c>
      <c r="O56" s="313"/>
      <c r="P56" s="314" t="s">
        <v>7</v>
      </c>
      <c r="Q56" s="300" t="s">
        <v>7</v>
      </c>
      <c r="R56" s="300" t="s">
        <v>226</v>
      </c>
      <c r="S56" s="300" t="s">
        <v>1981</v>
      </c>
      <c r="T56" s="300" t="s">
        <v>2458</v>
      </c>
      <c r="U56" s="303">
        <v>0.38169999999999998</v>
      </c>
      <c r="V56" s="300" t="s">
        <v>2458</v>
      </c>
      <c r="W56" s="315">
        <v>36</v>
      </c>
      <c r="X56" s="297">
        <f>(1-VLOOKUP(R56,Start!$H$33:$I$40,2,FALSE)/100)*W56</f>
        <v>32.04</v>
      </c>
      <c r="Y56" s="297">
        <f>VLOOKUP(Q56,Start!$C$9:$D$15,2,FALSE)+VLOOKUP(Q56,Start!$C$23:$D$29,2,FALSE)</f>
        <v>23.27</v>
      </c>
      <c r="Z56" s="298">
        <f>(Y56/U56)+Start!$D$19*(VLOOKUP(Q56,Start!$M$33:$N$39,2,FALSE)/U56)+VLOOKUP(R56,Start!$C$33:$D$40,2,FALSE)</f>
        <v>75.418260413937645</v>
      </c>
      <c r="AA56" s="234"/>
      <c r="AB56" s="278"/>
    </row>
    <row r="57" spans="2:28" ht="18.75" customHeight="1" x14ac:dyDescent="0.3">
      <c r="B57" s="229"/>
      <c r="C57" s="289" t="s">
        <v>2485</v>
      </c>
      <c r="D57" s="299" t="s">
        <v>277</v>
      </c>
      <c r="E57" s="300" t="s">
        <v>278</v>
      </c>
      <c r="F57" s="300" t="s">
        <v>279</v>
      </c>
      <c r="G57" s="311">
        <v>14774</v>
      </c>
      <c r="H57" s="312" t="s">
        <v>24</v>
      </c>
      <c r="I57" s="313"/>
      <c r="J57" s="306" t="s">
        <v>24</v>
      </c>
      <c r="K57" s="313"/>
      <c r="L57" s="304" t="s">
        <v>280</v>
      </c>
      <c r="M57" s="300" t="s">
        <v>7</v>
      </c>
      <c r="N57" s="300"/>
      <c r="O57" s="313"/>
      <c r="P57" s="314" t="s">
        <v>7</v>
      </c>
      <c r="Q57" s="300" t="s">
        <v>7</v>
      </c>
      <c r="R57" s="300" t="s">
        <v>226</v>
      </c>
      <c r="S57" s="300" t="s">
        <v>1996</v>
      </c>
      <c r="T57" s="300" t="s">
        <v>2458</v>
      </c>
      <c r="U57" s="303">
        <v>0.51300000000000001</v>
      </c>
      <c r="V57" s="300" t="s">
        <v>2458</v>
      </c>
      <c r="W57" s="315">
        <v>160</v>
      </c>
      <c r="X57" s="297">
        <f>(1-VLOOKUP(R57,Start!$H$33:$I$40,2,FALSE)/100)*W57</f>
        <v>142.4</v>
      </c>
      <c r="Y57" s="297">
        <f>VLOOKUP(Q57,Start!$C$9:$D$15,2,FALSE)+VLOOKUP(Q57,Start!$C$23:$D$29,2,FALSE)</f>
        <v>23.27</v>
      </c>
      <c r="Z57" s="298">
        <f>(Y57/U57)+Start!$D$19*(VLOOKUP(Q57,Start!$M$33:$N$39,2,FALSE)/U57)+VLOOKUP(R57,Start!$C$33:$D$40,2,FALSE)</f>
        <v>56.499220272904481</v>
      </c>
      <c r="AA57" s="234"/>
      <c r="AB57" s="278"/>
    </row>
    <row r="58" spans="2:28" ht="18.75" customHeight="1" x14ac:dyDescent="0.3">
      <c r="B58" s="229"/>
      <c r="C58" s="289" t="s">
        <v>2485</v>
      </c>
      <c r="D58" s="305" t="s">
        <v>281</v>
      </c>
      <c r="E58" s="300" t="s">
        <v>282</v>
      </c>
      <c r="F58" s="300" t="s">
        <v>283</v>
      </c>
      <c r="G58" s="302">
        <v>38106</v>
      </c>
      <c r="H58" s="300" t="s">
        <v>284</v>
      </c>
      <c r="I58" s="300"/>
      <c r="J58" s="306" t="s">
        <v>22</v>
      </c>
      <c r="K58" s="300" t="s">
        <v>285</v>
      </c>
      <c r="L58" s="304" t="s">
        <v>2135</v>
      </c>
      <c r="M58" s="300" t="s">
        <v>47</v>
      </c>
      <c r="N58" s="300" t="s">
        <v>7</v>
      </c>
      <c r="O58" s="300" t="s">
        <v>286</v>
      </c>
      <c r="P58" s="300" t="s">
        <v>7</v>
      </c>
      <c r="Q58" s="300" t="s">
        <v>7</v>
      </c>
      <c r="R58" s="300" t="s">
        <v>226</v>
      </c>
      <c r="S58" s="300" t="s">
        <v>1996</v>
      </c>
      <c r="T58" s="300" t="s">
        <v>2458</v>
      </c>
      <c r="U58" s="303">
        <v>0.40949999999999998</v>
      </c>
      <c r="V58" s="300" t="s">
        <v>2458</v>
      </c>
      <c r="W58" s="307">
        <v>20</v>
      </c>
      <c r="X58" s="297">
        <f>(1-VLOOKUP(R58,Start!$H$33:$I$40,2,FALSE)/100)*W58</f>
        <v>17.8</v>
      </c>
      <c r="Y58" s="297">
        <f>VLOOKUP(Q58,Start!$C$9:$D$15,2,FALSE)+VLOOKUP(Q58,Start!$C$23:$D$29,2,FALSE)</f>
        <v>23.27</v>
      </c>
      <c r="Z58" s="298">
        <f>(Y58/U58)+Start!$D$19*(VLOOKUP(Q58,Start!$M$33:$N$39,2,FALSE)/U58)+VLOOKUP(R58,Start!$C$33:$D$40,2,FALSE)</f>
        <v>70.400122100122104</v>
      </c>
      <c r="AA58" s="234"/>
      <c r="AB58" s="278"/>
    </row>
    <row r="59" spans="2:28" ht="18.75" customHeight="1" x14ac:dyDescent="0.3">
      <c r="B59" s="229"/>
      <c r="C59" s="289" t="s">
        <v>2485</v>
      </c>
      <c r="D59" s="305" t="s">
        <v>287</v>
      </c>
      <c r="E59" s="300" t="s">
        <v>282</v>
      </c>
      <c r="F59" s="300" t="s">
        <v>283</v>
      </c>
      <c r="G59" s="302">
        <v>38106</v>
      </c>
      <c r="H59" s="300" t="s">
        <v>284</v>
      </c>
      <c r="I59" s="300"/>
      <c r="J59" s="306" t="s">
        <v>22</v>
      </c>
      <c r="K59" s="300" t="s">
        <v>226</v>
      </c>
      <c r="L59" s="304" t="s">
        <v>2136</v>
      </c>
      <c r="M59" s="132" t="s">
        <v>47</v>
      </c>
      <c r="N59" s="132" t="s">
        <v>7</v>
      </c>
      <c r="O59" s="132" t="s">
        <v>236</v>
      </c>
      <c r="P59" s="132" t="s">
        <v>7</v>
      </c>
      <c r="Q59" s="300" t="s">
        <v>7</v>
      </c>
      <c r="R59" s="300" t="s">
        <v>226</v>
      </c>
      <c r="S59" s="300" t="s">
        <v>1996</v>
      </c>
      <c r="T59" s="300" t="s">
        <v>2458</v>
      </c>
      <c r="U59" s="303">
        <v>0.58499999999999996</v>
      </c>
      <c r="V59" s="300" t="s">
        <v>2458</v>
      </c>
      <c r="W59" s="307">
        <v>74</v>
      </c>
      <c r="X59" s="297">
        <f>(1-VLOOKUP(R59,Start!$H$33:$I$40,2,FALSE)/100)*W59</f>
        <v>65.86</v>
      </c>
      <c r="Y59" s="297">
        <f>VLOOKUP(Q59,Start!$C$9:$D$15,2,FALSE)+VLOOKUP(Q59,Start!$C$23:$D$29,2,FALSE)</f>
        <v>23.27</v>
      </c>
      <c r="Z59" s="298">
        <f>(Y59/U59)+Start!$D$19*(VLOOKUP(Q59,Start!$M$33:$N$39,2,FALSE)/U59)+VLOOKUP(R59,Start!$C$33:$D$40,2,FALSE)</f>
        <v>49.73008547008547</v>
      </c>
      <c r="AA59" s="234"/>
      <c r="AB59" s="278"/>
    </row>
    <row r="60" spans="2:28" ht="18.75" customHeight="1" x14ac:dyDescent="0.3">
      <c r="B60" s="229"/>
      <c r="C60" s="289" t="s">
        <v>2485</v>
      </c>
      <c r="D60" s="305" t="s">
        <v>288</v>
      </c>
      <c r="E60" s="300" t="s">
        <v>282</v>
      </c>
      <c r="F60" s="300" t="s">
        <v>289</v>
      </c>
      <c r="G60" s="302">
        <v>38112</v>
      </c>
      <c r="H60" s="300" t="s">
        <v>284</v>
      </c>
      <c r="I60" s="300"/>
      <c r="J60" s="306" t="s">
        <v>22</v>
      </c>
      <c r="K60" s="300" t="s">
        <v>99</v>
      </c>
      <c r="L60" s="304" t="s">
        <v>2137</v>
      </c>
      <c r="M60" s="300" t="s">
        <v>47</v>
      </c>
      <c r="N60" s="300" t="s">
        <v>7</v>
      </c>
      <c r="O60" s="300" t="s">
        <v>290</v>
      </c>
      <c r="P60" s="300" t="s">
        <v>7</v>
      </c>
      <c r="Q60" s="300" t="s">
        <v>7</v>
      </c>
      <c r="R60" s="300" t="s">
        <v>96</v>
      </c>
      <c r="S60" s="300" t="s">
        <v>2115</v>
      </c>
      <c r="T60" s="300" t="s">
        <v>2458</v>
      </c>
      <c r="U60" s="303">
        <v>0.28899999999999998</v>
      </c>
      <c r="V60" s="300" t="s">
        <v>2458</v>
      </c>
      <c r="W60" s="307">
        <v>25</v>
      </c>
      <c r="X60" s="297">
        <f>(1-VLOOKUP(R60,Start!$H$33:$I$40,2,FALSE)/100)*W60</f>
        <v>22.25</v>
      </c>
      <c r="Y60" s="297">
        <f>VLOOKUP(Q60,Start!$C$9:$D$15,2,FALSE)+VLOOKUP(Q60,Start!$C$23:$D$29,2,FALSE)</f>
        <v>23.27</v>
      </c>
      <c r="Z60" s="298">
        <f>(Y60/U60)+Start!$D$19*(VLOOKUP(Q60,Start!$M$33:$N$39,2,FALSE)/U60)+VLOOKUP(R60,Start!$C$33:$D$40,2,FALSE)</f>
        <v>98.628373702422152</v>
      </c>
      <c r="AA60" s="234"/>
      <c r="AB60" s="278"/>
    </row>
    <row r="61" spans="2:28" ht="18.75" customHeight="1" x14ac:dyDescent="0.3">
      <c r="B61" s="229"/>
      <c r="C61" s="289" t="s">
        <v>2485</v>
      </c>
      <c r="D61" s="305" t="s">
        <v>291</v>
      </c>
      <c r="E61" s="300" t="s">
        <v>282</v>
      </c>
      <c r="F61" s="300" t="s">
        <v>283</v>
      </c>
      <c r="G61" s="302">
        <v>38106</v>
      </c>
      <c r="H61" s="300" t="s">
        <v>284</v>
      </c>
      <c r="I61" s="300"/>
      <c r="J61" s="306" t="s">
        <v>22</v>
      </c>
      <c r="K61" s="300" t="s">
        <v>292</v>
      </c>
      <c r="L61" s="304" t="s">
        <v>1997</v>
      </c>
      <c r="M61" s="300" t="s">
        <v>47</v>
      </c>
      <c r="N61" s="300" t="s">
        <v>3</v>
      </c>
      <c r="O61" s="300" t="s">
        <v>286</v>
      </c>
      <c r="P61" s="300" t="s">
        <v>3</v>
      </c>
      <c r="Q61" s="300" t="s">
        <v>3</v>
      </c>
      <c r="R61" s="300" t="s">
        <v>3</v>
      </c>
      <c r="S61" s="300" t="s">
        <v>1996</v>
      </c>
      <c r="T61" s="300" t="s">
        <v>2458</v>
      </c>
      <c r="U61" s="303">
        <v>0.46800000000000003</v>
      </c>
      <c r="V61" s="300" t="s">
        <v>2458</v>
      </c>
      <c r="W61" s="307">
        <v>43.3</v>
      </c>
      <c r="X61" s="297">
        <f>(1-VLOOKUP(R61,Start!$H$33:$I$40,2,FALSE)/100)*W61</f>
        <v>33.774000000000001</v>
      </c>
      <c r="Y61" s="297">
        <f>VLOOKUP(Q61,Start!$C$9:$D$15,2,FALSE)+VLOOKUP(Q61,Start!$C$23:$D$29,2,FALSE)</f>
        <v>12.53</v>
      </c>
      <c r="Z61" s="298">
        <f>(Y61/U61)+Start!$D$19*(VLOOKUP(Q61,Start!$M$33:$N$39,2,FALSE)/U61)+VLOOKUP(R61,Start!$C$33:$D$40,2,FALSE)</f>
        <v>45.78760683760683</v>
      </c>
      <c r="AA61" s="234"/>
      <c r="AB61" s="278"/>
    </row>
    <row r="62" spans="2:28" ht="18.75" customHeight="1" x14ac:dyDescent="0.3">
      <c r="B62" s="229"/>
      <c r="C62" s="289" t="s">
        <v>2485</v>
      </c>
      <c r="D62" s="299" t="s">
        <v>293</v>
      </c>
      <c r="E62" s="300" t="s">
        <v>294</v>
      </c>
      <c r="F62" s="132" t="s">
        <v>295</v>
      </c>
      <c r="G62" s="311">
        <v>28237</v>
      </c>
      <c r="H62" s="312" t="s">
        <v>296</v>
      </c>
      <c r="I62" s="132" t="s">
        <v>297</v>
      </c>
      <c r="J62" s="301" t="s">
        <v>296</v>
      </c>
      <c r="K62" s="300" t="s">
        <v>298</v>
      </c>
      <c r="L62" s="323">
        <v>2009</v>
      </c>
      <c r="M62" s="300" t="s">
        <v>6</v>
      </c>
      <c r="N62" s="132"/>
      <c r="O62" s="300"/>
      <c r="P62" s="314" t="s">
        <v>6</v>
      </c>
      <c r="Q62" s="300" t="s">
        <v>6</v>
      </c>
      <c r="R62" s="300" t="s">
        <v>6</v>
      </c>
      <c r="S62" s="300" t="s">
        <v>1981</v>
      </c>
      <c r="T62" s="300" t="s">
        <v>2458</v>
      </c>
      <c r="U62" s="303">
        <v>0.33</v>
      </c>
      <c r="V62" s="300" t="s">
        <v>2458</v>
      </c>
      <c r="W62" s="315">
        <v>33</v>
      </c>
      <c r="X62" s="297">
        <f>(1-VLOOKUP(R62,Start!$H$33:$I$40,2,FALSE)/100)*W62</f>
        <v>28.05</v>
      </c>
      <c r="Y62" s="297">
        <f>VLOOKUP(Q62,Start!$C$9:$D$15,2,FALSE)+VLOOKUP(Q62,Start!$C$23:$D$29,2,FALSE)</f>
        <v>0</v>
      </c>
      <c r="Z62" s="298">
        <f>(Y62/U62)+Start!$D$19*(VLOOKUP(Q62,Start!$M$33:$N$39,2,FALSE)/U62)+VLOOKUP(R62,Start!$C$33:$D$40,2,FALSE)</f>
        <v>1</v>
      </c>
      <c r="AA62" s="234"/>
      <c r="AB62" s="278"/>
    </row>
    <row r="63" spans="2:28" ht="18.75" customHeight="1" x14ac:dyDescent="0.3">
      <c r="B63" s="229"/>
      <c r="C63" s="289" t="s">
        <v>2485</v>
      </c>
      <c r="D63" s="305" t="s">
        <v>313</v>
      </c>
      <c r="E63" s="300" t="s">
        <v>314</v>
      </c>
      <c r="F63" s="300" t="s">
        <v>311</v>
      </c>
      <c r="G63" s="301">
        <v>28237</v>
      </c>
      <c r="H63" s="301" t="s">
        <v>296</v>
      </c>
      <c r="I63" s="301" t="s">
        <v>315</v>
      </c>
      <c r="J63" s="306" t="s">
        <v>296</v>
      </c>
      <c r="K63" s="301" t="s">
        <v>316</v>
      </c>
      <c r="L63" s="304" t="s">
        <v>2062</v>
      </c>
      <c r="M63" s="301" t="s">
        <v>48</v>
      </c>
      <c r="N63" s="301" t="s">
        <v>4</v>
      </c>
      <c r="O63" s="301"/>
      <c r="P63" s="301" t="s">
        <v>48</v>
      </c>
      <c r="Q63" s="300" t="s">
        <v>4</v>
      </c>
      <c r="R63" s="300" t="s">
        <v>4</v>
      </c>
      <c r="S63" s="300" t="s">
        <v>2115</v>
      </c>
      <c r="T63" s="300" t="s">
        <v>2458</v>
      </c>
      <c r="U63" s="303">
        <v>0.315</v>
      </c>
      <c r="V63" s="300" t="s">
        <v>2458</v>
      </c>
      <c r="W63" s="301">
        <v>86</v>
      </c>
      <c r="X63" s="297">
        <f>(1-VLOOKUP(R63,Start!$H$33:$I$40,2,FALSE)/100)*W63</f>
        <v>73.099999999999994</v>
      </c>
      <c r="Y63" s="297">
        <f>VLOOKUP(Q63,Start!$C$9:$D$15,2,FALSE)+VLOOKUP(Q63,Start!$C$23:$D$29,2,FALSE)</f>
        <v>33.223832923832894</v>
      </c>
      <c r="Z63" s="298">
        <f>(Y63/U63)+Start!$D$19*(VLOOKUP(Q63,Start!$M$33:$N$39,2,FALSE)/U63)+VLOOKUP(R63,Start!$C$33:$D$40,2,FALSE)</f>
        <v>128.33915213915205</v>
      </c>
      <c r="AA63" s="234"/>
      <c r="AB63" s="278"/>
    </row>
    <row r="64" spans="2:28" ht="18.75" customHeight="1" x14ac:dyDescent="0.3">
      <c r="B64" s="229"/>
      <c r="C64" s="289" t="s">
        <v>2485</v>
      </c>
      <c r="D64" s="316" t="s">
        <v>317</v>
      </c>
      <c r="E64" s="300" t="s">
        <v>318</v>
      </c>
      <c r="F64" s="303" t="s">
        <v>311</v>
      </c>
      <c r="G64" s="303">
        <v>28237</v>
      </c>
      <c r="H64" s="303" t="s">
        <v>296</v>
      </c>
      <c r="I64" s="303" t="s">
        <v>315</v>
      </c>
      <c r="J64" s="306" t="s">
        <v>296</v>
      </c>
      <c r="K64" s="303" t="s">
        <v>319</v>
      </c>
      <c r="L64" s="304" t="s">
        <v>2245</v>
      </c>
      <c r="M64" s="303" t="s">
        <v>320</v>
      </c>
      <c r="N64" s="303" t="s">
        <v>321</v>
      </c>
      <c r="O64" s="303" t="s">
        <v>7</v>
      </c>
      <c r="P64" s="303" t="s">
        <v>214</v>
      </c>
      <c r="Q64" s="303" t="s">
        <v>7</v>
      </c>
      <c r="R64" s="300" t="s">
        <v>226</v>
      </c>
      <c r="S64" s="300" t="s">
        <v>1981</v>
      </c>
      <c r="T64" s="300" t="s">
        <v>2458</v>
      </c>
      <c r="U64" s="303">
        <v>0.35199999999999998</v>
      </c>
      <c r="V64" s="303" t="s">
        <v>2461</v>
      </c>
      <c r="W64" s="307">
        <v>160</v>
      </c>
      <c r="X64" s="297">
        <f>(1-VLOOKUP(R64,Start!$H$33:$I$40,2,FALSE)/100)*W64</f>
        <v>142.4</v>
      </c>
      <c r="Y64" s="297">
        <f>VLOOKUP(Q64,Start!$C$9:$D$15,2,FALSE)+VLOOKUP(Q64,Start!$C$23:$D$29,2,FALSE)</f>
        <v>23.27</v>
      </c>
      <c r="Z64" s="298">
        <f>(Y64/U64)+Start!$D$19*(VLOOKUP(Q64,Start!$M$33:$N$39,2,FALSE)/U64)+VLOOKUP(R64,Start!$C$33:$D$40,2,FALSE)</f>
        <v>81.655113636363637</v>
      </c>
      <c r="AA64" s="234"/>
      <c r="AB64" s="278"/>
    </row>
    <row r="65" spans="2:28" ht="18.75" customHeight="1" x14ac:dyDescent="0.3">
      <c r="B65" s="229"/>
      <c r="C65" s="289" t="s">
        <v>2485</v>
      </c>
      <c r="D65" s="305" t="s">
        <v>322</v>
      </c>
      <c r="E65" s="300" t="s">
        <v>314</v>
      </c>
      <c r="F65" s="300" t="s">
        <v>323</v>
      </c>
      <c r="G65" s="302">
        <v>28207</v>
      </c>
      <c r="H65" s="300" t="s">
        <v>296</v>
      </c>
      <c r="I65" s="300" t="s">
        <v>324</v>
      </c>
      <c r="J65" s="306" t="s">
        <v>296</v>
      </c>
      <c r="K65" s="300" t="s">
        <v>325</v>
      </c>
      <c r="L65" s="304" t="s">
        <v>1998</v>
      </c>
      <c r="M65" s="300" t="s">
        <v>3</v>
      </c>
      <c r="N65" s="300"/>
      <c r="O65" s="300"/>
      <c r="P65" s="300" t="s">
        <v>3</v>
      </c>
      <c r="Q65" s="300" t="s">
        <v>3</v>
      </c>
      <c r="R65" s="300" t="s">
        <v>3</v>
      </c>
      <c r="S65" s="300" t="s">
        <v>1981</v>
      </c>
      <c r="T65" s="300" t="s">
        <v>2458</v>
      </c>
      <c r="U65" s="303">
        <v>0.46</v>
      </c>
      <c r="V65" s="300" t="s">
        <v>2458</v>
      </c>
      <c r="W65" s="307">
        <v>119</v>
      </c>
      <c r="X65" s="297">
        <f>(1-VLOOKUP(R65,Start!$H$33:$I$40,2,FALSE)/100)*W65</f>
        <v>92.820000000000007</v>
      </c>
      <c r="Y65" s="297">
        <f>VLOOKUP(Q65,Start!$C$9:$D$15,2,FALSE)+VLOOKUP(Q65,Start!$C$23:$D$29,2,FALSE)</f>
        <v>12.53</v>
      </c>
      <c r="Z65" s="298">
        <f>(Y65/U65)+Start!$D$19*(VLOOKUP(Q65,Start!$M$33:$N$39,2,FALSE)/U65)+VLOOKUP(R65,Start!$C$33:$D$40,2,FALSE)</f>
        <v>46.561304347826081</v>
      </c>
      <c r="AA65" s="234"/>
      <c r="AB65" s="278"/>
    </row>
    <row r="66" spans="2:28" ht="18.75" customHeight="1" x14ac:dyDescent="0.3">
      <c r="B66" s="229"/>
      <c r="C66" s="289" t="s">
        <v>2485</v>
      </c>
      <c r="D66" s="305" t="s">
        <v>326</v>
      </c>
      <c r="E66" s="300" t="s">
        <v>314</v>
      </c>
      <c r="F66" s="300" t="s">
        <v>295</v>
      </c>
      <c r="G66" s="302">
        <v>28237</v>
      </c>
      <c r="H66" s="300" t="s">
        <v>296</v>
      </c>
      <c r="I66" s="300" t="s">
        <v>297</v>
      </c>
      <c r="J66" s="306" t="s">
        <v>296</v>
      </c>
      <c r="K66" s="300" t="s">
        <v>327</v>
      </c>
      <c r="L66" s="304" t="s">
        <v>1999</v>
      </c>
      <c r="M66" s="300" t="s">
        <v>3</v>
      </c>
      <c r="N66" s="300"/>
      <c r="O66" s="300"/>
      <c r="P66" s="132" t="s">
        <v>3</v>
      </c>
      <c r="Q66" s="300" t="s">
        <v>3</v>
      </c>
      <c r="R66" s="300" t="s">
        <v>3</v>
      </c>
      <c r="S66" s="300" t="s">
        <v>1981</v>
      </c>
      <c r="T66" s="300" t="s">
        <v>2458</v>
      </c>
      <c r="U66" s="303">
        <v>0.3725</v>
      </c>
      <c r="V66" s="300" t="s">
        <v>2458</v>
      </c>
      <c r="W66" s="307">
        <v>303</v>
      </c>
      <c r="X66" s="297">
        <f>(1-VLOOKUP(R66,Start!$H$33:$I$40,2,FALSE)/100)*W66</f>
        <v>236.34</v>
      </c>
      <c r="Y66" s="297">
        <f>VLOOKUP(Q66,Start!$C$9:$D$15,2,FALSE)+VLOOKUP(Q66,Start!$C$23:$D$29,2,FALSE)</f>
        <v>12.53</v>
      </c>
      <c r="Z66" s="298">
        <f>(Y66/U66)+Start!$D$19*(VLOOKUP(Q66,Start!$M$33:$N$39,2,FALSE)/U66)+VLOOKUP(R66,Start!$C$33:$D$40,2,FALSE)</f>
        <v>57.193154362416109</v>
      </c>
      <c r="AA66" s="234"/>
      <c r="AB66" s="278"/>
    </row>
    <row r="67" spans="2:28" ht="18.75" customHeight="1" x14ac:dyDescent="0.3">
      <c r="B67" s="229"/>
      <c r="C67" s="289" t="s">
        <v>2485</v>
      </c>
      <c r="D67" s="305" t="s">
        <v>328</v>
      </c>
      <c r="E67" s="300" t="s">
        <v>329</v>
      </c>
      <c r="F67" s="300" t="s">
        <v>330</v>
      </c>
      <c r="G67" s="302">
        <v>28777</v>
      </c>
      <c r="H67" s="300" t="s">
        <v>296</v>
      </c>
      <c r="I67" s="300" t="s">
        <v>331</v>
      </c>
      <c r="J67" s="306" t="s">
        <v>296</v>
      </c>
      <c r="K67" s="300" t="s">
        <v>330</v>
      </c>
      <c r="L67" s="304" t="s">
        <v>1992</v>
      </c>
      <c r="M67" s="300" t="s">
        <v>47</v>
      </c>
      <c r="N67" s="300" t="s">
        <v>3</v>
      </c>
      <c r="O67" s="300" t="s">
        <v>332</v>
      </c>
      <c r="P67" s="300" t="s">
        <v>3</v>
      </c>
      <c r="Q67" s="300" t="s">
        <v>3</v>
      </c>
      <c r="R67" s="300" t="s">
        <v>3</v>
      </c>
      <c r="S67" s="300" t="s">
        <v>1981</v>
      </c>
      <c r="T67" s="300" t="s">
        <v>2458</v>
      </c>
      <c r="U67" s="303">
        <v>0.4425</v>
      </c>
      <c r="V67" s="300" t="s">
        <v>2458</v>
      </c>
      <c r="W67" s="307">
        <v>350</v>
      </c>
      <c r="X67" s="297">
        <f>(1-VLOOKUP(R67,Start!$H$33:$I$40,2,FALSE)/100)*W67</f>
        <v>273</v>
      </c>
      <c r="Y67" s="297">
        <f>VLOOKUP(Q67,Start!$C$9:$D$15,2,FALSE)+VLOOKUP(Q67,Start!$C$23:$D$29,2,FALSE)</f>
        <v>12.53</v>
      </c>
      <c r="Z67" s="298">
        <f>(Y67/U67)+Start!$D$19*(VLOOKUP(Q67,Start!$M$33:$N$39,2,FALSE)/U67)+VLOOKUP(R67,Start!$C$33:$D$40,2,FALSE)</f>
        <v>48.351299435028245</v>
      </c>
      <c r="AA67" s="234"/>
      <c r="AB67" s="278"/>
    </row>
    <row r="68" spans="2:28" ht="18.75" customHeight="1" x14ac:dyDescent="0.3">
      <c r="B68" s="229"/>
      <c r="C68" s="289" t="s">
        <v>2485</v>
      </c>
      <c r="D68" s="299" t="s">
        <v>349</v>
      </c>
      <c r="E68" s="300" t="s">
        <v>345</v>
      </c>
      <c r="F68" s="300" t="s">
        <v>346</v>
      </c>
      <c r="G68" s="311">
        <v>59929</v>
      </c>
      <c r="H68" s="312" t="s">
        <v>347</v>
      </c>
      <c r="I68" s="313" t="s">
        <v>348</v>
      </c>
      <c r="J68" s="306" t="s">
        <v>19</v>
      </c>
      <c r="K68" s="313" t="s">
        <v>350</v>
      </c>
      <c r="L68" s="304" t="s">
        <v>2140</v>
      </c>
      <c r="M68" s="300" t="s">
        <v>7</v>
      </c>
      <c r="N68" s="300"/>
      <c r="O68" s="313"/>
      <c r="P68" s="314" t="s">
        <v>7</v>
      </c>
      <c r="Q68" s="300" t="s">
        <v>7</v>
      </c>
      <c r="R68" s="300" t="s">
        <v>96</v>
      </c>
      <c r="S68" s="300" t="s">
        <v>2115</v>
      </c>
      <c r="T68" s="300" t="s">
        <v>2458</v>
      </c>
      <c r="U68" s="303">
        <v>0.36959999999999998</v>
      </c>
      <c r="V68" s="300" t="s">
        <v>2458</v>
      </c>
      <c r="W68" s="315">
        <v>13.5</v>
      </c>
      <c r="X68" s="297">
        <f>(1-VLOOKUP(R68,Start!$H$33:$I$40,2,FALSE)/100)*W68</f>
        <v>12.015000000000001</v>
      </c>
      <c r="Y68" s="297">
        <f>VLOOKUP(Q68,Start!$C$9:$D$15,2,FALSE)+VLOOKUP(Q68,Start!$C$23:$D$29,2,FALSE)</f>
        <v>23.27</v>
      </c>
      <c r="Z68" s="298">
        <f>(Y68/U68)+Start!$D$19*(VLOOKUP(Q68,Start!$M$33:$N$39,2,FALSE)/U68)+VLOOKUP(R68,Start!$C$33:$D$40,2,FALSE)</f>
        <v>77.33820346320347</v>
      </c>
      <c r="AA68" s="234"/>
      <c r="AB68" s="278"/>
    </row>
    <row r="69" spans="2:28" ht="18.75" customHeight="1" x14ac:dyDescent="0.3">
      <c r="B69" s="229"/>
      <c r="C69" s="289" t="s">
        <v>2485</v>
      </c>
      <c r="D69" s="305" t="s">
        <v>351</v>
      </c>
      <c r="E69" s="300" t="s">
        <v>352</v>
      </c>
      <c r="F69" s="300" t="s">
        <v>353</v>
      </c>
      <c r="G69" s="302">
        <v>25576</v>
      </c>
      <c r="H69" s="300" t="s">
        <v>353</v>
      </c>
      <c r="I69" s="300"/>
      <c r="J69" s="306" t="s">
        <v>27</v>
      </c>
      <c r="K69" s="300" t="s">
        <v>354</v>
      </c>
      <c r="L69" s="304" t="s">
        <v>2284</v>
      </c>
      <c r="M69" s="300" t="s">
        <v>1</v>
      </c>
      <c r="N69" s="300"/>
      <c r="O69" s="300"/>
      <c r="P69" s="300" t="s">
        <v>1</v>
      </c>
      <c r="Q69" s="300" t="s">
        <v>1</v>
      </c>
      <c r="R69" s="303" t="s">
        <v>1</v>
      </c>
      <c r="S69" s="300" t="s">
        <v>1981</v>
      </c>
      <c r="T69" s="300" t="s">
        <v>2458</v>
      </c>
      <c r="U69" s="303">
        <v>0.33</v>
      </c>
      <c r="V69" s="300" t="s">
        <v>2458</v>
      </c>
      <c r="W69" s="307">
        <v>1410</v>
      </c>
      <c r="X69" s="297">
        <f>(1-VLOOKUP(R69,Start!$H$33:$I$40,2,FALSE)/100)*W69</f>
        <v>1254.9000000000001</v>
      </c>
      <c r="Y69" s="297">
        <f>VLOOKUP(Q69,Start!$C$9:$D$15,2,FALSE)+VLOOKUP(Q69,Start!$C$23:$D$29,2,FALSE)</f>
        <v>5.5</v>
      </c>
      <c r="Z69" s="298">
        <f>(Y69/U69)+Start!$D$19*(VLOOKUP(Q69,Start!$M$33:$N$39,2,FALSE)/U69)+VLOOKUP(R69,Start!$C$33:$D$40,2,FALSE)</f>
        <v>17.866666666666664</v>
      </c>
      <c r="AA69" s="234"/>
      <c r="AB69" s="278"/>
    </row>
    <row r="70" spans="2:28" ht="18.75" customHeight="1" x14ac:dyDescent="0.3">
      <c r="B70" s="229"/>
      <c r="C70" s="289" t="s">
        <v>2485</v>
      </c>
      <c r="D70" s="299" t="s">
        <v>355</v>
      </c>
      <c r="E70" s="300" t="s">
        <v>356</v>
      </c>
      <c r="F70" s="300" t="s">
        <v>357</v>
      </c>
      <c r="G70" s="311">
        <v>84489</v>
      </c>
      <c r="H70" s="312" t="s">
        <v>358</v>
      </c>
      <c r="I70" s="313" t="s">
        <v>359</v>
      </c>
      <c r="J70" s="306" t="s">
        <v>55</v>
      </c>
      <c r="K70" s="313"/>
      <c r="L70" s="304" t="s">
        <v>2141</v>
      </c>
      <c r="M70" s="300" t="s">
        <v>7</v>
      </c>
      <c r="N70" s="300"/>
      <c r="O70" s="313"/>
      <c r="P70" s="314" t="s">
        <v>7</v>
      </c>
      <c r="Q70" s="300" t="s">
        <v>7</v>
      </c>
      <c r="R70" s="300" t="s">
        <v>226</v>
      </c>
      <c r="S70" s="300" t="s">
        <v>1996</v>
      </c>
      <c r="T70" s="300" t="s">
        <v>2458</v>
      </c>
      <c r="U70" s="303">
        <v>0.54449999999999998</v>
      </c>
      <c r="V70" s="300" t="s">
        <v>2458</v>
      </c>
      <c r="W70" s="315">
        <v>120</v>
      </c>
      <c r="X70" s="297">
        <f>(1-VLOOKUP(R70,Start!$H$33:$I$40,2,FALSE)/100)*W70</f>
        <v>106.8</v>
      </c>
      <c r="Y70" s="297">
        <f>VLOOKUP(Q70,Start!$C$9:$D$15,2,FALSE)+VLOOKUP(Q70,Start!$C$23:$D$29,2,FALSE)</f>
        <v>23.27</v>
      </c>
      <c r="Z70" s="298">
        <f>(Y70/U70)+Start!$D$19*(VLOOKUP(Q70,Start!$M$33:$N$39,2,FALSE)/U70)+VLOOKUP(R70,Start!$C$33:$D$40,2,FALSE)</f>
        <v>53.317447199265381</v>
      </c>
      <c r="AA70" s="234"/>
      <c r="AB70" s="278"/>
    </row>
    <row r="71" spans="2:28" ht="18.75" customHeight="1" x14ac:dyDescent="0.3">
      <c r="B71" s="229"/>
      <c r="C71" s="289" t="s">
        <v>2485</v>
      </c>
      <c r="D71" s="299" t="s">
        <v>360</v>
      </c>
      <c r="E71" s="300" t="s">
        <v>356</v>
      </c>
      <c r="F71" s="300" t="s">
        <v>361</v>
      </c>
      <c r="G71" s="302">
        <v>84489</v>
      </c>
      <c r="H71" s="300" t="s">
        <v>358</v>
      </c>
      <c r="I71" s="300" t="s">
        <v>359</v>
      </c>
      <c r="J71" s="306" t="s">
        <v>55</v>
      </c>
      <c r="K71" s="300"/>
      <c r="L71" s="304" t="s">
        <v>2142</v>
      </c>
      <c r="M71" s="300" t="s">
        <v>7</v>
      </c>
      <c r="N71" s="300" t="s">
        <v>362</v>
      </c>
      <c r="O71" s="300"/>
      <c r="P71" s="300" t="s">
        <v>7</v>
      </c>
      <c r="Q71" s="300" t="s">
        <v>7</v>
      </c>
      <c r="R71" s="300" t="s">
        <v>226</v>
      </c>
      <c r="S71" s="300" t="s">
        <v>1981</v>
      </c>
      <c r="T71" s="300" t="s">
        <v>2458</v>
      </c>
      <c r="U71" s="303">
        <v>0.3619</v>
      </c>
      <c r="V71" s="300" t="s">
        <v>2458</v>
      </c>
      <c r="W71" s="307">
        <v>50</v>
      </c>
      <c r="X71" s="297">
        <f>(1-VLOOKUP(R71,Start!$H$33:$I$40,2,FALSE)/100)*W71</f>
        <v>44.5</v>
      </c>
      <c r="Y71" s="297">
        <f>VLOOKUP(Q71,Start!$C$9:$D$15,2,FALSE)+VLOOKUP(Q71,Start!$C$23:$D$29,2,FALSE)</f>
        <v>23.27</v>
      </c>
      <c r="Z71" s="298">
        <f>(Y71/U71)+Start!$D$19*(VLOOKUP(Q71,Start!$M$33:$N$39,2,FALSE)/U71)+VLOOKUP(R71,Start!$C$33:$D$40,2,FALSE)</f>
        <v>79.462420558165235</v>
      </c>
      <c r="AA71" s="234"/>
      <c r="AB71" s="278"/>
    </row>
    <row r="72" spans="2:28" ht="18.75" customHeight="1" x14ac:dyDescent="0.3">
      <c r="B72" s="229"/>
      <c r="C72" s="289" t="s">
        <v>2485</v>
      </c>
      <c r="D72" s="299" t="s">
        <v>369</v>
      </c>
      <c r="E72" s="300" t="s">
        <v>368</v>
      </c>
      <c r="F72" s="300" t="s">
        <v>370</v>
      </c>
      <c r="G72" s="302">
        <v>84508</v>
      </c>
      <c r="H72" s="300" t="s">
        <v>366</v>
      </c>
      <c r="I72" s="300"/>
      <c r="J72" s="306" t="s">
        <v>55</v>
      </c>
      <c r="K72" s="300"/>
      <c r="L72" s="304" t="s">
        <v>2143</v>
      </c>
      <c r="M72" s="132" t="s">
        <v>7</v>
      </c>
      <c r="N72" s="132"/>
      <c r="O72" s="132"/>
      <c r="P72" s="132" t="s">
        <v>7</v>
      </c>
      <c r="Q72" s="300" t="s">
        <v>7</v>
      </c>
      <c r="R72" s="300" t="s">
        <v>226</v>
      </c>
      <c r="S72" s="300" t="s">
        <v>1981</v>
      </c>
      <c r="T72" s="300" t="s">
        <v>2458</v>
      </c>
      <c r="U72" s="303">
        <v>0.38719999999999999</v>
      </c>
      <c r="V72" s="300" t="s">
        <v>2458</v>
      </c>
      <c r="W72" s="307">
        <v>73.099999999999994</v>
      </c>
      <c r="X72" s="297">
        <f>(1-VLOOKUP(R72,Start!$H$33:$I$40,2,FALSE)/100)*W72</f>
        <v>65.058999999999997</v>
      </c>
      <c r="Y72" s="297">
        <f>VLOOKUP(Q72,Start!$C$9:$D$15,2,FALSE)+VLOOKUP(Q72,Start!$C$23:$D$29,2,FALSE)</f>
        <v>23.27</v>
      </c>
      <c r="Z72" s="298">
        <f>(Y72/U72)+Start!$D$19*(VLOOKUP(Q72,Start!$M$33:$N$39,2,FALSE)/U72)+VLOOKUP(R72,Start!$C$33:$D$40,2,FALSE)</f>
        <v>74.368285123966942</v>
      </c>
      <c r="AA72" s="234"/>
      <c r="AB72" s="278"/>
    </row>
    <row r="73" spans="2:28" ht="18.75" customHeight="1" x14ac:dyDescent="0.3">
      <c r="B73" s="229"/>
      <c r="C73" s="289" t="s">
        <v>2485</v>
      </c>
      <c r="D73" s="299" t="s">
        <v>379</v>
      </c>
      <c r="E73" s="300" t="s">
        <v>380</v>
      </c>
      <c r="F73" s="300" t="s">
        <v>381</v>
      </c>
      <c r="G73" s="302">
        <v>9115</v>
      </c>
      <c r="H73" s="300" t="s">
        <v>382</v>
      </c>
      <c r="I73" s="300"/>
      <c r="J73" s="306" t="s">
        <v>78</v>
      </c>
      <c r="K73" s="300" t="s">
        <v>383</v>
      </c>
      <c r="L73" s="304" t="s">
        <v>2080</v>
      </c>
      <c r="M73" s="132" t="s">
        <v>47</v>
      </c>
      <c r="N73" s="300" t="s">
        <v>384</v>
      </c>
      <c r="O73" s="300" t="s">
        <v>385</v>
      </c>
      <c r="P73" s="300" t="s">
        <v>2</v>
      </c>
      <c r="Q73" s="300" t="s">
        <v>2</v>
      </c>
      <c r="R73" s="300" t="s">
        <v>2</v>
      </c>
      <c r="S73" s="300" t="s">
        <v>1981</v>
      </c>
      <c r="T73" s="300" t="s">
        <v>2458</v>
      </c>
      <c r="U73" s="303">
        <v>0.37119999999999997</v>
      </c>
      <c r="V73" s="300" t="s">
        <v>2458</v>
      </c>
      <c r="W73" s="307">
        <v>56.8</v>
      </c>
      <c r="X73" s="297">
        <f>(1-VLOOKUP(R73,Start!$H$33:$I$40,2,FALSE)/100)*W73</f>
        <v>49.415999999999997</v>
      </c>
      <c r="Y73" s="297">
        <f>VLOOKUP(Q73,Start!$C$9:$D$15,2,FALSE)+VLOOKUP(Q73,Start!$C$23:$D$29,2,FALSE)</f>
        <v>3.1</v>
      </c>
      <c r="Z73" s="298">
        <f>(Y73/U73)+Start!$D$19*(VLOOKUP(Q73,Start!$M$33:$N$39,2,FALSE)/U73)+VLOOKUP(R73,Start!$C$33:$D$40,2,FALSE)</f>
        <v>36.82500000000001</v>
      </c>
      <c r="AA73" s="234"/>
      <c r="AB73" s="278"/>
    </row>
    <row r="74" spans="2:28" ht="18.75" customHeight="1" x14ac:dyDescent="0.3">
      <c r="B74" s="229"/>
      <c r="C74" s="289" t="s">
        <v>2485</v>
      </c>
      <c r="D74" s="299" t="s">
        <v>386</v>
      </c>
      <c r="E74" s="300" t="s">
        <v>380</v>
      </c>
      <c r="F74" s="300" t="s">
        <v>381</v>
      </c>
      <c r="G74" s="302">
        <v>9116</v>
      </c>
      <c r="H74" s="300" t="s">
        <v>382</v>
      </c>
      <c r="I74" s="300"/>
      <c r="J74" s="306" t="s">
        <v>78</v>
      </c>
      <c r="K74" s="300" t="s">
        <v>387</v>
      </c>
      <c r="L74" s="304" t="s">
        <v>2081</v>
      </c>
      <c r="M74" s="132" t="s">
        <v>47</v>
      </c>
      <c r="N74" s="300" t="s">
        <v>384</v>
      </c>
      <c r="O74" s="300" t="s">
        <v>388</v>
      </c>
      <c r="P74" s="300" t="s">
        <v>2</v>
      </c>
      <c r="Q74" s="300" t="s">
        <v>2</v>
      </c>
      <c r="R74" s="300" t="s">
        <v>2</v>
      </c>
      <c r="S74" s="300" t="s">
        <v>1981</v>
      </c>
      <c r="T74" s="300" t="s">
        <v>2458</v>
      </c>
      <c r="U74" s="303">
        <v>0.42399999999999999</v>
      </c>
      <c r="V74" s="300" t="s">
        <v>2458</v>
      </c>
      <c r="W74" s="307">
        <v>90.8</v>
      </c>
      <c r="X74" s="297">
        <f>(1-VLOOKUP(R74,Start!$H$33:$I$40,2,FALSE)/100)*W74</f>
        <v>78.995999999999995</v>
      </c>
      <c r="Y74" s="297">
        <f>VLOOKUP(Q74,Start!$C$9:$D$15,2,FALSE)+VLOOKUP(Q74,Start!$C$23:$D$29,2,FALSE)</f>
        <v>3.1</v>
      </c>
      <c r="Z74" s="298">
        <f>(Y74/U74)+Start!$D$19*(VLOOKUP(Q74,Start!$M$33:$N$39,2,FALSE)/U74)+VLOOKUP(R74,Start!$C$33:$D$40,2,FALSE)</f>
        <v>32.450943396226421</v>
      </c>
      <c r="AA74" s="234"/>
      <c r="AB74" s="278"/>
    </row>
    <row r="75" spans="2:28" ht="18.75" customHeight="1" x14ac:dyDescent="0.3">
      <c r="B75" s="229"/>
      <c r="C75" s="289" t="s">
        <v>2485</v>
      </c>
      <c r="D75" s="318" t="s">
        <v>391</v>
      </c>
      <c r="E75" s="300" t="s">
        <v>392</v>
      </c>
      <c r="F75" s="320" t="s">
        <v>393</v>
      </c>
      <c r="G75" s="311">
        <v>3052</v>
      </c>
      <c r="H75" s="320" t="s">
        <v>394</v>
      </c>
      <c r="I75" s="321"/>
      <c r="J75" s="320" t="s">
        <v>24</v>
      </c>
      <c r="K75" s="319">
        <v>1</v>
      </c>
      <c r="L75" s="304" t="s">
        <v>2082</v>
      </c>
      <c r="M75" s="322" t="s">
        <v>47</v>
      </c>
      <c r="N75" s="321" t="s">
        <v>395</v>
      </c>
      <c r="O75" s="319" t="s">
        <v>396</v>
      </c>
      <c r="P75" s="314" t="s">
        <v>2</v>
      </c>
      <c r="Q75" s="300" t="s">
        <v>2</v>
      </c>
      <c r="R75" s="300" t="s">
        <v>2</v>
      </c>
      <c r="S75" s="300" t="s">
        <v>1981</v>
      </c>
      <c r="T75" s="300" t="s">
        <v>2458</v>
      </c>
      <c r="U75" s="303">
        <v>0.39760000000000001</v>
      </c>
      <c r="V75" s="300" t="s">
        <v>2458</v>
      </c>
      <c r="W75" s="315">
        <v>74</v>
      </c>
      <c r="X75" s="297">
        <f>(1-VLOOKUP(R75,Start!$H$33:$I$40,2,FALSE)/100)*W75</f>
        <v>64.38</v>
      </c>
      <c r="Y75" s="297">
        <f>VLOOKUP(Q75,Start!$C$9:$D$15,2,FALSE)+VLOOKUP(Q75,Start!$C$23:$D$29,2,FALSE)</f>
        <v>3.1</v>
      </c>
      <c r="Z75" s="298">
        <f>(Y75/U75)+Start!$D$19*(VLOOKUP(Q75,Start!$M$33:$N$39,2,FALSE)/U75)+VLOOKUP(R75,Start!$C$33:$D$40,2,FALSE)</f>
        <v>34.492756539235415</v>
      </c>
      <c r="AA75" s="234"/>
      <c r="AB75" s="278"/>
    </row>
    <row r="76" spans="2:28" ht="18.75" customHeight="1" x14ac:dyDescent="0.3">
      <c r="B76" s="229"/>
      <c r="C76" s="289" t="s">
        <v>2485</v>
      </c>
      <c r="D76" s="305" t="s">
        <v>409</v>
      </c>
      <c r="E76" s="300" t="s">
        <v>410</v>
      </c>
      <c r="F76" s="300" t="s">
        <v>411</v>
      </c>
      <c r="G76" s="302">
        <v>6842</v>
      </c>
      <c r="H76" s="300" t="s">
        <v>412</v>
      </c>
      <c r="I76" s="300"/>
      <c r="J76" s="306" t="s">
        <v>38</v>
      </c>
      <c r="K76" s="300"/>
      <c r="L76" s="304" t="s">
        <v>2083</v>
      </c>
      <c r="M76" s="300" t="s">
        <v>47</v>
      </c>
      <c r="N76" s="300" t="s">
        <v>413</v>
      </c>
      <c r="O76" s="300" t="s">
        <v>115</v>
      </c>
      <c r="P76" s="300" t="s">
        <v>2</v>
      </c>
      <c r="Q76" s="300" t="s">
        <v>2</v>
      </c>
      <c r="R76" s="300" t="s">
        <v>2</v>
      </c>
      <c r="S76" s="300" t="s">
        <v>1981</v>
      </c>
      <c r="T76" s="300" t="s">
        <v>2458</v>
      </c>
      <c r="U76" s="303">
        <v>0.39040000000000002</v>
      </c>
      <c r="V76" s="300" t="s">
        <v>2458</v>
      </c>
      <c r="W76" s="307">
        <v>49</v>
      </c>
      <c r="X76" s="297">
        <f>(1-VLOOKUP(R76,Start!$H$33:$I$40,2,FALSE)/100)*W76</f>
        <v>42.63</v>
      </c>
      <c r="Y76" s="297">
        <f>VLOOKUP(Q76,Start!$C$9:$D$15,2,FALSE)+VLOOKUP(Q76,Start!$C$23:$D$29,2,FALSE)</f>
        <v>3.1</v>
      </c>
      <c r="Z76" s="298">
        <f>(Y76/U76)+Start!$D$19*(VLOOKUP(Q76,Start!$M$33:$N$39,2,FALSE)/U76)+VLOOKUP(R76,Start!$C$33:$D$40,2,FALSE)</f>
        <v>35.097540983606564</v>
      </c>
      <c r="AA76" s="234"/>
      <c r="AB76" s="278"/>
    </row>
    <row r="77" spans="2:28" ht="18.75" customHeight="1" x14ac:dyDescent="0.3">
      <c r="B77" s="229"/>
      <c r="C77" s="289" t="s">
        <v>2485</v>
      </c>
      <c r="D77" s="299" t="s">
        <v>1755</v>
      </c>
      <c r="E77" s="300" t="s">
        <v>1756</v>
      </c>
      <c r="F77" s="300" t="s">
        <v>1757</v>
      </c>
      <c r="G77" s="302">
        <v>6682</v>
      </c>
      <c r="H77" s="300" t="s">
        <v>1758</v>
      </c>
      <c r="I77" s="300"/>
      <c r="J77" s="306" t="s">
        <v>38</v>
      </c>
      <c r="K77" s="300"/>
      <c r="L77" s="304" t="s">
        <v>2112</v>
      </c>
      <c r="M77" s="300" t="s">
        <v>2</v>
      </c>
      <c r="N77" s="300"/>
      <c r="O77" s="300"/>
      <c r="P77" s="300" t="s">
        <v>2</v>
      </c>
      <c r="Q77" s="300" t="s">
        <v>2</v>
      </c>
      <c r="R77" s="300" t="s">
        <v>2</v>
      </c>
      <c r="S77" s="300" t="s">
        <v>1981</v>
      </c>
      <c r="T77" s="300" t="s">
        <v>2458</v>
      </c>
      <c r="U77" s="303">
        <v>0.24640000000000001</v>
      </c>
      <c r="V77" s="300" t="s">
        <v>2458</v>
      </c>
      <c r="W77" s="307">
        <v>67</v>
      </c>
      <c r="X77" s="297">
        <f>(1-VLOOKUP(R77,Start!$H$33:$I$40,2,FALSE)/100)*W77</f>
        <v>58.29</v>
      </c>
      <c r="Y77" s="297">
        <f>VLOOKUP(Q77,Start!$C$9:$D$15,2,FALSE)+VLOOKUP(Q77,Start!$C$23:$D$29,2,FALSE)</f>
        <v>3.1</v>
      </c>
      <c r="Z77" s="298">
        <f>(Y77/U77)+Start!$D$19*(VLOOKUP(Q77,Start!$M$33:$N$39,2,FALSE)/U77)+VLOOKUP(R77,Start!$C$33:$D$40,2,FALSE)</f>
        <v>54.615584415584422</v>
      </c>
      <c r="AA77" s="234"/>
      <c r="AB77" s="278"/>
    </row>
    <row r="78" spans="2:28" ht="18.75" customHeight="1" x14ac:dyDescent="0.3">
      <c r="B78" s="229"/>
      <c r="C78" s="289" t="s">
        <v>2485</v>
      </c>
      <c r="D78" s="305" t="s">
        <v>428</v>
      </c>
      <c r="E78" s="300" t="s">
        <v>160</v>
      </c>
      <c r="F78" s="300" t="s">
        <v>429</v>
      </c>
      <c r="G78" s="300">
        <v>41539</v>
      </c>
      <c r="H78" s="300" t="s">
        <v>429</v>
      </c>
      <c r="I78" s="307"/>
      <c r="J78" s="307" t="s">
        <v>19</v>
      </c>
      <c r="K78" s="297" t="s">
        <v>226</v>
      </c>
      <c r="L78" s="304" t="s">
        <v>2149</v>
      </c>
      <c r="M78" s="324" t="s">
        <v>7</v>
      </c>
      <c r="N78" s="324" t="s">
        <v>7</v>
      </c>
      <c r="O78" s="324" t="s">
        <v>4</v>
      </c>
      <c r="P78" s="324" t="s">
        <v>7</v>
      </c>
      <c r="Q78" s="324" t="s">
        <v>7</v>
      </c>
      <c r="R78" s="300" t="s">
        <v>226</v>
      </c>
      <c r="S78" s="300" t="s">
        <v>1996</v>
      </c>
      <c r="T78" s="300" t="s">
        <v>2458</v>
      </c>
      <c r="U78" s="303">
        <v>0.54</v>
      </c>
      <c r="V78" s="300" t="s">
        <v>2458</v>
      </c>
      <c r="W78" s="301">
        <v>586</v>
      </c>
      <c r="X78" s="297">
        <f>(1-VLOOKUP(R78,Start!$H$33:$I$40,2,FALSE)/100)*W78</f>
        <v>521.54</v>
      </c>
      <c r="Y78" s="297">
        <f>VLOOKUP(Q78,Start!$C$9:$D$15,2,FALSE)+VLOOKUP(Q78,Start!$C$23:$D$29,2,FALSE)</f>
        <v>23.27</v>
      </c>
      <c r="Z78" s="298">
        <f>(Y78/U78)+Start!$D$19*(VLOOKUP(Q78,Start!$M$33:$N$39,2,FALSE)/U78)+VLOOKUP(R78,Start!$C$33:$D$40,2,FALSE)</f>
        <v>53.749259259259254</v>
      </c>
      <c r="AA78" s="234"/>
      <c r="AB78" s="278"/>
    </row>
    <row r="79" spans="2:28" ht="18.75" customHeight="1" x14ac:dyDescent="0.3">
      <c r="B79" s="229"/>
      <c r="C79" s="289" t="s">
        <v>2485</v>
      </c>
      <c r="D79" s="305" t="s">
        <v>430</v>
      </c>
      <c r="E79" s="300" t="s">
        <v>160</v>
      </c>
      <c r="F79" s="300" t="s">
        <v>431</v>
      </c>
      <c r="G79" s="302">
        <v>44143</v>
      </c>
      <c r="H79" s="300" t="s">
        <v>431</v>
      </c>
      <c r="I79" s="300"/>
      <c r="J79" s="306" t="s">
        <v>19</v>
      </c>
      <c r="K79" s="300" t="s">
        <v>432</v>
      </c>
      <c r="L79" s="304" t="s">
        <v>2150</v>
      </c>
      <c r="M79" s="300" t="s">
        <v>7</v>
      </c>
      <c r="N79" s="300"/>
      <c r="O79" s="300"/>
      <c r="P79" s="300" t="s">
        <v>7</v>
      </c>
      <c r="Q79" s="300" t="s">
        <v>7</v>
      </c>
      <c r="R79" s="300" t="s">
        <v>226</v>
      </c>
      <c r="S79" s="300" t="s">
        <v>1981</v>
      </c>
      <c r="T79" s="300" t="s">
        <v>2458</v>
      </c>
      <c r="U79" s="303">
        <v>0.38940000000000002</v>
      </c>
      <c r="V79" s="300" t="s">
        <v>2458</v>
      </c>
      <c r="W79" s="307">
        <v>26</v>
      </c>
      <c r="X79" s="297">
        <f>(1-VLOOKUP(R79,Start!$H$33:$I$40,2,FALSE)/100)*W79</f>
        <v>23.14</v>
      </c>
      <c r="Y79" s="297">
        <f>VLOOKUP(Q79,Start!$C$9:$D$15,2,FALSE)+VLOOKUP(Q79,Start!$C$23:$D$29,2,FALSE)</f>
        <v>23.27</v>
      </c>
      <c r="Z79" s="298">
        <f>(Y79/U79)+Start!$D$19*(VLOOKUP(Q79,Start!$M$33:$N$39,2,FALSE)/U79)+VLOOKUP(R79,Start!$C$33:$D$40,2,FALSE)</f>
        <v>73.956599897277869</v>
      </c>
      <c r="AA79" s="234"/>
      <c r="AB79" s="278"/>
    </row>
    <row r="80" spans="2:28" ht="18.75" customHeight="1" x14ac:dyDescent="0.3">
      <c r="B80" s="229"/>
      <c r="C80" s="289" t="s">
        <v>2485</v>
      </c>
      <c r="D80" s="305" t="s">
        <v>438</v>
      </c>
      <c r="E80" s="300" t="s">
        <v>439</v>
      </c>
      <c r="F80" s="303" t="s">
        <v>440</v>
      </c>
      <c r="G80" s="308">
        <v>1169</v>
      </c>
      <c r="H80" s="303" t="s">
        <v>441</v>
      </c>
      <c r="I80" s="303" t="s">
        <v>442</v>
      </c>
      <c r="J80" s="306" t="s">
        <v>78</v>
      </c>
      <c r="K80" s="309" t="s">
        <v>443</v>
      </c>
      <c r="L80" s="304" t="s">
        <v>2151</v>
      </c>
      <c r="M80" s="300" t="s">
        <v>47</v>
      </c>
      <c r="N80" s="303" t="s">
        <v>7</v>
      </c>
      <c r="O80" s="303" t="s">
        <v>115</v>
      </c>
      <c r="P80" s="303" t="s">
        <v>7</v>
      </c>
      <c r="Q80" s="300" t="s">
        <v>7</v>
      </c>
      <c r="R80" s="300" t="s">
        <v>226</v>
      </c>
      <c r="S80" s="300" t="s">
        <v>1996</v>
      </c>
      <c r="T80" s="300" t="s">
        <v>2458</v>
      </c>
      <c r="U80" s="303">
        <v>0.51749999999999996</v>
      </c>
      <c r="V80" s="300" t="s">
        <v>2458</v>
      </c>
      <c r="W80" s="297">
        <v>260</v>
      </c>
      <c r="X80" s="297">
        <f>(1-VLOOKUP(R80,Start!$H$33:$I$40,2,FALSE)/100)*W80</f>
        <v>231.4</v>
      </c>
      <c r="Y80" s="297">
        <f>VLOOKUP(Q80,Start!$C$9:$D$15,2,FALSE)+VLOOKUP(Q80,Start!$C$23:$D$29,2,FALSE)</f>
        <v>23.27</v>
      </c>
      <c r="Z80" s="298">
        <f>(Y80/U80)+Start!$D$19*(VLOOKUP(Q80,Start!$M$33:$N$39,2,FALSE)/U80)+VLOOKUP(R80,Start!$C$33:$D$40,2,FALSE)</f>
        <v>56.020966183574885</v>
      </c>
      <c r="AA80" s="234"/>
      <c r="AB80" s="278"/>
    </row>
    <row r="81" spans="2:28" ht="18.75" customHeight="1" x14ac:dyDescent="0.3">
      <c r="B81" s="229"/>
      <c r="C81" s="289" t="s">
        <v>2485</v>
      </c>
      <c r="D81" s="305" t="s">
        <v>451</v>
      </c>
      <c r="E81" s="300" t="s">
        <v>452</v>
      </c>
      <c r="F81" s="300" t="s">
        <v>453</v>
      </c>
      <c r="G81" s="302">
        <v>47249</v>
      </c>
      <c r="H81" s="300" t="s">
        <v>450</v>
      </c>
      <c r="I81" s="300" t="s">
        <v>454</v>
      </c>
      <c r="J81" s="306" t="s">
        <v>19</v>
      </c>
      <c r="K81" s="300" t="s">
        <v>453</v>
      </c>
      <c r="L81" s="304" t="s">
        <v>2152</v>
      </c>
      <c r="M81" s="300" t="s">
        <v>47</v>
      </c>
      <c r="N81" s="300" t="s">
        <v>7</v>
      </c>
      <c r="O81" s="300" t="s">
        <v>104</v>
      </c>
      <c r="P81" s="300" t="s">
        <v>7</v>
      </c>
      <c r="Q81" s="300" t="s">
        <v>7</v>
      </c>
      <c r="R81" s="300" t="s">
        <v>226</v>
      </c>
      <c r="S81" s="300" t="s">
        <v>1981</v>
      </c>
      <c r="T81" s="300" t="s">
        <v>2458</v>
      </c>
      <c r="U81" s="303">
        <v>0.38719999999999999</v>
      </c>
      <c r="V81" s="300" t="s">
        <v>2458</v>
      </c>
      <c r="W81" s="307">
        <v>40</v>
      </c>
      <c r="X81" s="297">
        <f>(1-VLOOKUP(R81,Start!$H$33:$I$40,2,FALSE)/100)*W81</f>
        <v>35.6</v>
      </c>
      <c r="Y81" s="297">
        <f>VLOOKUP(Q81,Start!$C$9:$D$15,2,FALSE)+VLOOKUP(Q81,Start!$C$23:$D$29,2,FALSE)</f>
        <v>23.27</v>
      </c>
      <c r="Z81" s="298">
        <f>(Y81/U81)+Start!$D$19*(VLOOKUP(Q81,Start!$M$33:$N$39,2,FALSE)/U81)+VLOOKUP(R81,Start!$C$33:$D$40,2,FALSE)</f>
        <v>74.368285123966942</v>
      </c>
      <c r="AA81" s="234"/>
      <c r="AB81" s="278"/>
    </row>
    <row r="82" spans="2:28" ht="18.75" customHeight="1" x14ac:dyDescent="0.3">
      <c r="B82" s="229"/>
      <c r="C82" s="289" t="s">
        <v>2485</v>
      </c>
      <c r="D82" s="305" t="s">
        <v>455</v>
      </c>
      <c r="E82" s="300" t="s">
        <v>452</v>
      </c>
      <c r="F82" s="301" t="s">
        <v>456</v>
      </c>
      <c r="G82" s="308">
        <v>47249</v>
      </c>
      <c r="H82" s="303" t="s">
        <v>450</v>
      </c>
      <c r="I82" s="303" t="s">
        <v>454</v>
      </c>
      <c r="J82" s="301" t="s">
        <v>19</v>
      </c>
      <c r="K82" s="301" t="s">
        <v>456</v>
      </c>
      <c r="L82" s="304" t="s">
        <v>2153</v>
      </c>
      <c r="M82" s="303" t="s">
        <v>47</v>
      </c>
      <c r="N82" s="132" t="s">
        <v>7</v>
      </c>
      <c r="O82" s="132" t="s">
        <v>104</v>
      </c>
      <c r="P82" s="132" t="s">
        <v>7</v>
      </c>
      <c r="Q82" s="300" t="s">
        <v>7</v>
      </c>
      <c r="R82" s="300" t="s">
        <v>226</v>
      </c>
      <c r="S82" s="300" t="s">
        <v>1996</v>
      </c>
      <c r="T82" s="300" t="s">
        <v>2458</v>
      </c>
      <c r="U82" s="303">
        <v>0.5625</v>
      </c>
      <c r="V82" s="300" t="s">
        <v>2458</v>
      </c>
      <c r="W82" s="297">
        <v>234</v>
      </c>
      <c r="X82" s="297">
        <f>(1-VLOOKUP(R82,Start!$H$33:$I$40,2,FALSE)/100)*W82</f>
        <v>208.26</v>
      </c>
      <c r="Y82" s="297">
        <f>VLOOKUP(Q82,Start!$C$9:$D$15,2,FALSE)+VLOOKUP(Q82,Start!$C$23:$D$29,2,FALSE)</f>
        <v>23.27</v>
      </c>
      <c r="Z82" s="298">
        <f>(Y82/U82)+Start!$D$19*(VLOOKUP(Q82,Start!$M$33:$N$39,2,FALSE)/U82)+VLOOKUP(R82,Start!$C$33:$D$40,2,FALSE)</f>
        <v>51.659288888888888</v>
      </c>
      <c r="AA82" s="234"/>
      <c r="AB82" s="278"/>
    </row>
    <row r="83" spans="2:28" ht="18.75" customHeight="1" x14ac:dyDescent="0.3">
      <c r="B83" s="229"/>
      <c r="C83" s="289" t="s">
        <v>2485</v>
      </c>
      <c r="D83" s="299" t="s">
        <v>457</v>
      </c>
      <c r="E83" s="300" t="s">
        <v>458</v>
      </c>
      <c r="F83" s="300" t="s">
        <v>459</v>
      </c>
      <c r="G83" s="302">
        <v>47180</v>
      </c>
      <c r="H83" s="300" t="s">
        <v>450</v>
      </c>
      <c r="I83" s="300" t="s">
        <v>460</v>
      </c>
      <c r="J83" s="306" t="s">
        <v>19</v>
      </c>
      <c r="K83" s="300" t="s">
        <v>461</v>
      </c>
      <c r="L83" s="304" t="s">
        <v>2000</v>
      </c>
      <c r="M83" s="300" t="s">
        <v>3</v>
      </c>
      <c r="N83" s="300"/>
      <c r="O83" s="300"/>
      <c r="P83" s="300" t="s">
        <v>3</v>
      </c>
      <c r="Q83" s="300" t="s">
        <v>3</v>
      </c>
      <c r="R83" s="300" t="s">
        <v>3</v>
      </c>
      <c r="S83" s="300" t="s">
        <v>1981</v>
      </c>
      <c r="T83" s="300" t="s">
        <v>2458</v>
      </c>
      <c r="U83" s="303">
        <v>0.39500000000000002</v>
      </c>
      <c r="V83" s="300" t="s">
        <v>2458</v>
      </c>
      <c r="W83" s="307">
        <v>370</v>
      </c>
      <c r="X83" s="297">
        <f>(1-VLOOKUP(R83,Start!$H$33:$I$40,2,FALSE)/100)*W83</f>
        <v>288.60000000000002</v>
      </c>
      <c r="Y83" s="297">
        <f>VLOOKUP(Q83,Start!$C$9:$D$15,2,FALSE)+VLOOKUP(Q83,Start!$C$23:$D$29,2,FALSE)</f>
        <v>12.53</v>
      </c>
      <c r="Z83" s="298">
        <f>(Y83/U83)+Start!$D$19*(VLOOKUP(Q83,Start!$M$33:$N$39,2,FALSE)/U83)+VLOOKUP(R83,Start!$C$33:$D$40,2,FALSE)</f>
        <v>54.00936708860759</v>
      </c>
      <c r="AA83" s="234"/>
      <c r="AB83" s="278"/>
    </row>
    <row r="84" spans="2:28" ht="18.75" customHeight="1" x14ac:dyDescent="0.3">
      <c r="B84" s="229"/>
      <c r="C84" s="289" t="s">
        <v>2485</v>
      </c>
      <c r="D84" s="305" t="s">
        <v>462</v>
      </c>
      <c r="E84" s="300" t="s">
        <v>463</v>
      </c>
      <c r="F84" s="300" t="s">
        <v>459</v>
      </c>
      <c r="G84" s="302">
        <v>47180</v>
      </c>
      <c r="H84" s="325" t="s">
        <v>450</v>
      </c>
      <c r="I84" s="300" t="s">
        <v>460</v>
      </c>
      <c r="J84" s="306" t="s">
        <v>19</v>
      </c>
      <c r="K84" s="300" t="s">
        <v>464</v>
      </c>
      <c r="L84" s="304" t="s">
        <v>2001</v>
      </c>
      <c r="M84" s="300" t="s">
        <v>3</v>
      </c>
      <c r="N84" s="326"/>
      <c r="O84" s="300"/>
      <c r="P84" s="132" t="s">
        <v>3</v>
      </c>
      <c r="Q84" s="300" t="s">
        <v>3</v>
      </c>
      <c r="R84" s="300" t="s">
        <v>3</v>
      </c>
      <c r="S84" s="300" t="s">
        <v>1981</v>
      </c>
      <c r="T84" s="300" t="s">
        <v>2458</v>
      </c>
      <c r="U84" s="303">
        <v>0.45750000000000002</v>
      </c>
      <c r="V84" s="300" t="s">
        <v>2458</v>
      </c>
      <c r="W84" s="307">
        <v>725</v>
      </c>
      <c r="X84" s="297">
        <f>(1-VLOOKUP(R84,Start!$H$33:$I$40,2,FALSE)/100)*W84</f>
        <v>565.5</v>
      </c>
      <c r="Y84" s="297">
        <f>VLOOKUP(Q84,Start!$C$9:$D$15,2,FALSE)+VLOOKUP(Q84,Start!$C$23:$D$29,2,FALSE)</f>
        <v>12.53</v>
      </c>
      <c r="Z84" s="298">
        <f>(Y84/U84)+Start!$D$19*(VLOOKUP(Q84,Start!$M$33:$N$39,2,FALSE)/U84)+VLOOKUP(R84,Start!$C$33:$D$40,2,FALSE)</f>
        <v>46.808633879781411</v>
      </c>
      <c r="AA84" s="234"/>
      <c r="AB84" s="278"/>
    </row>
    <row r="85" spans="2:28" ht="18.75" customHeight="1" x14ac:dyDescent="0.3">
      <c r="B85" s="229"/>
      <c r="C85" s="289" t="s">
        <v>2485</v>
      </c>
      <c r="D85" s="305" t="s">
        <v>465</v>
      </c>
      <c r="E85" s="300" t="s">
        <v>466</v>
      </c>
      <c r="F85" s="300" t="s">
        <v>467</v>
      </c>
      <c r="G85" s="302">
        <v>47166</v>
      </c>
      <c r="H85" s="325" t="s">
        <v>468</v>
      </c>
      <c r="I85" s="300"/>
      <c r="J85" s="306" t="s">
        <v>19</v>
      </c>
      <c r="K85" s="300" t="s">
        <v>469</v>
      </c>
      <c r="L85" s="304" t="s">
        <v>2066</v>
      </c>
      <c r="M85" s="300" t="s">
        <v>419</v>
      </c>
      <c r="N85" s="300" t="s">
        <v>470</v>
      </c>
      <c r="O85" s="300"/>
      <c r="P85" s="132" t="s">
        <v>214</v>
      </c>
      <c r="Q85" s="300" t="s">
        <v>7</v>
      </c>
      <c r="R85" s="300" t="s">
        <v>226</v>
      </c>
      <c r="S85" s="300" t="s">
        <v>1981</v>
      </c>
      <c r="T85" s="300" t="s">
        <v>2458</v>
      </c>
      <c r="U85" s="303">
        <v>0.33</v>
      </c>
      <c r="V85" s="303" t="s">
        <v>2461</v>
      </c>
      <c r="W85" s="307">
        <v>60</v>
      </c>
      <c r="X85" s="297">
        <f>(1-VLOOKUP(R85,Start!$H$33:$I$40,2,FALSE)/100)*W85</f>
        <v>53.4</v>
      </c>
      <c r="Y85" s="297">
        <f>VLOOKUP(Q85,Start!$C$9:$D$15,2,FALSE)+VLOOKUP(Q85,Start!$C$23:$D$29,2,FALSE)</f>
        <v>23.27</v>
      </c>
      <c r="Z85" s="298">
        <f>(Y85/U85)+Start!$D$19*(VLOOKUP(Q85,Start!$M$33:$N$39,2,FALSE)/U85)+VLOOKUP(R85,Start!$C$33:$D$40,2,FALSE)</f>
        <v>86.99878787878788</v>
      </c>
      <c r="AA85" s="234"/>
      <c r="AB85" s="278"/>
    </row>
    <row r="86" spans="2:28" ht="18.75" customHeight="1" x14ac:dyDescent="0.3">
      <c r="B86" s="229"/>
      <c r="C86" s="289" t="s">
        <v>2485</v>
      </c>
      <c r="D86" s="305" t="s">
        <v>471</v>
      </c>
      <c r="E86" s="300" t="s">
        <v>466</v>
      </c>
      <c r="F86" s="300" t="s">
        <v>472</v>
      </c>
      <c r="G86" s="302">
        <v>47166</v>
      </c>
      <c r="H86" s="325" t="s">
        <v>468</v>
      </c>
      <c r="I86" s="300"/>
      <c r="J86" s="306" t="s">
        <v>19</v>
      </c>
      <c r="K86" s="300" t="s">
        <v>473</v>
      </c>
      <c r="L86" s="304" t="s">
        <v>2059</v>
      </c>
      <c r="M86" s="300" t="s">
        <v>419</v>
      </c>
      <c r="N86" s="300" t="s">
        <v>470</v>
      </c>
      <c r="O86" s="300"/>
      <c r="P86" s="132" t="s">
        <v>214</v>
      </c>
      <c r="Q86" s="300" t="s">
        <v>7</v>
      </c>
      <c r="R86" s="300" t="s">
        <v>226</v>
      </c>
      <c r="S86" s="300" t="s">
        <v>1981</v>
      </c>
      <c r="T86" s="300" t="s">
        <v>2458</v>
      </c>
      <c r="U86" s="303">
        <v>0.34100000000000003</v>
      </c>
      <c r="V86" s="303" t="s">
        <v>2461</v>
      </c>
      <c r="W86" s="307">
        <v>95</v>
      </c>
      <c r="X86" s="297">
        <f>(1-VLOOKUP(R86,Start!$H$33:$I$40,2,FALSE)/100)*W86</f>
        <v>84.55</v>
      </c>
      <c r="Y86" s="297">
        <f>VLOOKUP(Q86,Start!$C$9:$D$15,2,FALSE)+VLOOKUP(Q86,Start!$C$23:$D$29,2,FALSE)</f>
        <v>23.27</v>
      </c>
      <c r="Z86" s="298">
        <f>(Y86/U86)+Start!$D$19*(VLOOKUP(Q86,Start!$M$33:$N$39,2,FALSE)/U86)+VLOOKUP(R86,Start!$C$33:$D$40,2,FALSE)</f>
        <v>84.240762463343103</v>
      </c>
      <c r="AA86" s="234"/>
      <c r="AB86" s="278"/>
    </row>
    <row r="87" spans="2:28" ht="18.75" customHeight="1" x14ac:dyDescent="0.3">
      <c r="B87" s="229"/>
      <c r="C87" s="289" t="s">
        <v>2485</v>
      </c>
      <c r="D87" s="305" t="s">
        <v>474</v>
      </c>
      <c r="E87" s="300" t="s">
        <v>466</v>
      </c>
      <c r="F87" s="300" t="s">
        <v>475</v>
      </c>
      <c r="G87" s="302">
        <v>47166</v>
      </c>
      <c r="H87" s="300" t="s">
        <v>468</v>
      </c>
      <c r="I87" s="300"/>
      <c r="J87" s="306" t="s">
        <v>19</v>
      </c>
      <c r="K87" s="300" t="s">
        <v>319</v>
      </c>
      <c r="L87" s="304" t="s">
        <v>2008</v>
      </c>
      <c r="M87" s="300" t="s">
        <v>419</v>
      </c>
      <c r="N87" s="300" t="s">
        <v>470</v>
      </c>
      <c r="O87" s="300"/>
      <c r="P87" s="132" t="s">
        <v>214</v>
      </c>
      <c r="Q87" s="300" t="s">
        <v>7</v>
      </c>
      <c r="R87" s="300" t="s">
        <v>226</v>
      </c>
      <c r="S87" s="300" t="s">
        <v>1981</v>
      </c>
      <c r="T87" s="300" t="s">
        <v>2458</v>
      </c>
      <c r="U87" s="303">
        <v>0.34100000000000003</v>
      </c>
      <c r="V87" s="303" t="s">
        <v>2461</v>
      </c>
      <c r="W87" s="307">
        <v>170</v>
      </c>
      <c r="X87" s="297">
        <f>(1-VLOOKUP(R87,Start!$H$33:$I$40,2,FALSE)/100)*W87</f>
        <v>151.30000000000001</v>
      </c>
      <c r="Y87" s="297">
        <f>VLOOKUP(Q87,Start!$C$9:$D$15,2,FALSE)+VLOOKUP(Q87,Start!$C$23:$D$29,2,FALSE)</f>
        <v>23.27</v>
      </c>
      <c r="Z87" s="298">
        <f>(Y87/U87)+Start!$D$19*(VLOOKUP(Q87,Start!$M$33:$N$39,2,FALSE)/U87)+VLOOKUP(R87,Start!$C$33:$D$40,2,FALSE)</f>
        <v>84.240762463343103</v>
      </c>
      <c r="AA87" s="234"/>
      <c r="AB87" s="278"/>
    </row>
    <row r="88" spans="2:28" ht="18.75" customHeight="1" x14ac:dyDescent="0.3">
      <c r="B88" s="229"/>
      <c r="C88" s="289" t="s">
        <v>2485</v>
      </c>
      <c r="D88" s="305" t="s">
        <v>499</v>
      </c>
      <c r="E88" s="300" t="s">
        <v>493</v>
      </c>
      <c r="F88" s="300" t="s">
        <v>226</v>
      </c>
      <c r="G88" s="302">
        <v>40221</v>
      </c>
      <c r="H88" s="300" t="s">
        <v>495</v>
      </c>
      <c r="I88" s="300" t="s">
        <v>500</v>
      </c>
      <c r="J88" s="306" t="s">
        <v>19</v>
      </c>
      <c r="K88" s="300" t="s">
        <v>501</v>
      </c>
      <c r="L88" s="304" t="s">
        <v>2155</v>
      </c>
      <c r="M88" s="300" t="s">
        <v>7</v>
      </c>
      <c r="N88" s="300"/>
      <c r="O88" s="300"/>
      <c r="P88" s="300" t="s">
        <v>7</v>
      </c>
      <c r="Q88" s="300" t="s">
        <v>7</v>
      </c>
      <c r="R88" s="300" t="s">
        <v>226</v>
      </c>
      <c r="S88" s="300" t="s">
        <v>1996</v>
      </c>
      <c r="T88" s="300" t="s">
        <v>2458</v>
      </c>
      <c r="U88" s="303">
        <v>0.54</v>
      </c>
      <c r="V88" s="300" t="s">
        <v>2458</v>
      </c>
      <c r="W88" s="307">
        <v>100</v>
      </c>
      <c r="X88" s="297">
        <f>(1-VLOOKUP(R88,Start!$H$33:$I$40,2,FALSE)/100)*W88</f>
        <v>89</v>
      </c>
      <c r="Y88" s="297">
        <f>VLOOKUP(Q88,Start!$C$9:$D$15,2,FALSE)+VLOOKUP(Q88,Start!$C$23:$D$29,2,FALSE)</f>
        <v>23.27</v>
      </c>
      <c r="Z88" s="298">
        <f>(Y88/U88)+Start!$D$19*(VLOOKUP(Q88,Start!$M$33:$N$39,2,FALSE)/U88)+VLOOKUP(R88,Start!$C$33:$D$40,2,FALSE)</f>
        <v>53.749259259259254</v>
      </c>
      <c r="AA88" s="234"/>
      <c r="AB88" s="278"/>
    </row>
    <row r="89" spans="2:28" ht="18.75" customHeight="1" x14ac:dyDescent="0.3">
      <c r="B89" s="229"/>
      <c r="C89" s="289" t="s">
        <v>2485</v>
      </c>
      <c r="D89" s="299" t="s">
        <v>502</v>
      </c>
      <c r="E89" s="300" t="s">
        <v>493</v>
      </c>
      <c r="F89" s="300" t="s">
        <v>99</v>
      </c>
      <c r="G89" s="302">
        <v>40221</v>
      </c>
      <c r="H89" s="300" t="s">
        <v>495</v>
      </c>
      <c r="I89" s="300" t="s">
        <v>500</v>
      </c>
      <c r="J89" s="306" t="s">
        <v>19</v>
      </c>
      <c r="K89" s="300" t="s">
        <v>503</v>
      </c>
      <c r="L89" s="304" t="s">
        <v>2156</v>
      </c>
      <c r="M89" s="300" t="s">
        <v>7</v>
      </c>
      <c r="N89" s="300"/>
      <c r="O89" s="300"/>
      <c r="P89" s="300" t="s">
        <v>7</v>
      </c>
      <c r="Q89" s="300" t="s">
        <v>7</v>
      </c>
      <c r="R89" s="300" t="s">
        <v>96</v>
      </c>
      <c r="S89" s="300" t="s">
        <v>2115</v>
      </c>
      <c r="T89" s="300" t="s">
        <v>2458</v>
      </c>
      <c r="U89" s="303">
        <v>0.315</v>
      </c>
      <c r="V89" s="300" t="s">
        <v>2458</v>
      </c>
      <c r="W89" s="307">
        <v>64.7</v>
      </c>
      <c r="X89" s="297">
        <f>(1-VLOOKUP(R89,Start!$H$33:$I$40,2,FALSE)/100)*W89</f>
        <v>57.583000000000006</v>
      </c>
      <c r="Y89" s="297">
        <f>VLOOKUP(Q89,Start!$C$9:$D$15,2,FALSE)+VLOOKUP(Q89,Start!$C$23:$D$29,2,FALSE)</f>
        <v>23.27</v>
      </c>
      <c r="Z89" s="298">
        <f>(Y89/U89)+Start!$D$19*(VLOOKUP(Q89,Start!$M$33:$N$39,2,FALSE)/U89)+VLOOKUP(R89,Start!$C$33:$D$40,2,FALSE)</f>
        <v>90.570158730158738</v>
      </c>
      <c r="AA89" s="234"/>
      <c r="AB89" s="278"/>
    </row>
    <row r="90" spans="2:28" ht="18.75" customHeight="1" x14ac:dyDescent="0.3">
      <c r="B90" s="229"/>
      <c r="C90" s="289" t="s">
        <v>2485</v>
      </c>
      <c r="D90" s="299" t="s">
        <v>504</v>
      </c>
      <c r="E90" s="300" t="s">
        <v>493</v>
      </c>
      <c r="F90" s="300" t="s">
        <v>99</v>
      </c>
      <c r="G90" s="302">
        <v>40221</v>
      </c>
      <c r="H90" s="300" t="s">
        <v>495</v>
      </c>
      <c r="I90" s="300" t="s">
        <v>500</v>
      </c>
      <c r="J90" s="306" t="s">
        <v>19</v>
      </c>
      <c r="K90" s="300" t="s">
        <v>505</v>
      </c>
      <c r="L90" s="304" t="s">
        <v>2157</v>
      </c>
      <c r="M90" s="300" t="s">
        <v>7</v>
      </c>
      <c r="N90" s="300"/>
      <c r="O90" s="300"/>
      <c r="P90" s="300" t="s">
        <v>7</v>
      </c>
      <c r="Q90" s="300" t="s">
        <v>7</v>
      </c>
      <c r="R90" s="300" t="s">
        <v>96</v>
      </c>
      <c r="S90" s="300" t="s">
        <v>2115</v>
      </c>
      <c r="T90" s="300" t="s">
        <v>2458</v>
      </c>
      <c r="U90" s="303">
        <v>0.31240000000000001</v>
      </c>
      <c r="V90" s="300" t="s">
        <v>2458</v>
      </c>
      <c r="W90" s="307">
        <v>66.7</v>
      </c>
      <c r="X90" s="297">
        <f>(1-VLOOKUP(R90,Start!$H$33:$I$40,2,FALSE)/100)*W90</f>
        <v>59.363000000000007</v>
      </c>
      <c r="Y90" s="297">
        <f>VLOOKUP(Q90,Start!$C$9:$D$15,2,FALSE)+VLOOKUP(Q90,Start!$C$23:$D$29,2,FALSE)</f>
        <v>23.27</v>
      </c>
      <c r="Z90" s="298">
        <f>(Y90/U90)+Start!$D$19*(VLOOKUP(Q90,Start!$M$33:$N$39,2,FALSE)/U90)+VLOOKUP(R90,Start!$C$33:$D$40,2,FALSE)</f>
        <v>91.315620998719595</v>
      </c>
      <c r="AA90" s="234"/>
      <c r="AB90" s="278"/>
    </row>
    <row r="91" spans="2:28" ht="18.75" customHeight="1" x14ac:dyDescent="0.3">
      <c r="B91" s="229"/>
      <c r="C91" s="289" t="s">
        <v>2485</v>
      </c>
      <c r="D91" s="299" t="s">
        <v>517</v>
      </c>
      <c r="E91" s="300" t="s">
        <v>493</v>
      </c>
      <c r="F91" s="300" t="s">
        <v>99</v>
      </c>
      <c r="G91" s="302">
        <v>40233</v>
      </c>
      <c r="H91" s="300" t="s">
        <v>495</v>
      </c>
      <c r="I91" s="300" t="s">
        <v>496</v>
      </c>
      <c r="J91" s="306" t="s">
        <v>19</v>
      </c>
      <c r="K91" s="300" t="s">
        <v>518</v>
      </c>
      <c r="L91" s="304" t="s">
        <v>2293</v>
      </c>
      <c r="M91" s="300" t="s">
        <v>48</v>
      </c>
      <c r="N91" s="300"/>
      <c r="O91" s="300"/>
      <c r="P91" s="300" t="s">
        <v>48</v>
      </c>
      <c r="Q91" s="300" t="s">
        <v>4</v>
      </c>
      <c r="R91" s="300" t="s">
        <v>4</v>
      </c>
      <c r="S91" s="300" t="s">
        <v>2115</v>
      </c>
      <c r="T91" s="300" t="s">
        <v>2458</v>
      </c>
      <c r="U91" s="303">
        <v>0.30719999999999997</v>
      </c>
      <c r="V91" s="300" t="s">
        <v>2458</v>
      </c>
      <c r="W91" s="307">
        <v>86.2</v>
      </c>
      <c r="X91" s="297">
        <f>(1-VLOOKUP(R91,Start!$H$33:$I$40,2,FALSE)/100)*W91</f>
        <v>73.27</v>
      </c>
      <c r="Y91" s="297">
        <f>VLOOKUP(Q91,Start!$C$9:$D$15,2,FALSE)+VLOOKUP(Q91,Start!$C$23:$D$29,2,FALSE)</f>
        <v>33.223832923832894</v>
      </c>
      <c r="Z91" s="298">
        <f>(Y91/U91)+Start!$D$19*(VLOOKUP(Q91,Start!$M$33:$N$39,2,FALSE)/U91)+VLOOKUP(R91,Start!$C$33:$D$40,2,FALSE)</f>
        <v>131.57237279893522</v>
      </c>
      <c r="AA91" s="234"/>
      <c r="AB91" s="278"/>
    </row>
    <row r="92" spans="2:28" ht="18.75" customHeight="1" x14ac:dyDescent="0.3">
      <c r="B92" s="229"/>
      <c r="C92" s="289" t="s">
        <v>2485</v>
      </c>
      <c r="D92" s="305" t="s">
        <v>497</v>
      </c>
      <c r="E92" s="300" t="s">
        <v>493</v>
      </c>
      <c r="F92" s="300" t="s">
        <v>494</v>
      </c>
      <c r="G92" s="302">
        <v>40233</v>
      </c>
      <c r="H92" s="300" t="s">
        <v>495</v>
      </c>
      <c r="I92" s="300" t="s">
        <v>496</v>
      </c>
      <c r="J92" s="306" t="s">
        <v>19</v>
      </c>
      <c r="K92" s="300" t="s">
        <v>498</v>
      </c>
      <c r="L92" s="304" t="s">
        <v>2340</v>
      </c>
      <c r="M92" s="300" t="s">
        <v>6</v>
      </c>
      <c r="N92" s="300"/>
      <c r="O92" s="300"/>
      <c r="P92" s="300" t="s">
        <v>6</v>
      </c>
      <c r="Q92" s="300" t="s">
        <v>6</v>
      </c>
      <c r="R92" s="300" t="s">
        <v>6</v>
      </c>
      <c r="S92" s="300" t="s">
        <v>1981</v>
      </c>
      <c r="T92" s="300" t="s">
        <v>2458</v>
      </c>
      <c r="U92" s="303">
        <v>0.33</v>
      </c>
      <c r="V92" s="300" t="s">
        <v>2458</v>
      </c>
      <c r="W92" s="307">
        <v>53.7</v>
      </c>
      <c r="X92" s="297">
        <f>(1-VLOOKUP(R92,Start!$H$33:$I$40,2,FALSE)/100)*W92</f>
        <v>45.645000000000003</v>
      </c>
      <c r="Y92" s="297">
        <f>VLOOKUP(Q92,Start!$C$9:$D$15,2,FALSE)+VLOOKUP(Q92,Start!$C$23:$D$29,2,FALSE)</f>
        <v>0</v>
      </c>
      <c r="Z92" s="298">
        <f>(Y92/U92)+Start!$D$19*(VLOOKUP(Q92,Start!$M$33:$N$39,2,FALSE)/U92)+VLOOKUP(R92,Start!$C$33:$D$40,2,FALSE)</f>
        <v>1</v>
      </c>
      <c r="AA92" s="234"/>
      <c r="AB92" s="278"/>
    </row>
    <row r="93" spans="2:28" ht="18.75" customHeight="1" x14ac:dyDescent="0.3">
      <c r="B93" s="229"/>
      <c r="C93" s="289" t="s">
        <v>2485</v>
      </c>
      <c r="D93" s="299" t="s">
        <v>523</v>
      </c>
      <c r="E93" s="300" t="s">
        <v>520</v>
      </c>
      <c r="F93" s="300" t="s">
        <v>521</v>
      </c>
      <c r="G93" s="327">
        <v>89584</v>
      </c>
      <c r="H93" s="328" t="s">
        <v>522</v>
      </c>
      <c r="I93" s="300" t="s">
        <v>524</v>
      </c>
      <c r="J93" s="306" t="s">
        <v>20</v>
      </c>
      <c r="K93" s="300"/>
      <c r="L93" s="304" t="s">
        <v>2161</v>
      </c>
      <c r="M93" s="300" t="s">
        <v>7</v>
      </c>
      <c r="N93" s="300"/>
      <c r="O93" s="300"/>
      <c r="P93" s="300" t="s">
        <v>7</v>
      </c>
      <c r="Q93" s="300" t="s">
        <v>7</v>
      </c>
      <c r="R93" s="300" t="s">
        <v>226</v>
      </c>
      <c r="S93" s="300" t="s">
        <v>1981</v>
      </c>
      <c r="T93" s="300" t="s">
        <v>2458</v>
      </c>
      <c r="U93" s="303">
        <v>0.35970000000000002</v>
      </c>
      <c r="V93" s="300" t="s">
        <v>2458</v>
      </c>
      <c r="W93" s="307">
        <v>4</v>
      </c>
      <c r="X93" s="297">
        <f>(1-VLOOKUP(R93,Start!$H$33:$I$40,2,FALSE)/100)*W93</f>
        <v>3.56</v>
      </c>
      <c r="Y93" s="297">
        <f>VLOOKUP(Q93,Start!$C$9:$D$15,2,FALSE)+VLOOKUP(Q93,Start!$C$23:$D$29,2,FALSE)</f>
        <v>23.27</v>
      </c>
      <c r="Z93" s="298">
        <f>(Y93/U93)+Start!$D$19*(VLOOKUP(Q93,Start!$M$33:$N$39,2,FALSE)/U93)+VLOOKUP(R93,Start!$C$33:$D$40,2,FALSE)</f>
        <v>79.939254934667787</v>
      </c>
      <c r="AA93" s="234"/>
      <c r="AB93" s="278"/>
    </row>
    <row r="94" spans="2:28" ht="18.75" customHeight="1" x14ac:dyDescent="0.3">
      <c r="B94" s="229"/>
      <c r="C94" s="289" t="s">
        <v>2485</v>
      </c>
      <c r="D94" s="305" t="s">
        <v>525</v>
      </c>
      <c r="E94" s="300" t="s">
        <v>526</v>
      </c>
      <c r="F94" s="300" t="s">
        <v>527</v>
      </c>
      <c r="G94" s="302">
        <v>4838</v>
      </c>
      <c r="H94" s="300" t="s">
        <v>528</v>
      </c>
      <c r="I94" s="300" t="s">
        <v>529</v>
      </c>
      <c r="J94" s="306" t="s">
        <v>78</v>
      </c>
      <c r="K94" s="300"/>
      <c r="L94" s="304" t="s">
        <v>2114</v>
      </c>
      <c r="M94" s="300" t="s">
        <v>47</v>
      </c>
      <c r="N94" s="300" t="s">
        <v>7</v>
      </c>
      <c r="O94" s="313" t="s">
        <v>530</v>
      </c>
      <c r="P94" s="300" t="s">
        <v>7</v>
      </c>
      <c r="Q94" s="300" t="s">
        <v>7</v>
      </c>
      <c r="R94" s="300" t="s">
        <v>226</v>
      </c>
      <c r="S94" s="300" t="s">
        <v>1981</v>
      </c>
      <c r="T94" s="300" t="s">
        <v>2458</v>
      </c>
      <c r="U94" s="303">
        <v>0.37730000000000002</v>
      </c>
      <c r="V94" s="300" t="s">
        <v>2458</v>
      </c>
      <c r="W94" s="307">
        <v>46.6</v>
      </c>
      <c r="X94" s="297">
        <f>(1-VLOOKUP(R94,Start!$H$33:$I$40,2,FALSE)/100)*W94</f>
        <v>41.474000000000004</v>
      </c>
      <c r="Y94" s="297">
        <f>VLOOKUP(Q94,Start!$C$9:$D$15,2,FALSE)+VLOOKUP(Q94,Start!$C$23:$D$29,2,FALSE)</f>
        <v>23.27</v>
      </c>
      <c r="Z94" s="298">
        <f>(Y94/U94)+Start!$D$19*(VLOOKUP(Q94,Start!$M$33:$N$39,2,FALSE)/U94)+VLOOKUP(R94,Start!$C$33:$D$40,2,FALSE)</f>
        <v>76.280280943546245</v>
      </c>
      <c r="AA94" s="234"/>
      <c r="AB94" s="278"/>
    </row>
    <row r="95" spans="2:28" ht="18.75" customHeight="1" x14ac:dyDescent="0.3">
      <c r="B95" s="229"/>
      <c r="C95" s="289" t="s">
        <v>2485</v>
      </c>
      <c r="D95" s="305" t="s">
        <v>536</v>
      </c>
      <c r="E95" s="300" t="s">
        <v>537</v>
      </c>
      <c r="F95" s="300" t="s">
        <v>538</v>
      </c>
      <c r="G95" s="302">
        <v>15890</v>
      </c>
      <c r="H95" s="300" t="s">
        <v>539</v>
      </c>
      <c r="I95" s="300"/>
      <c r="J95" s="306" t="s">
        <v>24</v>
      </c>
      <c r="K95" s="300"/>
      <c r="L95" s="304" t="s">
        <v>2316</v>
      </c>
      <c r="M95" s="132" t="s">
        <v>47</v>
      </c>
      <c r="N95" s="132" t="s">
        <v>540</v>
      </c>
      <c r="O95" s="132" t="s">
        <v>541</v>
      </c>
      <c r="P95" s="132" t="s">
        <v>214</v>
      </c>
      <c r="Q95" s="300" t="s">
        <v>6</v>
      </c>
      <c r="R95" s="300" t="s">
        <v>6</v>
      </c>
      <c r="S95" s="300" t="s">
        <v>1981</v>
      </c>
      <c r="T95" s="300" t="s">
        <v>2458</v>
      </c>
      <c r="U95" s="303">
        <v>0.33</v>
      </c>
      <c r="V95" s="300" t="s">
        <v>2460</v>
      </c>
      <c r="W95" s="307">
        <v>23.5</v>
      </c>
      <c r="X95" s="297">
        <f>(1-VLOOKUP(R95,Start!$H$33:$I$40,2,FALSE)/100)*W95</f>
        <v>19.974999999999998</v>
      </c>
      <c r="Y95" s="297">
        <f>VLOOKUP(Q95,Start!$C$9:$D$15,2,FALSE)+VLOOKUP(Q95,Start!$C$23:$D$29,2,FALSE)</f>
        <v>0</v>
      </c>
      <c r="Z95" s="298">
        <f>(Y95/U95)+Start!$D$19*(VLOOKUP(Q95,Start!$M$33:$N$39,2,FALSE)/U95)+VLOOKUP(R95,Start!$C$33:$D$40,2,FALSE)</f>
        <v>1</v>
      </c>
      <c r="AA95" s="234"/>
      <c r="AB95" s="278"/>
    </row>
    <row r="96" spans="2:28" ht="18.75" customHeight="1" x14ac:dyDescent="0.3">
      <c r="B96" s="229"/>
      <c r="C96" s="289" t="s">
        <v>2485</v>
      </c>
      <c r="D96" s="305" t="s">
        <v>542</v>
      </c>
      <c r="E96" s="300" t="s">
        <v>543</v>
      </c>
      <c r="F96" s="300" t="s">
        <v>544</v>
      </c>
      <c r="G96" s="302">
        <v>15890</v>
      </c>
      <c r="H96" s="300" t="s">
        <v>539</v>
      </c>
      <c r="I96" s="300" t="s">
        <v>418</v>
      </c>
      <c r="J96" s="306" t="s">
        <v>24</v>
      </c>
      <c r="K96" s="300"/>
      <c r="L96" s="304" t="s">
        <v>1557</v>
      </c>
      <c r="M96" s="300" t="s">
        <v>47</v>
      </c>
      <c r="N96" s="300" t="s">
        <v>545</v>
      </c>
      <c r="O96" s="300" t="s">
        <v>546</v>
      </c>
      <c r="P96" s="132" t="s">
        <v>214</v>
      </c>
      <c r="Q96" s="300" t="s">
        <v>7</v>
      </c>
      <c r="R96" s="300" t="s">
        <v>226</v>
      </c>
      <c r="S96" s="300" t="s">
        <v>1981</v>
      </c>
      <c r="T96" s="300" t="s">
        <v>2458</v>
      </c>
      <c r="U96" s="303">
        <v>0.33</v>
      </c>
      <c r="V96" s="303" t="s">
        <v>2461</v>
      </c>
      <c r="W96" s="307">
        <v>45</v>
      </c>
      <c r="X96" s="297">
        <f>(1-VLOOKUP(R96,Start!$H$33:$I$40,2,FALSE)/100)*W96</f>
        <v>40.049999999999997</v>
      </c>
      <c r="Y96" s="297">
        <f>VLOOKUP(Q96,Start!$C$9:$D$15,2,FALSE)+VLOOKUP(Q96,Start!$C$23:$D$29,2,FALSE)</f>
        <v>23.27</v>
      </c>
      <c r="Z96" s="298">
        <f>(Y96/U96)+Start!$D$19*(VLOOKUP(Q96,Start!$M$33:$N$39,2,FALSE)/U96)+VLOOKUP(R96,Start!$C$33:$D$40,2,FALSE)</f>
        <v>86.99878787878788</v>
      </c>
      <c r="AA96" s="234"/>
      <c r="AB96" s="278"/>
    </row>
    <row r="97" spans="2:28" ht="18.75" customHeight="1" x14ac:dyDescent="0.3">
      <c r="B97" s="229"/>
      <c r="C97" s="289" t="s">
        <v>2485</v>
      </c>
      <c r="D97" s="305" t="s">
        <v>547</v>
      </c>
      <c r="E97" s="300" t="s">
        <v>548</v>
      </c>
      <c r="F97" s="300" t="s">
        <v>544</v>
      </c>
      <c r="G97" s="302">
        <v>15890</v>
      </c>
      <c r="H97" s="300" t="s">
        <v>539</v>
      </c>
      <c r="I97" s="300" t="s">
        <v>418</v>
      </c>
      <c r="J97" s="306" t="s">
        <v>24</v>
      </c>
      <c r="K97" s="300" t="s">
        <v>549</v>
      </c>
      <c r="L97" s="304" t="s">
        <v>2146</v>
      </c>
      <c r="M97" s="300" t="s">
        <v>47</v>
      </c>
      <c r="N97" s="300" t="s">
        <v>545</v>
      </c>
      <c r="O97" s="300" t="s">
        <v>550</v>
      </c>
      <c r="P97" s="132" t="s">
        <v>214</v>
      </c>
      <c r="Q97" s="300" t="s">
        <v>7</v>
      </c>
      <c r="R97" s="300" t="s">
        <v>226</v>
      </c>
      <c r="S97" s="300" t="s">
        <v>1981</v>
      </c>
      <c r="T97" s="300" t="s">
        <v>2458</v>
      </c>
      <c r="U97" s="303">
        <v>0.39600000000000002</v>
      </c>
      <c r="V97" s="303" t="s">
        <v>2461</v>
      </c>
      <c r="W97" s="307">
        <v>56</v>
      </c>
      <c r="X97" s="297">
        <f>(1-VLOOKUP(R97,Start!$H$33:$I$40,2,FALSE)/100)*W97</f>
        <v>49.84</v>
      </c>
      <c r="Y97" s="297">
        <f>VLOOKUP(Q97,Start!$C$9:$D$15,2,FALSE)+VLOOKUP(Q97,Start!$C$23:$D$29,2,FALSE)</f>
        <v>23.27</v>
      </c>
      <c r="Z97" s="298">
        <f>(Y97/U97)+Start!$D$19*(VLOOKUP(Q97,Start!$M$33:$N$39,2,FALSE)/U97)+VLOOKUP(R97,Start!$C$33:$D$40,2,FALSE)</f>
        <v>72.74898989898989</v>
      </c>
      <c r="AA97" s="234"/>
      <c r="AB97" s="278"/>
    </row>
    <row r="98" spans="2:28" ht="18.75" customHeight="1" x14ac:dyDescent="0.3">
      <c r="B98" s="229"/>
      <c r="C98" s="289" t="s">
        <v>2485</v>
      </c>
      <c r="D98" s="305" t="s">
        <v>551</v>
      </c>
      <c r="E98" s="300" t="s">
        <v>278</v>
      </c>
      <c r="F98" s="300" t="s">
        <v>552</v>
      </c>
      <c r="G98" s="302">
        <v>26931</v>
      </c>
      <c r="H98" s="300" t="s">
        <v>553</v>
      </c>
      <c r="I98" s="300"/>
      <c r="J98" s="306" t="s">
        <v>22</v>
      </c>
      <c r="K98" s="300"/>
      <c r="L98" s="304" t="s">
        <v>554</v>
      </c>
      <c r="M98" s="300" t="s">
        <v>7</v>
      </c>
      <c r="N98" s="300" t="s">
        <v>555</v>
      </c>
      <c r="O98" s="300"/>
      <c r="P98" s="300" t="s">
        <v>7</v>
      </c>
      <c r="Q98" s="300" t="s">
        <v>7</v>
      </c>
      <c r="R98" s="300" t="s">
        <v>96</v>
      </c>
      <c r="S98" s="300" t="s">
        <v>2115</v>
      </c>
      <c r="T98" s="300" t="s">
        <v>2458</v>
      </c>
      <c r="U98" s="303">
        <v>0.39560000000000001</v>
      </c>
      <c r="V98" s="300" t="s">
        <v>2458</v>
      </c>
      <c r="W98" s="307">
        <v>321</v>
      </c>
      <c r="X98" s="297">
        <f>(1-VLOOKUP(R98,Start!$H$33:$I$40,2,FALSE)/100)*W98</f>
        <v>285.69</v>
      </c>
      <c r="Y98" s="297">
        <f>VLOOKUP(Q98,Start!$C$9:$D$15,2,FALSE)+VLOOKUP(Q98,Start!$C$23:$D$29,2,FALSE)</f>
        <v>23.27</v>
      </c>
      <c r="Z98" s="298">
        <f>(Y98/U98)+Start!$D$19*(VLOOKUP(Q98,Start!$M$33:$N$39,2,FALSE)/U98)+VLOOKUP(R98,Start!$C$33:$D$40,2,FALSE)</f>
        <v>72.321031344792715</v>
      </c>
      <c r="AA98" s="234"/>
      <c r="AB98" s="278"/>
    </row>
    <row r="99" spans="2:28" ht="18.75" customHeight="1" x14ac:dyDescent="0.3">
      <c r="B99" s="229"/>
      <c r="C99" s="289" t="s">
        <v>2485</v>
      </c>
      <c r="D99" s="305" t="s">
        <v>556</v>
      </c>
      <c r="E99" s="300" t="s">
        <v>557</v>
      </c>
      <c r="F99" s="300" t="s">
        <v>558</v>
      </c>
      <c r="G99" s="302">
        <v>97483</v>
      </c>
      <c r="H99" s="300" t="s">
        <v>559</v>
      </c>
      <c r="I99" s="300" t="s">
        <v>560</v>
      </c>
      <c r="J99" s="306" t="s">
        <v>55</v>
      </c>
      <c r="K99" s="300"/>
      <c r="L99" s="304" t="s">
        <v>2163</v>
      </c>
      <c r="M99" s="132" t="s">
        <v>7</v>
      </c>
      <c r="N99" s="132"/>
      <c r="O99" s="132"/>
      <c r="P99" s="132" t="s">
        <v>7</v>
      </c>
      <c r="Q99" s="300" t="s">
        <v>7</v>
      </c>
      <c r="R99" s="300" t="s">
        <v>226</v>
      </c>
      <c r="S99" s="300" t="s">
        <v>1981</v>
      </c>
      <c r="T99" s="300" t="s">
        <v>2458</v>
      </c>
      <c r="U99" s="303">
        <v>0.39269999999999999</v>
      </c>
      <c r="V99" s="300" t="s">
        <v>2458</v>
      </c>
      <c r="W99" s="307">
        <v>57</v>
      </c>
      <c r="X99" s="297">
        <f>(1-VLOOKUP(R99,Start!$H$33:$I$40,2,FALSE)/100)*W99</f>
        <v>50.730000000000004</v>
      </c>
      <c r="Y99" s="297">
        <f>VLOOKUP(Q99,Start!$C$9:$D$15,2,FALSE)+VLOOKUP(Q99,Start!$C$23:$D$29,2,FALSE)</f>
        <v>23.27</v>
      </c>
      <c r="Z99" s="298">
        <f>(Y99/U99)+Start!$D$19*(VLOOKUP(Q99,Start!$M$33:$N$39,2,FALSE)/U99)+VLOOKUP(R99,Start!$C$33:$D$40,2,FALSE)</f>
        <v>73.347720906544438</v>
      </c>
      <c r="AA99" s="234"/>
      <c r="AB99" s="278"/>
    </row>
    <row r="100" spans="2:28" ht="18.75" customHeight="1" x14ac:dyDescent="0.3">
      <c r="B100" s="229"/>
      <c r="C100" s="289" t="s">
        <v>2485</v>
      </c>
      <c r="D100" s="305" t="s">
        <v>563</v>
      </c>
      <c r="E100" s="300" t="s">
        <v>561</v>
      </c>
      <c r="F100" s="300" t="s">
        <v>564</v>
      </c>
      <c r="G100" s="302">
        <v>26725</v>
      </c>
      <c r="H100" s="300" t="s">
        <v>562</v>
      </c>
      <c r="I100" s="301"/>
      <c r="J100" s="306" t="s">
        <v>22</v>
      </c>
      <c r="K100" s="300" t="s">
        <v>96</v>
      </c>
      <c r="L100" s="304" t="s">
        <v>2117</v>
      </c>
      <c r="M100" s="300" t="s">
        <v>7</v>
      </c>
      <c r="N100" s="300"/>
      <c r="O100" s="300"/>
      <c r="P100" s="300" t="s">
        <v>7</v>
      </c>
      <c r="Q100" s="300" t="s">
        <v>7</v>
      </c>
      <c r="R100" s="300" t="s">
        <v>96</v>
      </c>
      <c r="S100" s="300" t="s">
        <v>2115</v>
      </c>
      <c r="T100" s="300" t="s">
        <v>2458</v>
      </c>
      <c r="U100" s="303">
        <v>0.30980000000000002</v>
      </c>
      <c r="V100" s="300" t="s">
        <v>2458</v>
      </c>
      <c r="W100" s="307">
        <v>52</v>
      </c>
      <c r="X100" s="297">
        <f>(1-VLOOKUP(R100,Start!$H$33:$I$40,2,FALSE)/100)*W100</f>
        <v>46.28</v>
      </c>
      <c r="Y100" s="297">
        <f>VLOOKUP(Q100,Start!$C$9:$D$15,2,FALSE)+VLOOKUP(Q100,Start!$C$23:$D$29,2,FALSE)</f>
        <v>23.27</v>
      </c>
      <c r="Z100" s="298">
        <f>(Y100/U100)+Start!$D$19*(VLOOKUP(Q100,Start!$M$33:$N$39,2,FALSE)/U100)+VLOOKUP(R100,Start!$C$33:$D$40,2,FALSE)</f>
        <v>92.073595868302121</v>
      </c>
      <c r="AA100" s="234"/>
      <c r="AB100" s="278"/>
    </row>
    <row r="101" spans="2:28" ht="18.75" customHeight="1" x14ac:dyDescent="0.3">
      <c r="B101" s="229"/>
      <c r="C101" s="289" t="s">
        <v>2485</v>
      </c>
      <c r="D101" s="305" t="s">
        <v>566</v>
      </c>
      <c r="E101" s="300" t="s">
        <v>352</v>
      </c>
      <c r="F101" s="300" t="s">
        <v>567</v>
      </c>
      <c r="G101" s="302">
        <v>31857</v>
      </c>
      <c r="H101" s="300" t="s">
        <v>568</v>
      </c>
      <c r="I101" s="300"/>
      <c r="J101" s="306" t="s">
        <v>22</v>
      </c>
      <c r="K101" s="300" t="s">
        <v>569</v>
      </c>
      <c r="L101" s="304" t="s">
        <v>2285</v>
      </c>
      <c r="M101" s="300" t="s">
        <v>1</v>
      </c>
      <c r="N101" s="300"/>
      <c r="O101" s="300"/>
      <c r="P101" s="300" t="s">
        <v>1</v>
      </c>
      <c r="Q101" s="300" t="s">
        <v>1</v>
      </c>
      <c r="R101" s="303" t="s">
        <v>1</v>
      </c>
      <c r="S101" s="300" t="s">
        <v>1981</v>
      </c>
      <c r="T101" s="300" t="s">
        <v>2458</v>
      </c>
      <c r="U101" s="303">
        <v>0.33</v>
      </c>
      <c r="V101" s="300" t="s">
        <v>2458</v>
      </c>
      <c r="W101" s="307">
        <v>1360</v>
      </c>
      <c r="X101" s="297">
        <f>(1-VLOOKUP(R101,Start!$H$33:$I$40,2,FALSE)/100)*W101</f>
        <v>1210.4000000000001</v>
      </c>
      <c r="Y101" s="297">
        <f>VLOOKUP(Q101,Start!$C$9:$D$15,2,FALSE)+VLOOKUP(Q101,Start!$C$23:$D$29,2,FALSE)</f>
        <v>5.5</v>
      </c>
      <c r="Z101" s="298">
        <f>(Y101/U101)+Start!$D$19*(VLOOKUP(Q101,Start!$M$33:$N$39,2,FALSE)/U101)+VLOOKUP(R101,Start!$C$33:$D$40,2,FALSE)</f>
        <v>17.866666666666664</v>
      </c>
      <c r="AA101" s="234"/>
      <c r="AB101" s="278"/>
    </row>
    <row r="102" spans="2:28" ht="18.75" customHeight="1" x14ac:dyDescent="0.3">
      <c r="B102" s="229"/>
      <c r="C102" s="289" t="s">
        <v>2485</v>
      </c>
      <c r="D102" s="305" t="s">
        <v>570</v>
      </c>
      <c r="E102" s="300" t="s">
        <v>571</v>
      </c>
      <c r="F102" s="300" t="s">
        <v>572</v>
      </c>
      <c r="G102" s="302">
        <v>99085</v>
      </c>
      <c r="H102" s="300" t="s">
        <v>573</v>
      </c>
      <c r="I102" s="300"/>
      <c r="J102" s="306" t="s">
        <v>77</v>
      </c>
      <c r="K102" s="300"/>
      <c r="L102" s="304" t="s">
        <v>2164</v>
      </c>
      <c r="M102" s="300" t="s">
        <v>7</v>
      </c>
      <c r="N102" s="300"/>
      <c r="O102" s="300"/>
      <c r="P102" s="300" t="s">
        <v>7</v>
      </c>
      <c r="Q102" s="300" t="s">
        <v>7</v>
      </c>
      <c r="R102" s="300" t="s">
        <v>226</v>
      </c>
      <c r="S102" s="300" t="s">
        <v>1981</v>
      </c>
      <c r="T102" s="300" t="s">
        <v>2458</v>
      </c>
      <c r="U102" s="303">
        <v>0.38059999999999999</v>
      </c>
      <c r="V102" s="300" t="s">
        <v>2458</v>
      </c>
      <c r="W102" s="307">
        <v>11</v>
      </c>
      <c r="X102" s="297">
        <f>(1-VLOOKUP(R102,Start!$H$33:$I$40,2,FALSE)/100)*W102</f>
        <v>9.7900000000000009</v>
      </c>
      <c r="Y102" s="297">
        <f>VLOOKUP(Q102,Start!$C$9:$D$15,2,FALSE)+VLOOKUP(Q102,Start!$C$23:$D$29,2,FALSE)</f>
        <v>23.27</v>
      </c>
      <c r="Z102" s="298">
        <f>(Y102/U102)+Start!$D$19*(VLOOKUP(Q102,Start!$M$33:$N$39,2,FALSE)/U102)+VLOOKUP(R102,Start!$C$33:$D$40,2,FALSE)</f>
        <v>75.631897004729382</v>
      </c>
      <c r="AA102" s="234"/>
      <c r="AB102" s="278"/>
    </row>
    <row r="103" spans="2:28" ht="18.75" customHeight="1" x14ac:dyDescent="0.3">
      <c r="B103" s="229"/>
      <c r="C103" s="289" t="s">
        <v>2485</v>
      </c>
      <c r="D103" s="305" t="s">
        <v>574</v>
      </c>
      <c r="E103" s="300" t="s">
        <v>571</v>
      </c>
      <c r="F103" s="300" t="s">
        <v>575</v>
      </c>
      <c r="G103" s="302">
        <v>99087</v>
      </c>
      <c r="H103" s="300" t="s">
        <v>573</v>
      </c>
      <c r="I103" s="300"/>
      <c r="J103" s="306" t="s">
        <v>77</v>
      </c>
      <c r="K103" s="300" t="s">
        <v>576</v>
      </c>
      <c r="L103" s="304" t="s">
        <v>2165</v>
      </c>
      <c r="M103" s="300" t="s">
        <v>7</v>
      </c>
      <c r="N103" s="132"/>
      <c r="O103" s="132"/>
      <c r="P103" s="300" t="s">
        <v>7</v>
      </c>
      <c r="Q103" s="300" t="s">
        <v>7</v>
      </c>
      <c r="R103" s="300" t="s">
        <v>226</v>
      </c>
      <c r="S103" s="300" t="s">
        <v>1996</v>
      </c>
      <c r="T103" s="300" t="s">
        <v>2458</v>
      </c>
      <c r="U103" s="303">
        <v>0.53549999999999998</v>
      </c>
      <c r="V103" s="300" t="s">
        <v>2458</v>
      </c>
      <c r="W103" s="307">
        <v>76.5</v>
      </c>
      <c r="X103" s="297">
        <f>(1-VLOOKUP(R103,Start!$H$33:$I$40,2,FALSE)/100)*W103</f>
        <v>68.085000000000008</v>
      </c>
      <c r="Y103" s="297">
        <f>VLOOKUP(Q103,Start!$C$9:$D$15,2,FALSE)+VLOOKUP(Q103,Start!$C$23:$D$29,2,FALSE)</f>
        <v>23.27</v>
      </c>
      <c r="Z103" s="298">
        <f>(Y103/U103)+Start!$D$19*(VLOOKUP(Q103,Start!$M$33:$N$39,2,FALSE)/U103)+VLOOKUP(R103,Start!$C$33:$D$40,2,FALSE)</f>
        <v>54.188328664799258</v>
      </c>
      <c r="AA103" s="234"/>
      <c r="AB103" s="278"/>
    </row>
    <row r="104" spans="2:28" ht="18.75" customHeight="1" x14ac:dyDescent="0.3">
      <c r="B104" s="229"/>
      <c r="C104" s="289" t="s">
        <v>2485</v>
      </c>
      <c r="D104" s="305" t="s">
        <v>577</v>
      </c>
      <c r="E104" s="300" t="s">
        <v>571</v>
      </c>
      <c r="F104" s="300" t="s">
        <v>575</v>
      </c>
      <c r="G104" s="302">
        <v>99087</v>
      </c>
      <c r="H104" s="300" t="s">
        <v>573</v>
      </c>
      <c r="I104" s="300"/>
      <c r="J104" s="306" t="s">
        <v>77</v>
      </c>
      <c r="K104" s="300" t="s">
        <v>578</v>
      </c>
      <c r="L104" s="304" t="s">
        <v>2058</v>
      </c>
      <c r="M104" s="300" t="s">
        <v>7</v>
      </c>
      <c r="N104" s="132"/>
      <c r="O104" s="132"/>
      <c r="P104" s="300" t="s">
        <v>7</v>
      </c>
      <c r="Q104" s="300" t="s">
        <v>7</v>
      </c>
      <c r="R104" s="300" t="s">
        <v>226</v>
      </c>
      <c r="S104" s="300" t="s">
        <v>1996</v>
      </c>
      <c r="T104" s="300" t="s">
        <v>2458</v>
      </c>
      <c r="U104" s="303">
        <v>0.60299999999999998</v>
      </c>
      <c r="V104" s="300" t="s">
        <v>2458</v>
      </c>
      <c r="W104" s="307">
        <v>32.6</v>
      </c>
      <c r="X104" s="297">
        <f>(1-VLOOKUP(R104,Start!$H$33:$I$40,2,FALSE)/100)*W104</f>
        <v>29.014000000000003</v>
      </c>
      <c r="Y104" s="297">
        <f>VLOOKUP(Q104,Start!$C$9:$D$15,2,FALSE)+VLOOKUP(Q104,Start!$C$23:$D$29,2,FALSE)</f>
        <v>23.27</v>
      </c>
      <c r="Z104" s="298">
        <f>(Y104/U104)+Start!$D$19*(VLOOKUP(Q104,Start!$M$33:$N$39,2,FALSE)/U104)+VLOOKUP(R104,Start!$C$33:$D$40,2,FALSE)</f>
        <v>48.290381426202323</v>
      </c>
      <c r="AA104" s="234"/>
      <c r="AB104" s="278"/>
    </row>
    <row r="105" spans="2:28" ht="18.75" customHeight="1" x14ac:dyDescent="0.3">
      <c r="B105" s="229"/>
      <c r="C105" s="289" t="s">
        <v>2485</v>
      </c>
      <c r="D105" s="305" t="s">
        <v>585</v>
      </c>
      <c r="E105" s="300" t="s">
        <v>586</v>
      </c>
      <c r="F105" s="300" t="s">
        <v>587</v>
      </c>
      <c r="G105" s="302">
        <v>91052</v>
      </c>
      <c r="H105" s="300" t="s">
        <v>588</v>
      </c>
      <c r="I105" s="300" t="s">
        <v>589</v>
      </c>
      <c r="J105" s="306" t="s">
        <v>55</v>
      </c>
      <c r="K105" s="300" t="s">
        <v>590</v>
      </c>
      <c r="L105" s="304" t="s">
        <v>2167</v>
      </c>
      <c r="M105" s="300" t="s">
        <v>7</v>
      </c>
      <c r="N105" s="300"/>
      <c r="O105" s="300"/>
      <c r="P105" s="300" t="s">
        <v>7</v>
      </c>
      <c r="Q105" s="300" t="s">
        <v>7</v>
      </c>
      <c r="R105" s="300" t="s">
        <v>226</v>
      </c>
      <c r="S105" s="300" t="s">
        <v>1996</v>
      </c>
      <c r="T105" s="300" t="s">
        <v>2458</v>
      </c>
      <c r="U105" s="303">
        <v>0.5625</v>
      </c>
      <c r="V105" s="300" t="s">
        <v>2458</v>
      </c>
      <c r="W105" s="307">
        <v>21.6</v>
      </c>
      <c r="X105" s="297">
        <f>(1-VLOOKUP(R105,Start!$H$33:$I$40,2,FALSE)/100)*W105</f>
        <v>19.224</v>
      </c>
      <c r="Y105" s="297">
        <f>VLOOKUP(Q105,Start!$C$9:$D$15,2,FALSE)+VLOOKUP(Q105,Start!$C$23:$D$29,2,FALSE)</f>
        <v>23.27</v>
      </c>
      <c r="Z105" s="298">
        <f>(Y105/U105)+Start!$D$19*(VLOOKUP(Q105,Start!$M$33:$N$39,2,FALSE)/U105)+VLOOKUP(R105,Start!$C$33:$D$40,2,FALSE)</f>
        <v>51.659288888888888</v>
      </c>
      <c r="AA105" s="234"/>
      <c r="AB105" s="278"/>
    </row>
    <row r="106" spans="2:28" ht="18.75" customHeight="1" x14ac:dyDescent="0.3">
      <c r="B106" s="229"/>
      <c r="C106" s="289" t="s">
        <v>2485</v>
      </c>
      <c r="D106" s="305" t="s">
        <v>593</v>
      </c>
      <c r="E106" s="300" t="s">
        <v>586</v>
      </c>
      <c r="F106" s="300" t="s">
        <v>587</v>
      </c>
      <c r="G106" s="302">
        <v>91052</v>
      </c>
      <c r="H106" s="300" t="s">
        <v>588</v>
      </c>
      <c r="I106" s="300" t="s">
        <v>589</v>
      </c>
      <c r="J106" s="306" t="s">
        <v>55</v>
      </c>
      <c r="K106" s="300" t="s">
        <v>594</v>
      </c>
      <c r="L106" s="304" t="s">
        <v>2002</v>
      </c>
      <c r="M106" s="300" t="s">
        <v>47</v>
      </c>
      <c r="N106" s="300" t="s">
        <v>595</v>
      </c>
      <c r="O106" s="300"/>
      <c r="P106" s="300" t="s">
        <v>3</v>
      </c>
      <c r="Q106" s="300" t="s">
        <v>3</v>
      </c>
      <c r="R106" s="300" t="s">
        <v>3</v>
      </c>
      <c r="S106" s="300" t="s">
        <v>1981</v>
      </c>
      <c r="T106" s="300" t="s">
        <v>2458</v>
      </c>
      <c r="U106" s="303">
        <v>0.38</v>
      </c>
      <c r="V106" s="300" t="s">
        <v>2458</v>
      </c>
      <c r="W106" s="307">
        <v>17.399999999999999</v>
      </c>
      <c r="X106" s="297">
        <f>(1-VLOOKUP(R106,Start!$H$33:$I$40,2,FALSE)/100)*W106</f>
        <v>13.571999999999999</v>
      </c>
      <c r="Y106" s="297">
        <f>VLOOKUP(Q106,Start!$C$9:$D$15,2,FALSE)+VLOOKUP(Q106,Start!$C$23:$D$29,2,FALSE)</f>
        <v>12.53</v>
      </c>
      <c r="Z106" s="298">
        <f>(Y106/U106)+Start!$D$19*(VLOOKUP(Q106,Start!$M$33:$N$39,2,FALSE)/U106)+VLOOKUP(R106,Start!$C$33:$D$40,2,FALSE)</f>
        <v>56.09</v>
      </c>
      <c r="AA106" s="234"/>
      <c r="AB106" s="278"/>
    </row>
    <row r="107" spans="2:28" ht="18.75" customHeight="1" x14ac:dyDescent="0.3">
      <c r="B107" s="229"/>
      <c r="C107" s="289" t="s">
        <v>2485</v>
      </c>
      <c r="D107" s="305" t="s">
        <v>591</v>
      </c>
      <c r="E107" s="300" t="s">
        <v>586</v>
      </c>
      <c r="F107" s="300" t="s">
        <v>587</v>
      </c>
      <c r="G107" s="302">
        <v>91052</v>
      </c>
      <c r="H107" s="300" t="s">
        <v>588</v>
      </c>
      <c r="I107" s="300" t="s">
        <v>589</v>
      </c>
      <c r="J107" s="306" t="s">
        <v>55</v>
      </c>
      <c r="K107" s="300" t="s">
        <v>592</v>
      </c>
      <c r="L107" s="304" t="s">
        <v>2168</v>
      </c>
      <c r="M107" s="300" t="s">
        <v>7</v>
      </c>
      <c r="N107" s="300"/>
      <c r="O107" s="300"/>
      <c r="P107" s="300" t="s">
        <v>7</v>
      </c>
      <c r="Q107" s="300" t="s">
        <v>7</v>
      </c>
      <c r="R107" s="300" t="s">
        <v>226</v>
      </c>
      <c r="S107" s="300" t="s">
        <v>1996</v>
      </c>
      <c r="T107" s="300" t="s">
        <v>2458</v>
      </c>
      <c r="U107" s="303">
        <v>0.60299999999999998</v>
      </c>
      <c r="V107" s="300" t="s">
        <v>2458</v>
      </c>
      <c r="W107" s="307">
        <v>6.7</v>
      </c>
      <c r="X107" s="297">
        <f>(1-VLOOKUP(R107,Start!$H$33:$I$40,2,FALSE)/100)*W107</f>
        <v>5.9630000000000001</v>
      </c>
      <c r="Y107" s="297">
        <f>VLOOKUP(Q107,Start!$C$9:$D$15,2,FALSE)+VLOOKUP(Q107,Start!$C$23:$D$29,2,FALSE)</f>
        <v>23.27</v>
      </c>
      <c r="Z107" s="298">
        <f>(Y107/U107)+Start!$D$19*(VLOOKUP(Q107,Start!$M$33:$N$39,2,FALSE)/U107)+VLOOKUP(R107,Start!$C$33:$D$40,2,FALSE)</f>
        <v>48.290381426202323</v>
      </c>
      <c r="AA107" s="234"/>
      <c r="AB107" s="278"/>
    </row>
    <row r="108" spans="2:28" ht="18.75" customHeight="1" x14ac:dyDescent="0.3">
      <c r="B108" s="229"/>
      <c r="C108" s="289" t="s">
        <v>2485</v>
      </c>
      <c r="D108" s="305" t="s">
        <v>617</v>
      </c>
      <c r="E108" s="300" t="s">
        <v>352</v>
      </c>
      <c r="F108" s="300" t="s">
        <v>618</v>
      </c>
      <c r="G108" s="302">
        <v>84051</v>
      </c>
      <c r="H108" s="300" t="s">
        <v>619</v>
      </c>
      <c r="I108" s="300"/>
      <c r="J108" s="306" t="s">
        <v>55</v>
      </c>
      <c r="K108" s="300" t="s">
        <v>620</v>
      </c>
      <c r="L108" s="304" t="s">
        <v>2286</v>
      </c>
      <c r="M108" s="300" t="s">
        <v>1</v>
      </c>
      <c r="N108" s="300"/>
      <c r="O108" s="300"/>
      <c r="P108" s="300" t="s">
        <v>1</v>
      </c>
      <c r="Q108" s="300" t="s">
        <v>1</v>
      </c>
      <c r="R108" s="303" t="s">
        <v>1</v>
      </c>
      <c r="S108" s="300" t="s">
        <v>1981</v>
      </c>
      <c r="T108" s="300" t="s">
        <v>2458</v>
      </c>
      <c r="U108" s="303">
        <v>0.33</v>
      </c>
      <c r="V108" s="300" t="s">
        <v>2458</v>
      </c>
      <c r="W108" s="307">
        <v>1410</v>
      </c>
      <c r="X108" s="297">
        <f>(1-VLOOKUP(R108,Start!$H$33:$I$40,2,FALSE)/100)*W108</f>
        <v>1254.9000000000001</v>
      </c>
      <c r="Y108" s="297">
        <f>VLOOKUP(Q108,Start!$C$9:$D$15,2,FALSE)+VLOOKUP(Q108,Start!$C$23:$D$29,2,FALSE)</f>
        <v>5.5</v>
      </c>
      <c r="Z108" s="298">
        <f>(Y108/U108)+Start!$D$19*(VLOOKUP(Q108,Start!$M$33:$N$39,2,FALSE)/U108)+VLOOKUP(R108,Start!$C$33:$D$40,2,FALSE)</f>
        <v>17.866666666666664</v>
      </c>
      <c r="AA108" s="234"/>
      <c r="AB108" s="278"/>
    </row>
    <row r="109" spans="2:28" ht="18.75" customHeight="1" x14ac:dyDescent="0.3">
      <c r="B109" s="229"/>
      <c r="C109" s="289" t="s">
        <v>2485</v>
      </c>
      <c r="D109" s="299" t="s">
        <v>634</v>
      </c>
      <c r="E109" s="300" t="s">
        <v>630</v>
      </c>
      <c r="F109" s="300" t="s">
        <v>631</v>
      </c>
      <c r="G109" s="302">
        <v>24939</v>
      </c>
      <c r="H109" s="300" t="s">
        <v>632</v>
      </c>
      <c r="I109" s="303" t="s">
        <v>633</v>
      </c>
      <c r="J109" s="306" t="s">
        <v>27</v>
      </c>
      <c r="K109" s="300" t="s">
        <v>635</v>
      </c>
      <c r="L109" s="304" t="s">
        <v>2003</v>
      </c>
      <c r="M109" s="300" t="s">
        <v>47</v>
      </c>
      <c r="N109" s="300" t="s">
        <v>3</v>
      </c>
      <c r="O109" s="300" t="s">
        <v>636</v>
      </c>
      <c r="P109" s="300" t="s">
        <v>3</v>
      </c>
      <c r="Q109" s="300" t="s">
        <v>3</v>
      </c>
      <c r="R109" s="300" t="s">
        <v>3</v>
      </c>
      <c r="S109" s="300" t="s">
        <v>1996</v>
      </c>
      <c r="T109" s="300" t="s">
        <v>2458</v>
      </c>
      <c r="U109" s="303">
        <v>0.504</v>
      </c>
      <c r="V109" s="300" t="s">
        <v>2458</v>
      </c>
      <c r="W109" s="307">
        <v>31</v>
      </c>
      <c r="X109" s="297">
        <f>(1-VLOOKUP(R109,Start!$H$33:$I$40,2,FALSE)/100)*W109</f>
        <v>24.18</v>
      </c>
      <c r="Y109" s="297">
        <f>VLOOKUP(Q109,Start!$C$9:$D$15,2,FALSE)+VLOOKUP(Q109,Start!$C$23:$D$29,2,FALSE)</f>
        <v>12.53</v>
      </c>
      <c r="Z109" s="298">
        <f>(Y109/U109)+Start!$D$19*(VLOOKUP(Q109,Start!$M$33:$N$39,2,FALSE)/U109)+VLOOKUP(R109,Start!$C$33:$D$40,2,FALSE)</f>
        <v>42.609920634920634</v>
      </c>
      <c r="AA109" s="234"/>
      <c r="AB109" s="278"/>
    </row>
    <row r="110" spans="2:28" ht="18.75" customHeight="1" x14ac:dyDescent="0.3">
      <c r="B110" s="229"/>
      <c r="C110" s="289" t="s">
        <v>2485</v>
      </c>
      <c r="D110" s="299" t="s">
        <v>637</v>
      </c>
      <c r="E110" s="300" t="s">
        <v>630</v>
      </c>
      <c r="F110" s="300" t="s">
        <v>631</v>
      </c>
      <c r="G110" s="302">
        <v>24939</v>
      </c>
      <c r="H110" s="300" t="s">
        <v>632</v>
      </c>
      <c r="I110" s="303" t="s">
        <v>633</v>
      </c>
      <c r="J110" s="306" t="s">
        <v>27</v>
      </c>
      <c r="K110" s="300" t="s">
        <v>638</v>
      </c>
      <c r="L110" s="304" t="s">
        <v>2004</v>
      </c>
      <c r="M110" s="300" t="s">
        <v>47</v>
      </c>
      <c r="N110" s="300" t="s">
        <v>3</v>
      </c>
      <c r="O110" s="300" t="s">
        <v>636</v>
      </c>
      <c r="P110" s="300" t="s">
        <v>3</v>
      </c>
      <c r="Q110" s="300" t="s">
        <v>3</v>
      </c>
      <c r="R110" s="300" t="s">
        <v>3</v>
      </c>
      <c r="S110" s="300" t="s">
        <v>1996</v>
      </c>
      <c r="T110" s="300" t="s">
        <v>2458</v>
      </c>
      <c r="U110" s="303">
        <v>0.49049999999999999</v>
      </c>
      <c r="V110" s="300" t="s">
        <v>2458</v>
      </c>
      <c r="W110" s="307">
        <v>33</v>
      </c>
      <c r="X110" s="297">
        <f>(1-VLOOKUP(R110,Start!$H$33:$I$40,2,FALSE)/100)*W110</f>
        <v>25.740000000000002</v>
      </c>
      <c r="Y110" s="297">
        <f>VLOOKUP(Q110,Start!$C$9:$D$15,2,FALSE)+VLOOKUP(Q110,Start!$C$23:$D$29,2,FALSE)</f>
        <v>12.53</v>
      </c>
      <c r="Z110" s="298">
        <f>(Y110/U110)+Start!$D$19*(VLOOKUP(Q110,Start!$M$33:$N$39,2,FALSE)/U110)+VLOOKUP(R110,Start!$C$33:$D$40,2,FALSE)</f>
        <v>43.746890927624875</v>
      </c>
      <c r="AA110" s="234"/>
      <c r="AB110" s="278"/>
    </row>
    <row r="111" spans="2:28" ht="18.75" customHeight="1" x14ac:dyDescent="0.3">
      <c r="B111" s="229"/>
      <c r="C111" s="289" t="s">
        <v>2485</v>
      </c>
      <c r="D111" s="299" t="s">
        <v>639</v>
      </c>
      <c r="E111" s="300" t="s">
        <v>630</v>
      </c>
      <c r="F111" s="300" t="s">
        <v>631</v>
      </c>
      <c r="G111" s="302">
        <v>24939</v>
      </c>
      <c r="H111" s="300" t="s">
        <v>632</v>
      </c>
      <c r="I111" s="303" t="s">
        <v>633</v>
      </c>
      <c r="J111" s="306" t="s">
        <v>27</v>
      </c>
      <c r="K111" s="300" t="s">
        <v>640</v>
      </c>
      <c r="L111" s="304" t="s">
        <v>2005</v>
      </c>
      <c r="M111" s="300" t="s">
        <v>47</v>
      </c>
      <c r="N111" s="300" t="s">
        <v>3</v>
      </c>
      <c r="O111" s="300" t="s">
        <v>636</v>
      </c>
      <c r="P111" s="300" t="s">
        <v>3</v>
      </c>
      <c r="Q111" s="300" t="s">
        <v>3</v>
      </c>
      <c r="R111" s="300" t="s">
        <v>3</v>
      </c>
      <c r="S111" s="300" t="s">
        <v>1996</v>
      </c>
      <c r="T111" s="300" t="s">
        <v>2458</v>
      </c>
      <c r="U111" s="303">
        <v>0.47249999999999998</v>
      </c>
      <c r="V111" s="300" t="s">
        <v>2458</v>
      </c>
      <c r="W111" s="307">
        <v>33</v>
      </c>
      <c r="X111" s="297">
        <f>(1-VLOOKUP(R111,Start!$H$33:$I$40,2,FALSE)/100)*W111</f>
        <v>25.740000000000002</v>
      </c>
      <c r="Y111" s="297">
        <f>VLOOKUP(Q111,Start!$C$9:$D$15,2,FALSE)+VLOOKUP(Q111,Start!$C$23:$D$29,2,FALSE)</f>
        <v>12.53</v>
      </c>
      <c r="Z111" s="298">
        <f>(Y111/U111)+Start!$D$19*(VLOOKUP(Q111,Start!$M$33:$N$39,2,FALSE)/U111)+VLOOKUP(R111,Start!$C$33:$D$40,2,FALSE)</f>
        <v>45.363915343915345</v>
      </c>
      <c r="AA111" s="234"/>
      <c r="AB111" s="278"/>
    </row>
    <row r="112" spans="2:28" ht="18.75" customHeight="1" x14ac:dyDescent="0.3">
      <c r="B112" s="229"/>
      <c r="C112" s="289" t="s">
        <v>2485</v>
      </c>
      <c r="D112" s="305" t="s">
        <v>662</v>
      </c>
      <c r="E112" s="300" t="s">
        <v>663</v>
      </c>
      <c r="F112" s="300" t="s">
        <v>664</v>
      </c>
      <c r="G112" s="302">
        <v>15236</v>
      </c>
      <c r="H112" s="300" t="s">
        <v>665</v>
      </c>
      <c r="I112" s="300"/>
      <c r="J112" s="306" t="s">
        <v>24</v>
      </c>
      <c r="K112" s="300" t="s">
        <v>666</v>
      </c>
      <c r="L112" s="304" t="s">
        <v>2091</v>
      </c>
      <c r="M112" s="132" t="s">
        <v>47</v>
      </c>
      <c r="N112" s="132" t="s">
        <v>667</v>
      </c>
      <c r="O112" s="132" t="s">
        <v>7</v>
      </c>
      <c r="P112" s="132" t="s">
        <v>2</v>
      </c>
      <c r="Q112" s="300" t="s">
        <v>2</v>
      </c>
      <c r="R112" s="300" t="s">
        <v>2</v>
      </c>
      <c r="S112" s="300" t="s">
        <v>1981</v>
      </c>
      <c r="T112" s="300" t="s">
        <v>2458</v>
      </c>
      <c r="U112" s="303">
        <v>0.39279999999999998</v>
      </c>
      <c r="V112" s="300" t="s">
        <v>2458</v>
      </c>
      <c r="W112" s="307">
        <v>45</v>
      </c>
      <c r="X112" s="297">
        <f>(1-VLOOKUP(R112,Start!$H$33:$I$40,2,FALSE)/100)*W112</f>
        <v>39.15</v>
      </c>
      <c r="Y112" s="297">
        <f>VLOOKUP(Q112,Start!$C$9:$D$15,2,FALSE)+VLOOKUP(Q112,Start!$C$23:$D$29,2,FALSE)</f>
        <v>3.1</v>
      </c>
      <c r="Z112" s="298">
        <f>(Y112/U112)+Start!$D$19*(VLOOKUP(Q112,Start!$M$33:$N$39,2,FALSE)/U112)+VLOOKUP(R112,Start!$C$33:$D$40,2,FALSE)</f>
        <v>34.893482688391046</v>
      </c>
      <c r="AA112" s="234"/>
      <c r="AB112" s="278"/>
    </row>
    <row r="113" spans="2:28" ht="18.75" customHeight="1" x14ac:dyDescent="0.3">
      <c r="B113" s="229"/>
      <c r="C113" s="289" t="s">
        <v>2485</v>
      </c>
      <c r="D113" s="305" t="s">
        <v>650</v>
      </c>
      <c r="E113" s="300" t="s">
        <v>519</v>
      </c>
      <c r="F113" s="300" t="s">
        <v>651</v>
      </c>
      <c r="G113" s="302">
        <v>60528</v>
      </c>
      <c r="H113" s="300" t="s">
        <v>644</v>
      </c>
      <c r="I113" s="300" t="s">
        <v>652</v>
      </c>
      <c r="J113" s="306" t="s">
        <v>105</v>
      </c>
      <c r="K113" s="300" t="s">
        <v>653</v>
      </c>
      <c r="L113" s="304" t="s">
        <v>1984</v>
      </c>
      <c r="M113" s="300" t="s">
        <v>7</v>
      </c>
      <c r="N113" s="300"/>
      <c r="O113" s="300"/>
      <c r="P113" s="300" t="s">
        <v>7</v>
      </c>
      <c r="Q113" s="300" t="s">
        <v>7</v>
      </c>
      <c r="R113" s="300" t="s">
        <v>226</v>
      </c>
      <c r="S113" s="300" t="s">
        <v>1981</v>
      </c>
      <c r="T113" s="300" t="s">
        <v>2458</v>
      </c>
      <c r="U113" s="303">
        <v>0.38940000000000002</v>
      </c>
      <c r="V113" s="300" t="s">
        <v>2458</v>
      </c>
      <c r="W113" s="307">
        <v>70</v>
      </c>
      <c r="X113" s="297">
        <f>(1-VLOOKUP(R113,Start!$H$33:$I$40,2,FALSE)/100)*W113</f>
        <v>62.300000000000004</v>
      </c>
      <c r="Y113" s="297">
        <f>VLOOKUP(Q113,Start!$C$9:$D$15,2,FALSE)+VLOOKUP(Q113,Start!$C$23:$D$29,2,FALSE)</f>
        <v>23.27</v>
      </c>
      <c r="Z113" s="298">
        <f>(Y113/U113)+Start!$D$19*(VLOOKUP(Q113,Start!$M$33:$N$39,2,FALSE)/U113)+VLOOKUP(R113,Start!$C$33:$D$40,2,FALSE)</f>
        <v>73.956599897277869</v>
      </c>
      <c r="AA113" s="234"/>
      <c r="AB113" s="278"/>
    </row>
    <row r="114" spans="2:28" ht="18.75" customHeight="1" x14ac:dyDescent="0.3">
      <c r="B114" s="229"/>
      <c r="C114" s="289" t="s">
        <v>2485</v>
      </c>
      <c r="D114" s="305" t="s">
        <v>654</v>
      </c>
      <c r="E114" s="300" t="s">
        <v>519</v>
      </c>
      <c r="F114" s="300" t="s">
        <v>655</v>
      </c>
      <c r="G114" s="302">
        <v>60627</v>
      </c>
      <c r="H114" s="300" t="s">
        <v>644</v>
      </c>
      <c r="I114" s="300" t="s">
        <v>656</v>
      </c>
      <c r="J114" s="306" t="s">
        <v>105</v>
      </c>
      <c r="K114" s="300" t="s">
        <v>319</v>
      </c>
      <c r="L114" s="304" t="s">
        <v>280</v>
      </c>
      <c r="M114" s="300" t="s">
        <v>7</v>
      </c>
      <c r="N114" s="300"/>
      <c r="O114" s="300"/>
      <c r="P114" s="300" t="s">
        <v>7</v>
      </c>
      <c r="Q114" s="300" t="s">
        <v>7</v>
      </c>
      <c r="R114" s="300" t="s">
        <v>226</v>
      </c>
      <c r="S114" s="300" t="s">
        <v>1981</v>
      </c>
      <c r="T114" s="300" t="s">
        <v>2458</v>
      </c>
      <c r="U114" s="303">
        <v>0.37840000000000001</v>
      </c>
      <c r="V114" s="300" t="s">
        <v>2458</v>
      </c>
      <c r="W114" s="307">
        <v>99</v>
      </c>
      <c r="X114" s="297">
        <f>(1-VLOOKUP(R114,Start!$H$33:$I$40,2,FALSE)/100)*W114</f>
        <v>88.11</v>
      </c>
      <c r="Y114" s="297">
        <f>VLOOKUP(Q114,Start!$C$9:$D$15,2,FALSE)+VLOOKUP(Q114,Start!$C$23:$D$29,2,FALSE)</f>
        <v>23.27</v>
      </c>
      <c r="Z114" s="298">
        <f>(Y114/U114)+Start!$D$19*(VLOOKUP(Q114,Start!$M$33:$N$39,2,FALSE)/U114)+VLOOKUP(R114,Start!$C$33:$D$40,2,FALSE)</f>
        <v>76.062896405919659</v>
      </c>
      <c r="AA114" s="234"/>
      <c r="AB114" s="278"/>
    </row>
    <row r="115" spans="2:28" ht="18.75" customHeight="1" x14ac:dyDescent="0.3">
      <c r="B115" s="229"/>
      <c r="C115" s="289" t="s">
        <v>2485</v>
      </c>
      <c r="D115" s="305" t="s">
        <v>642</v>
      </c>
      <c r="E115" s="300" t="s">
        <v>519</v>
      </c>
      <c r="F115" s="300" t="s">
        <v>643</v>
      </c>
      <c r="G115" s="302">
        <v>60440</v>
      </c>
      <c r="H115" s="300" t="s">
        <v>644</v>
      </c>
      <c r="I115" s="300" t="s">
        <v>645</v>
      </c>
      <c r="J115" s="306" t="s">
        <v>105</v>
      </c>
      <c r="K115" s="300" t="s">
        <v>646</v>
      </c>
      <c r="L115" s="304" t="s">
        <v>1992</v>
      </c>
      <c r="M115" s="300" t="s">
        <v>47</v>
      </c>
      <c r="N115" s="300" t="s">
        <v>6</v>
      </c>
      <c r="O115" s="300" t="s">
        <v>48</v>
      </c>
      <c r="P115" s="300" t="s">
        <v>6</v>
      </c>
      <c r="Q115" s="300" t="s">
        <v>6</v>
      </c>
      <c r="R115" s="300" t="s">
        <v>6</v>
      </c>
      <c r="S115" s="300" t="s">
        <v>1981</v>
      </c>
      <c r="T115" s="300" t="s">
        <v>2458</v>
      </c>
      <c r="U115" s="303">
        <v>0.33</v>
      </c>
      <c r="V115" s="300" t="s">
        <v>2458</v>
      </c>
      <c r="W115" s="307">
        <v>26</v>
      </c>
      <c r="X115" s="297">
        <f>(1-VLOOKUP(R115,Start!$H$33:$I$40,2,FALSE)/100)*W115</f>
        <v>22.099999999999998</v>
      </c>
      <c r="Y115" s="297">
        <f>VLOOKUP(Q115,Start!$C$9:$D$15,2,FALSE)+VLOOKUP(Q115,Start!$C$23:$D$29,2,FALSE)</f>
        <v>0</v>
      </c>
      <c r="Z115" s="298">
        <f>(Y115/U115)+Start!$D$19*(VLOOKUP(Q115,Start!$M$33:$N$39,2,FALSE)/U115)+VLOOKUP(R115,Start!$C$33:$D$40,2,FALSE)</f>
        <v>1</v>
      </c>
      <c r="AA115" s="234"/>
      <c r="AB115" s="278"/>
    </row>
    <row r="116" spans="2:28" ht="18.75" customHeight="1" x14ac:dyDescent="0.3">
      <c r="B116" s="229"/>
      <c r="C116" s="289" t="s">
        <v>2485</v>
      </c>
      <c r="D116" s="305" t="s">
        <v>647</v>
      </c>
      <c r="E116" s="300" t="s">
        <v>519</v>
      </c>
      <c r="F116" s="300" t="s">
        <v>643</v>
      </c>
      <c r="G116" s="302">
        <v>60439</v>
      </c>
      <c r="H116" s="300" t="s">
        <v>644</v>
      </c>
      <c r="I116" s="300" t="s">
        <v>648</v>
      </c>
      <c r="J116" s="306" t="s">
        <v>105</v>
      </c>
      <c r="K116" s="300" t="s">
        <v>649</v>
      </c>
      <c r="L116" s="304" t="s">
        <v>2190</v>
      </c>
      <c r="M116" s="300" t="s">
        <v>47</v>
      </c>
      <c r="N116" s="300" t="s">
        <v>6</v>
      </c>
      <c r="O116" s="300" t="s">
        <v>48</v>
      </c>
      <c r="P116" s="300" t="s">
        <v>6</v>
      </c>
      <c r="Q116" s="300" t="s">
        <v>6</v>
      </c>
      <c r="R116" s="300" t="s">
        <v>6</v>
      </c>
      <c r="S116" s="300" t="s">
        <v>1981</v>
      </c>
      <c r="T116" s="300" t="s">
        <v>2458</v>
      </c>
      <c r="U116" s="303">
        <v>0.33</v>
      </c>
      <c r="V116" s="300" t="s">
        <v>2458</v>
      </c>
      <c r="W116" s="307">
        <v>46.5</v>
      </c>
      <c r="X116" s="297">
        <f>(1-VLOOKUP(R116,Start!$H$33:$I$40,2,FALSE)/100)*W116</f>
        <v>39.524999999999999</v>
      </c>
      <c r="Y116" s="297">
        <f>VLOOKUP(Q116,Start!$C$9:$D$15,2,FALSE)+VLOOKUP(Q116,Start!$C$23:$D$29,2,FALSE)</f>
        <v>0</v>
      </c>
      <c r="Z116" s="298">
        <f>(Y116/U116)+Start!$D$19*(VLOOKUP(Q116,Start!$M$33:$N$39,2,FALSE)/U116)+VLOOKUP(R116,Start!$C$33:$D$40,2,FALSE)</f>
        <v>1</v>
      </c>
      <c r="AA116" s="234"/>
      <c r="AB116" s="278"/>
    </row>
    <row r="117" spans="2:28" ht="18.75" customHeight="1" x14ac:dyDescent="0.3">
      <c r="B117" s="229"/>
      <c r="C117" s="289" t="s">
        <v>2485</v>
      </c>
      <c r="D117" s="305" t="s">
        <v>660</v>
      </c>
      <c r="E117" s="300" t="s">
        <v>519</v>
      </c>
      <c r="F117" s="300" t="s">
        <v>655</v>
      </c>
      <c r="G117" s="302">
        <v>60627</v>
      </c>
      <c r="H117" s="300" t="s">
        <v>644</v>
      </c>
      <c r="I117" s="300" t="s">
        <v>656</v>
      </c>
      <c r="J117" s="306" t="s">
        <v>105</v>
      </c>
      <c r="K117" s="300" t="s">
        <v>469</v>
      </c>
      <c r="L117" s="304" t="s">
        <v>2006</v>
      </c>
      <c r="M117" s="300" t="s">
        <v>47</v>
      </c>
      <c r="N117" s="300" t="s">
        <v>3</v>
      </c>
      <c r="O117" s="300" t="s">
        <v>48</v>
      </c>
      <c r="P117" s="300" t="s">
        <v>3</v>
      </c>
      <c r="Q117" s="300" t="s">
        <v>3</v>
      </c>
      <c r="R117" s="300" t="s">
        <v>3</v>
      </c>
      <c r="S117" s="300" t="s">
        <v>1981</v>
      </c>
      <c r="T117" s="300" t="s">
        <v>2458</v>
      </c>
      <c r="U117" s="303">
        <v>0.39500000000000002</v>
      </c>
      <c r="V117" s="300" t="s">
        <v>2458</v>
      </c>
      <c r="W117" s="307">
        <v>61.5</v>
      </c>
      <c r="X117" s="297">
        <f>(1-VLOOKUP(R117,Start!$H$33:$I$40,2,FALSE)/100)*W117</f>
        <v>47.97</v>
      </c>
      <c r="Y117" s="297">
        <f>VLOOKUP(Q117,Start!$C$9:$D$15,2,FALSE)+VLOOKUP(Q117,Start!$C$23:$D$29,2,FALSE)</f>
        <v>12.53</v>
      </c>
      <c r="Z117" s="298">
        <f>(Y117/U117)+Start!$D$19*(VLOOKUP(Q117,Start!$M$33:$N$39,2,FALSE)/U117)+VLOOKUP(R117,Start!$C$33:$D$40,2,FALSE)</f>
        <v>54.00936708860759</v>
      </c>
      <c r="AA117" s="234"/>
      <c r="AB117" s="278"/>
    </row>
    <row r="118" spans="2:28" ht="18.75" customHeight="1" x14ac:dyDescent="0.3">
      <c r="B118" s="229"/>
      <c r="C118" s="289" t="s">
        <v>2485</v>
      </c>
      <c r="D118" s="305" t="s">
        <v>661</v>
      </c>
      <c r="E118" s="300" t="s">
        <v>519</v>
      </c>
      <c r="F118" s="300" t="s">
        <v>655</v>
      </c>
      <c r="G118" s="302">
        <v>60627</v>
      </c>
      <c r="H118" s="300" t="s">
        <v>644</v>
      </c>
      <c r="I118" s="300" t="s">
        <v>656</v>
      </c>
      <c r="J118" s="306" t="s">
        <v>105</v>
      </c>
      <c r="K118" s="300" t="s">
        <v>473</v>
      </c>
      <c r="L118" s="304" t="s">
        <v>2007</v>
      </c>
      <c r="M118" s="300" t="s">
        <v>47</v>
      </c>
      <c r="N118" s="300" t="s">
        <v>3</v>
      </c>
      <c r="O118" s="300" t="s">
        <v>48</v>
      </c>
      <c r="P118" s="300" t="s">
        <v>3</v>
      </c>
      <c r="Q118" s="300" t="s">
        <v>3</v>
      </c>
      <c r="R118" s="300" t="s">
        <v>3</v>
      </c>
      <c r="S118" s="300" t="s">
        <v>1981</v>
      </c>
      <c r="T118" s="300" t="s">
        <v>2458</v>
      </c>
      <c r="U118" s="303">
        <v>0.39750000000000002</v>
      </c>
      <c r="V118" s="300" t="s">
        <v>2458</v>
      </c>
      <c r="W118" s="307">
        <v>61.5</v>
      </c>
      <c r="X118" s="297">
        <f>(1-VLOOKUP(R118,Start!$H$33:$I$40,2,FALSE)/100)*W118</f>
        <v>47.97</v>
      </c>
      <c r="Y118" s="297">
        <f>VLOOKUP(Q118,Start!$C$9:$D$15,2,FALSE)+VLOOKUP(Q118,Start!$C$23:$D$29,2,FALSE)</f>
        <v>12.53</v>
      </c>
      <c r="Z118" s="298">
        <f>(Y118/U118)+Start!$D$19*(VLOOKUP(Q118,Start!$M$33:$N$39,2,FALSE)/U118)+VLOOKUP(R118,Start!$C$33:$D$40,2,FALSE)</f>
        <v>53.677861635220125</v>
      </c>
      <c r="AA118" s="234"/>
      <c r="AB118" s="278"/>
    </row>
    <row r="119" spans="2:28" ht="18.75" customHeight="1" x14ac:dyDescent="0.3">
      <c r="B119" s="229"/>
      <c r="C119" s="289" t="s">
        <v>2485</v>
      </c>
      <c r="D119" s="305" t="s">
        <v>668</v>
      </c>
      <c r="E119" s="300" t="s">
        <v>128</v>
      </c>
      <c r="F119" s="300" t="s">
        <v>669</v>
      </c>
      <c r="G119" s="302">
        <v>50226</v>
      </c>
      <c r="H119" s="300" t="s">
        <v>670</v>
      </c>
      <c r="I119" s="300"/>
      <c r="J119" s="306" t="s">
        <v>19</v>
      </c>
      <c r="K119" s="300" t="s">
        <v>669</v>
      </c>
      <c r="L119" s="304" t="s">
        <v>2061</v>
      </c>
      <c r="M119" s="300" t="s">
        <v>47</v>
      </c>
      <c r="N119" s="300" t="s">
        <v>2</v>
      </c>
      <c r="O119" s="300" t="s">
        <v>605</v>
      </c>
      <c r="P119" s="300" t="s">
        <v>2</v>
      </c>
      <c r="Q119" s="300" t="s">
        <v>2</v>
      </c>
      <c r="R119" s="300" t="s">
        <v>2</v>
      </c>
      <c r="S119" s="300" t="s">
        <v>1981</v>
      </c>
      <c r="T119" s="300" t="s">
        <v>2458</v>
      </c>
      <c r="U119" s="303">
        <v>0.37119999999999997</v>
      </c>
      <c r="V119" s="300" t="s">
        <v>2458</v>
      </c>
      <c r="W119" s="307">
        <v>176</v>
      </c>
      <c r="X119" s="297">
        <f>(1-VLOOKUP(R119,Start!$H$33:$I$40,2,FALSE)/100)*W119</f>
        <v>153.12</v>
      </c>
      <c r="Y119" s="297">
        <f>VLOOKUP(Q119,Start!$C$9:$D$15,2,FALSE)+VLOOKUP(Q119,Start!$C$23:$D$29,2,FALSE)</f>
        <v>3.1</v>
      </c>
      <c r="Z119" s="298">
        <f>(Y119/U119)+Start!$D$19*(VLOOKUP(Q119,Start!$M$33:$N$39,2,FALSE)/U119)+VLOOKUP(R119,Start!$C$33:$D$40,2,FALSE)</f>
        <v>36.82500000000001</v>
      </c>
      <c r="AA119" s="234"/>
      <c r="AB119" s="278"/>
    </row>
    <row r="120" spans="2:28" ht="18.75" customHeight="1" x14ac:dyDescent="0.3">
      <c r="B120" s="229"/>
      <c r="C120" s="289" t="s">
        <v>2485</v>
      </c>
      <c r="D120" s="305" t="s">
        <v>675</v>
      </c>
      <c r="E120" s="300" t="s">
        <v>676</v>
      </c>
      <c r="F120" s="300" t="s">
        <v>677</v>
      </c>
      <c r="G120" s="302">
        <v>79108</v>
      </c>
      <c r="H120" s="300" t="s">
        <v>678</v>
      </c>
      <c r="I120" s="300"/>
      <c r="J120" s="306" t="s">
        <v>20</v>
      </c>
      <c r="K120" s="300" t="s">
        <v>679</v>
      </c>
      <c r="L120" s="304" t="s">
        <v>2173</v>
      </c>
      <c r="M120" s="300" t="s">
        <v>7</v>
      </c>
      <c r="N120" s="300"/>
      <c r="O120" s="300"/>
      <c r="P120" s="300" t="s">
        <v>7</v>
      </c>
      <c r="Q120" s="300" t="s">
        <v>7</v>
      </c>
      <c r="R120" s="300" t="s">
        <v>226</v>
      </c>
      <c r="S120" s="300" t="s">
        <v>1996</v>
      </c>
      <c r="T120" s="300" t="s">
        <v>2458</v>
      </c>
      <c r="U120" s="303">
        <v>0.53100000000000003</v>
      </c>
      <c r="V120" s="300" t="s">
        <v>2458</v>
      </c>
      <c r="W120" s="307">
        <v>40</v>
      </c>
      <c r="X120" s="297">
        <f>(1-VLOOKUP(R120,Start!$H$33:$I$40,2,FALSE)/100)*W120</f>
        <v>35.6</v>
      </c>
      <c r="Y120" s="297">
        <f>VLOOKUP(Q120,Start!$C$9:$D$15,2,FALSE)+VLOOKUP(Q120,Start!$C$23:$D$29,2,FALSE)</f>
        <v>23.27</v>
      </c>
      <c r="Z120" s="298">
        <f>(Y120/U120)+Start!$D$19*(VLOOKUP(Q120,Start!$M$33:$N$39,2,FALSE)/U120)+VLOOKUP(R120,Start!$C$33:$D$40,2,FALSE)</f>
        <v>54.63483992467043</v>
      </c>
      <c r="AA120" s="234"/>
      <c r="AB120" s="278"/>
    </row>
    <row r="121" spans="2:28" ht="18.75" customHeight="1" x14ac:dyDescent="0.3">
      <c r="B121" s="229"/>
      <c r="C121" s="289" t="s">
        <v>2485</v>
      </c>
      <c r="D121" s="305" t="s">
        <v>691</v>
      </c>
      <c r="E121" s="300" t="s">
        <v>692</v>
      </c>
      <c r="F121" s="300" t="s">
        <v>693</v>
      </c>
      <c r="G121" s="302">
        <v>36043</v>
      </c>
      <c r="H121" s="300" t="s">
        <v>687</v>
      </c>
      <c r="I121" s="300"/>
      <c r="J121" s="306" t="s">
        <v>105</v>
      </c>
      <c r="K121" s="300"/>
      <c r="L121" s="304" t="s">
        <v>2272</v>
      </c>
      <c r="M121" s="300" t="s">
        <v>48</v>
      </c>
      <c r="N121" s="300"/>
      <c r="O121" s="300"/>
      <c r="P121" s="300" t="s">
        <v>48</v>
      </c>
      <c r="Q121" s="300" t="s">
        <v>4</v>
      </c>
      <c r="R121" s="300" t="s">
        <v>4</v>
      </c>
      <c r="S121" s="300" t="s">
        <v>1981</v>
      </c>
      <c r="T121" s="300" t="s">
        <v>2458</v>
      </c>
      <c r="U121" s="303">
        <v>0.39710000000000001</v>
      </c>
      <c r="V121" s="300" t="s">
        <v>2458</v>
      </c>
      <c r="W121" s="307">
        <v>24.81</v>
      </c>
      <c r="X121" s="297">
        <f>(1-VLOOKUP(R121,Start!$H$33:$I$40,2,FALSE)/100)*W121</f>
        <v>21.0885</v>
      </c>
      <c r="Y121" s="297">
        <f>VLOOKUP(Q121,Start!$C$9:$D$15,2,FALSE)+VLOOKUP(Q121,Start!$C$23:$D$29,2,FALSE)</f>
        <v>33.223832923832894</v>
      </c>
      <c r="Z121" s="298">
        <f>(Y121/U121)+Start!$D$19*(VLOOKUP(Q121,Start!$M$33:$N$39,2,FALSE)/U121)+VLOOKUP(R121,Start!$C$33:$D$40,2,FALSE)</f>
        <v>102.01191872030445</v>
      </c>
      <c r="AA121" s="234"/>
      <c r="AB121" s="278"/>
    </row>
    <row r="122" spans="2:28" ht="18.75" customHeight="1" x14ac:dyDescent="0.3">
      <c r="B122" s="229"/>
      <c r="C122" s="289" t="s">
        <v>2485</v>
      </c>
      <c r="D122" s="305" t="s">
        <v>694</v>
      </c>
      <c r="E122" s="300" t="s">
        <v>278</v>
      </c>
      <c r="F122" s="300" t="s">
        <v>695</v>
      </c>
      <c r="G122" s="302">
        <v>45896</v>
      </c>
      <c r="H122" s="300" t="s">
        <v>696</v>
      </c>
      <c r="I122" s="300"/>
      <c r="J122" s="306" t="s">
        <v>19</v>
      </c>
      <c r="K122" s="300" t="s">
        <v>142</v>
      </c>
      <c r="L122" s="304" t="s">
        <v>1992</v>
      </c>
      <c r="M122" s="300" t="s">
        <v>3</v>
      </c>
      <c r="N122" s="300"/>
      <c r="O122" s="300"/>
      <c r="P122" s="300" t="s">
        <v>3</v>
      </c>
      <c r="Q122" s="300" t="s">
        <v>3</v>
      </c>
      <c r="R122" s="300" t="s">
        <v>3</v>
      </c>
      <c r="S122" s="300" t="s">
        <v>1981</v>
      </c>
      <c r="T122" s="300" t="s">
        <v>2458</v>
      </c>
      <c r="U122" s="303">
        <v>0.34749999999999998</v>
      </c>
      <c r="V122" s="300" t="s">
        <v>2458</v>
      </c>
      <c r="W122" s="307">
        <v>345</v>
      </c>
      <c r="X122" s="297">
        <f>(1-VLOOKUP(R122,Start!$H$33:$I$40,2,FALSE)/100)*W122</f>
        <v>269.10000000000002</v>
      </c>
      <c r="Y122" s="297">
        <f>VLOOKUP(Q122,Start!$C$9:$D$15,2,FALSE)+VLOOKUP(Q122,Start!$C$23:$D$29,2,FALSE)</f>
        <v>12.53</v>
      </c>
      <c r="Z122" s="298">
        <f>(Y122/U122)+Start!$D$19*(VLOOKUP(Q122,Start!$M$33:$N$39,2,FALSE)/U122)+VLOOKUP(R122,Start!$C$33:$D$40,2,FALSE)</f>
        <v>61.214244604316548</v>
      </c>
      <c r="AA122" s="234"/>
      <c r="AB122" s="278"/>
    </row>
    <row r="123" spans="2:28" ht="18.75" customHeight="1" x14ac:dyDescent="0.3">
      <c r="B123" s="229"/>
      <c r="C123" s="289" t="s">
        <v>2485</v>
      </c>
      <c r="D123" s="305" t="s">
        <v>697</v>
      </c>
      <c r="E123" s="300" t="s">
        <v>278</v>
      </c>
      <c r="F123" s="300" t="s">
        <v>695</v>
      </c>
      <c r="G123" s="302">
        <v>45896</v>
      </c>
      <c r="H123" s="300" t="s">
        <v>696</v>
      </c>
      <c r="I123" s="300"/>
      <c r="J123" s="306" t="s">
        <v>19</v>
      </c>
      <c r="K123" s="300" t="s">
        <v>139</v>
      </c>
      <c r="L123" s="304" t="s">
        <v>2008</v>
      </c>
      <c r="M123" s="300" t="s">
        <v>3</v>
      </c>
      <c r="N123" s="300"/>
      <c r="O123" s="300"/>
      <c r="P123" s="300" t="s">
        <v>3</v>
      </c>
      <c r="Q123" s="300" t="s">
        <v>3</v>
      </c>
      <c r="R123" s="300" t="s">
        <v>3</v>
      </c>
      <c r="S123" s="300" t="s">
        <v>1981</v>
      </c>
      <c r="T123" s="300" t="s">
        <v>2458</v>
      </c>
      <c r="U123" s="303">
        <v>0.34499999999999997</v>
      </c>
      <c r="V123" s="300" t="s">
        <v>2458</v>
      </c>
      <c r="W123" s="307">
        <v>345</v>
      </c>
      <c r="X123" s="297">
        <f>(1-VLOOKUP(R123,Start!$H$33:$I$40,2,FALSE)/100)*W123</f>
        <v>269.10000000000002</v>
      </c>
      <c r="Y123" s="297">
        <f>VLOOKUP(Q123,Start!$C$9:$D$15,2,FALSE)+VLOOKUP(Q123,Start!$C$23:$D$29,2,FALSE)</f>
        <v>12.53</v>
      </c>
      <c r="Z123" s="298">
        <f>(Y123/U123)+Start!$D$19*(VLOOKUP(Q123,Start!$M$33:$N$39,2,FALSE)/U123)+VLOOKUP(R123,Start!$C$33:$D$40,2,FALSE)</f>
        <v>61.648405797101454</v>
      </c>
      <c r="AA123" s="234"/>
      <c r="AB123" s="278"/>
    </row>
    <row r="124" spans="2:28" ht="18.75" customHeight="1" x14ac:dyDescent="0.3">
      <c r="B124" s="229"/>
      <c r="C124" s="289" t="s">
        <v>2485</v>
      </c>
      <c r="D124" s="305" t="s">
        <v>698</v>
      </c>
      <c r="E124" s="300" t="s">
        <v>278</v>
      </c>
      <c r="F124" s="300" t="s">
        <v>699</v>
      </c>
      <c r="G124" s="302">
        <v>45896</v>
      </c>
      <c r="H124" s="300" t="s">
        <v>696</v>
      </c>
      <c r="I124" s="300"/>
      <c r="J124" s="306" t="s">
        <v>19</v>
      </c>
      <c r="K124" s="300"/>
      <c r="L124" s="304" t="s">
        <v>1989</v>
      </c>
      <c r="M124" s="300" t="s">
        <v>3</v>
      </c>
      <c r="N124" s="300"/>
      <c r="O124" s="300"/>
      <c r="P124" s="300" t="s">
        <v>3</v>
      </c>
      <c r="Q124" s="300" t="s">
        <v>3</v>
      </c>
      <c r="R124" s="300" t="s">
        <v>3</v>
      </c>
      <c r="S124" s="300" t="s">
        <v>1981</v>
      </c>
      <c r="T124" s="300" t="s">
        <v>2458</v>
      </c>
      <c r="U124" s="303">
        <v>0.38750000000000001</v>
      </c>
      <c r="V124" s="300" t="s">
        <v>2458</v>
      </c>
      <c r="W124" s="307">
        <v>70</v>
      </c>
      <c r="X124" s="297">
        <f>(1-VLOOKUP(R124,Start!$H$33:$I$40,2,FALSE)/100)*W124</f>
        <v>54.6</v>
      </c>
      <c r="Y124" s="297">
        <f>VLOOKUP(Q124,Start!$C$9:$D$15,2,FALSE)+VLOOKUP(Q124,Start!$C$23:$D$29,2,FALSE)</f>
        <v>12.53</v>
      </c>
      <c r="Z124" s="298">
        <f>(Y124/U124)+Start!$D$19*(VLOOKUP(Q124,Start!$M$33:$N$39,2,FALSE)/U124)+VLOOKUP(R124,Start!$C$33:$D$40,2,FALSE)</f>
        <v>55.029548387096774</v>
      </c>
      <c r="AA124" s="234"/>
      <c r="AB124" s="278"/>
    </row>
    <row r="125" spans="2:28" ht="18.75" customHeight="1" x14ac:dyDescent="0.3">
      <c r="B125" s="229"/>
      <c r="C125" s="289" t="s">
        <v>2485</v>
      </c>
      <c r="D125" s="305" t="s">
        <v>712</v>
      </c>
      <c r="E125" s="300" t="s">
        <v>713</v>
      </c>
      <c r="F125" s="300" t="s">
        <v>714</v>
      </c>
      <c r="G125" s="302">
        <v>37075</v>
      </c>
      <c r="H125" s="300" t="s">
        <v>715</v>
      </c>
      <c r="I125" s="300" t="s">
        <v>716</v>
      </c>
      <c r="J125" s="306" t="s">
        <v>22</v>
      </c>
      <c r="K125" s="300"/>
      <c r="L125" s="304" t="s">
        <v>2177</v>
      </c>
      <c r="M125" s="300" t="s">
        <v>47</v>
      </c>
      <c r="N125" s="300" t="s">
        <v>7</v>
      </c>
      <c r="O125" s="300" t="s">
        <v>104</v>
      </c>
      <c r="P125" s="300" t="s">
        <v>7</v>
      </c>
      <c r="Q125" s="300" t="s">
        <v>7</v>
      </c>
      <c r="R125" s="300" t="s">
        <v>226</v>
      </c>
      <c r="S125" s="300" t="s">
        <v>1981</v>
      </c>
      <c r="T125" s="300" t="s">
        <v>2458</v>
      </c>
      <c r="U125" s="303">
        <v>0.38279999999999997</v>
      </c>
      <c r="V125" s="300" t="s">
        <v>2458</v>
      </c>
      <c r="W125" s="297">
        <v>18.8</v>
      </c>
      <c r="X125" s="297">
        <f>(1-VLOOKUP(R125,Start!$H$33:$I$40,2,FALSE)/100)*W125</f>
        <v>16.731999999999999</v>
      </c>
      <c r="Y125" s="297">
        <f>VLOOKUP(Q125,Start!$C$9:$D$15,2,FALSE)+VLOOKUP(Q125,Start!$C$23:$D$29,2,FALSE)</f>
        <v>23.27</v>
      </c>
      <c r="Z125" s="298">
        <f>(Y125/U125)+Start!$D$19*(VLOOKUP(Q125,Start!$M$33:$N$39,2,FALSE)/U125)+VLOOKUP(R125,Start!$C$33:$D$40,2,FALSE)</f>
        <v>75.205851619644733</v>
      </c>
      <c r="AA125" s="234"/>
      <c r="AB125" s="278"/>
    </row>
    <row r="126" spans="2:28" ht="18.75" customHeight="1" x14ac:dyDescent="0.3">
      <c r="B126" s="229"/>
      <c r="C126" s="289" t="s">
        <v>2485</v>
      </c>
      <c r="D126" s="305" t="s">
        <v>717</v>
      </c>
      <c r="E126" s="300" t="s">
        <v>718</v>
      </c>
      <c r="F126" s="300" t="s">
        <v>719</v>
      </c>
      <c r="G126" s="302">
        <v>17489</v>
      </c>
      <c r="H126" s="300" t="s">
        <v>720</v>
      </c>
      <c r="I126" s="300"/>
      <c r="J126" s="306" t="s">
        <v>66</v>
      </c>
      <c r="K126" s="300" t="s">
        <v>96</v>
      </c>
      <c r="L126" s="304" t="s">
        <v>2083</v>
      </c>
      <c r="M126" s="300" t="s">
        <v>7</v>
      </c>
      <c r="N126" s="300" t="s">
        <v>7</v>
      </c>
      <c r="O126" s="313" t="s">
        <v>115</v>
      </c>
      <c r="P126" s="300" t="s">
        <v>7</v>
      </c>
      <c r="Q126" s="300" t="s">
        <v>7</v>
      </c>
      <c r="R126" s="300" t="s">
        <v>96</v>
      </c>
      <c r="S126" s="300" t="s">
        <v>2115</v>
      </c>
      <c r="T126" s="300" t="s">
        <v>2458</v>
      </c>
      <c r="U126" s="303">
        <v>0.36959999999999998</v>
      </c>
      <c r="V126" s="300" t="s">
        <v>2458</v>
      </c>
      <c r="W126" s="307">
        <v>14.7</v>
      </c>
      <c r="X126" s="297">
        <f>(1-VLOOKUP(R126,Start!$H$33:$I$40,2,FALSE)/100)*W126</f>
        <v>13.083</v>
      </c>
      <c r="Y126" s="297">
        <f>VLOOKUP(Q126,Start!$C$9:$D$15,2,FALSE)+VLOOKUP(Q126,Start!$C$23:$D$29,2,FALSE)</f>
        <v>23.27</v>
      </c>
      <c r="Z126" s="298">
        <f>(Y126/U126)+Start!$D$19*(VLOOKUP(Q126,Start!$M$33:$N$39,2,FALSE)/U126)+VLOOKUP(R126,Start!$C$33:$D$40,2,FALSE)</f>
        <v>77.33820346320347</v>
      </c>
      <c r="AA126" s="234"/>
      <c r="AB126" s="278"/>
    </row>
    <row r="127" spans="2:28" ht="18.75" customHeight="1" x14ac:dyDescent="0.3">
      <c r="B127" s="229"/>
      <c r="C127" s="289" t="s">
        <v>2485</v>
      </c>
      <c r="D127" s="305" t="s">
        <v>721</v>
      </c>
      <c r="E127" s="300" t="s">
        <v>722</v>
      </c>
      <c r="F127" s="300" t="s">
        <v>723</v>
      </c>
      <c r="G127" s="302">
        <v>79639</v>
      </c>
      <c r="H127" s="300" t="s">
        <v>724</v>
      </c>
      <c r="I127" s="300"/>
      <c r="J127" s="306" t="s">
        <v>20</v>
      </c>
      <c r="K127" s="300"/>
      <c r="L127" s="304" t="s">
        <v>2178</v>
      </c>
      <c r="M127" s="300" t="s">
        <v>7</v>
      </c>
      <c r="N127" s="300"/>
      <c r="O127" s="300"/>
      <c r="P127" s="300" t="s">
        <v>7</v>
      </c>
      <c r="Q127" s="300" t="s">
        <v>7</v>
      </c>
      <c r="R127" s="300" t="s">
        <v>226</v>
      </c>
      <c r="S127" s="300" t="s">
        <v>1981</v>
      </c>
      <c r="T127" s="300" t="s">
        <v>2458</v>
      </c>
      <c r="U127" s="303">
        <v>0.4037</v>
      </c>
      <c r="V127" s="300" t="s">
        <v>2458</v>
      </c>
      <c r="W127" s="307">
        <v>30</v>
      </c>
      <c r="X127" s="297">
        <f>(1-VLOOKUP(R127,Start!$H$33:$I$40,2,FALSE)/100)*W127</f>
        <v>26.7</v>
      </c>
      <c r="Y127" s="297">
        <f>VLOOKUP(Q127,Start!$C$9:$D$15,2,FALSE)+VLOOKUP(Q127,Start!$C$23:$D$29,2,FALSE)</f>
        <v>23.27</v>
      </c>
      <c r="Z127" s="298">
        <f>(Y127/U127)+Start!$D$19*(VLOOKUP(Q127,Start!$M$33:$N$39,2,FALSE)/U127)+VLOOKUP(R127,Start!$C$33:$D$40,2,FALSE)</f>
        <v>71.390017339608619</v>
      </c>
      <c r="AA127" s="234"/>
      <c r="AB127" s="278"/>
    </row>
    <row r="128" spans="2:28" ht="18.75" customHeight="1" x14ac:dyDescent="0.3">
      <c r="B128" s="229"/>
      <c r="C128" s="289" t="s">
        <v>2485</v>
      </c>
      <c r="D128" s="305" t="s">
        <v>740</v>
      </c>
      <c r="E128" s="300" t="s">
        <v>229</v>
      </c>
      <c r="F128" s="300" t="s">
        <v>741</v>
      </c>
      <c r="G128" s="302">
        <v>4668</v>
      </c>
      <c r="H128" s="300" t="s">
        <v>742</v>
      </c>
      <c r="I128" s="300"/>
      <c r="J128" s="306" t="s">
        <v>78</v>
      </c>
      <c r="K128" s="300"/>
      <c r="L128" s="304" t="s">
        <v>2294</v>
      </c>
      <c r="M128" s="300" t="s">
        <v>48</v>
      </c>
      <c r="N128" s="300"/>
      <c r="O128" s="300"/>
      <c r="P128" s="300" t="s">
        <v>48</v>
      </c>
      <c r="Q128" s="300" t="s">
        <v>4</v>
      </c>
      <c r="R128" s="300" t="s">
        <v>4</v>
      </c>
      <c r="S128" s="300" t="s">
        <v>1981</v>
      </c>
      <c r="T128" s="300" t="s">
        <v>2458</v>
      </c>
      <c r="U128" s="303">
        <v>0.3795</v>
      </c>
      <c r="V128" s="300" t="s">
        <v>2458</v>
      </c>
      <c r="W128" s="307">
        <v>17</v>
      </c>
      <c r="X128" s="297">
        <f>(1-VLOOKUP(R128,Start!$H$33:$I$40,2,FALSE)/100)*W128</f>
        <v>14.45</v>
      </c>
      <c r="Y128" s="297">
        <f>VLOOKUP(Q128,Start!$C$9:$D$15,2,FALSE)+VLOOKUP(Q128,Start!$C$23:$D$29,2,FALSE)</f>
        <v>33.223832923832894</v>
      </c>
      <c r="Z128" s="298">
        <f>(Y128/U128)+Start!$D$19*(VLOOKUP(Q128,Start!$M$33:$N$39,2,FALSE)/U128)+VLOOKUP(R128,Start!$C$33:$D$40,2,FALSE)</f>
        <v>106.69652944356494</v>
      </c>
      <c r="AA128" s="234"/>
      <c r="AB128" s="278"/>
    </row>
    <row r="129" spans="2:28" ht="18.75" customHeight="1" x14ac:dyDescent="0.3">
      <c r="B129" s="229"/>
      <c r="C129" s="289" t="s">
        <v>2485</v>
      </c>
      <c r="D129" s="305" t="s">
        <v>743</v>
      </c>
      <c r="E129" s="300" t="s">
        <v>229</v>
      </c>
      <c r="F129" s="300" t="s">
        <v>744</v>
      </c>
      <c r="G129" s="302">
        <v>6242</v>
      </c>
      <c r="H129" s="300" t="s">
        <v>745</v>
      </c>
      <c r="I129" s="300"/>
      <c r="J129" s="306" t="s">
        <v>38</v>
      </c>
      <c r="K129" s="300"/>
      <c r="L129" s="304" t="s">
        <v>2295</v>
      </c>
      <c r="M129" s="300" t="s">
        <v>48</v>
      </c>
      <c r="N129" s="300"/>
      <c r="O129" s="300"/>
      <c r="P129" s="300" t="s">
        <v>48</v>
      </c>
      <c r="Q129" s="300" t="s">
        <v>4</v>
      </c>
      <c r="R129" s="300" t="s">
        <v>4</v>
      </c>
      <c r="S129" s="300" t="s">
        <v>2115</v>
      </c>
      <c r="T129" s="300" t="s">
        <v>2458</v>
      </c>
      <c r="U129" s="303">
        <v>0.3644</v>
      </c>
      <c r="V129" s="300" t="s">
        <v>2458</v>
      </c>
      <c r="W129" s="307">
        <v>120</v>
      </c>
      <c r="X129" s="297">
        <f>(1-VLOOKUP(R129,Start!$H$33:$I$40,2,FALSE)/100)*W129</f>
        <v>102</v>
      </c>
      <c r="Y129" s="297">
        <f>VLOOKUP(Q129,Start!$C$9:$D$15,2,FALSE)+VLOOKUP(Q129,Start!$C$23:$D$29,2,FALSE)</f>
        <v>33.223832923832894</v>
      </c>
      <c r="Z129" s="298">
        <f>(Y129/U129)+Start!$D$19*(VLOOKUP(Q129,Start!$M$33:$N$39,2,FALSE)/U129)+VLOOKUP(R129,Start!$C$33:$D$40,2,FALSE)</f>
        <v>111.07638014224175</v>
      </c>
      <c r="AA129" s="234"/>
      <c r="AB129" s="278"/>
    </row>
    <row r="130" spans="2:28" ht="18.75" customHeight="1" x14ac:dyDescent="0.3">
      <c r="B130" s="229"/>
      <c r="C130" s="289" t="s">
        <v>2485</v>
      </c>
      <c r="D130" s="305" t="s">
        <v>749</v>
      </c>
      <c r="E130" s="300" t="s">
        <v>278</v>
      </c>
      <c r="F130" s="300" t="s">
        <v>746</v>
      </c>
      <c r="G130" s="302">
        <v>63538</v>
      </c>
      <c r="H130" s="300" t="s">
        <v>747</v>
      </c>
      <c r="I130" s="300"/>
      <c r="J130" s="306" t="s">
        <v>105</v>
      </c>
      <c r="K130" s="300">
        <v>5</v>
      </c>
      <c r="L130" s="304" t="s">
        <v>2009</v>
      </c>
      <c r="M130" s="300" t="s">
        <v>3</v>
      </c>
      <c r="N130" s="300"/>
      <c r="O130" s="300"/>
      <c r="P130" s="300" t="s">
        <v>3</v>
      </c>
      <c r="Q130" s="301" t="s">
        <v>3</v>
      </c>
      <c r="R130" s="300" t="s">
        <v>3</v>
      </c>
      <c r="S130" s="300" t="s">
        <v>1981</v>
      </c>
      <c r="T130" s="300" t="s">
        <v>2458</v>
      </c>
      <c r="U130" s="303">
        <v>0.40500000000000003</v>
      </c>
      <c r="V130" s="300" t="s">
        <v>2458</v>
      </c>
      <c r="W130" s="307">
        <v>510</v>
      </c>
      <c r="X130" s="297">
        <f>(1-VLOOKUP(R130,Start!$H$33:$I$40,2,FALSE)/100)*W130</f>
        <v>397.8</v>
      </c>
      <c r="Y130" s="297">
        <f>VLOOKUP(Q130,Start!$C$9:$D$15,2,FALSE)+VLOOKUP(Q130,Start!$C$23:$D$29,2,FALSE)</f>
        <v>12.53</v>
      </c>
      <c r="Z130" s="298">
        <f>(Y130/U130)+Start!$D$19*(VLOOKUP(Q130,Start!$M$33:$N$39,2,FALSE)/U130)+VLOOKUP(R130,Start!$C$33:$D$40,2,FALSE)</f>
        <v>52.707901234567899</v>
      </c>
      <c r="AA130" s="234"/>
      <c r="AB130" s="278"/>
    </row>
    <row r="131" spans="2:28" ht="18.75" customHeight="1" x14ac:dyDescent="0.3">
      <c r="B131" s="229"/>
      <c r="C131" s="289" t="s">
        <v>2485</v>
      </c>
      <c r="D131" s="305" t="s">
        <v>751</v>
      </c>
      <c r="E131" s="300" t="s">
        <v>752</v>
      </c>
      <c r="F131" s="300" t="s">
        <v>753</v>
      </c>
      <c r="G131" s="302">
        <v>1983</v>
      </c>
      <c r="H131" s="300" t="s">
        <v>754</v>
      </c>
      <c r="I131" s="300"/>
      <c r="J131" s="306" t="s">
        <v>24</v>
      </c>
      <c r="K131" s="300"/>
      <c r="L131" s="304" t="s">
        <v>2345</v>
      </c>
      <c r="M131" s="300" t="s">
        <v>6</v>
      </c>
      <c r="N131" s="132" t="s">
        <v>221</v>
      </c>
      <c r="O131" s="132"/>
      <c r="P131" s="300" t="s">
        <v>6</v>
      </c>
      <c r="Q131" s="300" t="s">
        <v>6</v>
      </c>
      <c r="R131" s="300" t="s">
        <v>6</v>
      </c>
      <c r="S131" s="300" t="s">
        <v>1981</v>
      </c>
      <c r="T131" s="300" t="s">
        <v>2458</v>
      </c>
      <c r="U131" s="303">
        <v>0.33</v>
      </c>
      <c r="V131" s="300" t="s">
        <v>2458</v>
      </c>
      <c r="W131" s="307">
        <v>23.3</v>
      </c>
      <c r="X131" s="297">
        <f>(1-VLOOKUP(R131,Start!$H$33:$I$40,2,FALSE)/100)*W131</f>
        <v>19.805</v>
      </c>
      <c r="Y131" s="297">
        <f>VLOOKUP(Q131,Start!$C$9:$D$15,2,FALSE)+VLOOKUP(Q131,Start!$C$23:$D$29,2,FALSE)</f>
        <v>0</v>
      </c>
      <c r="Z131" s="298">
        <f>(Y131/U131)+Start!$D$19*(VLOOKUP(Q131,Start!$M$33:$N$39,2,FALSE)/U131)+VLOOKUP(R131,Start!$C$33:$D$40,2,FALSE)</f>
        <v>1</v>
      </c>
      <c r="AA131" s="234"/>
      <c r="AB131" s="278"/>
    </row>
    <row r="132" spans="2:28" ht="18.75" customHeight="1" x14ac:dyDescent="0.3">
      <c r="B132" s="229"/>
      <c r="C132" s="289" t="s">
        <v>2485</v>
      </c>
      <c r="D132" s="305" t="s">
        <v>755</v>
      </c>
      <c r="E132" s="300" t="s">
        <v>128</v>
      </c>
      <c r="F132" s="300" t="s">
        <v>756</v>
      </c>
      <c r="G132" s="302">
        <v>89355</v>
      </c>
      <c r="H132" s="300" t="s">
        <v>757</v>
      </c>
      <c r="I132" s="300"/>
      <c r="J132" s="306" t="s">
        <v>55</v>
      </c>
      <c r="K132" s="300" t="s">
        <v>142</v>
      </c>
      <c r="L132" s="304" t="s">
        <v>2287</v>
      </c>
      <c r="M132" s="300" t="s">
        <v>1</v>
      </c>
      <c r="N132" s="300"/>
      <c r="O132" s="300"/>
      <c r="P132" s="300" t="s">
        <v>1</v>
      </c>
      <c r="Q132" s="300" t="s">
        <v>1</v>
      </c>
      <c r="R132" s="303" t="s">
        <v>1</v>
      </c>
      <c r="S132" s="300" t="s">
        <v>1981</v>
      </c>
      <c r="T132" s="300" t="s">
        <v>2458</v>
      </c>
      <c r="U132" s="303">
        <v>0.33</v>
      </c>
      <c r="V132" s="300" t="s">
        <v>2458</v>
      </c>
      <c r="W132" s="307">
        <v>1288</v>
      </c>
      <c r="X132" s="297">
        <f>(1-VLOOKUP(R132,Start!$H$33:$I$40,2,FALSE)/100)*W132</f>
        <v>1146.32</v>
      </c>
      <c r="Y132" s="297">
        <f>VLOOKUP(Q132,Start!$C$9:$D$15,2,FALSE)+VLOOKUP(Q132,Start!$C$23:$D$29,2,FALSE)</f>
        <v>5.5</v>
      </c>
      <c r="Z132" s="298">
        <f>(Y132/U132)+Start!$D$19*(VLOOKUP(Q132,Start!$M$33:$N$39,2,FALSE)/U132)+VLOOKUP(R132,Start!$C$33:$D$40,2,FALSE)</f>
        <v>17.866666666666664</v>
      </c>
      <c r="AA132" s="234"/>
      <c r="AB132" s="278"/>
    </row>
    <row r="133" spans="2:28" ht="18.75" customHeight="1" x14ac:dyDescent="0.3">
      <c r="B133" s="229"/>
      <c r="C133" s="289" t="s">
        <v>2485</v>
      </c>
      <c r="D133" s="305" t="s">
        <v>759</v>
      </c>
      <c r="E133" s="300" t="s">
        <v>760</v>
      </c>
      <c r="F133" s="300" t="s">
        <v>761</v>
      </c>
      <c r="G133" s="302">
        <v>33334</v>
      </c>
      <c r="H133" s="300" t="s">
        <v>758</v>
      </c>
      <c r="I133" s="300" t="s">
        <v>762</v>
      </c>
      <c r="J133" s="306" t="s">
        <v>19</v>
      </c>
      <c r="K133" s="300"/>
      <c r="L133" s="304" t="s">
        <v>2179</v>
      </c>
      <c r="M133" s="300" t="s">
        <v>7</v>
      </c>
      <c r="N133" s="300"/>
      <c r="O133" s="300"/>
      <c r="P133" s="300" t="s">
        <v>7</v>
      </c>
      <c r="Q133" s="300" t="s">
        <v>7</v>
      </c>
      <c r="R133" s="300" t="s">
        <v>226</v>
      </c>
      <c r="S133" s="300" t="s">
        <v>1981</v>
      </c>
      <c r="T133" s="300" t="s">
        <v>2458</v>
      </c>
      <c r="U133" s="303">
        <v>0.37840000000000001</v>
      </c>
      <c r="V133" s="300" t="s">
        <v>2458</v>
      </c>
      <c r="W133" s="307">
        <v>25</v>
      </c>
      <c r="X133" s="297">
        <f>(1-VLOOKUP(R133,Start!$H$33:$I$40,2,FALSE)/100)*W133</f>
        <v>22.25</v>
      </c>
      <c r="Y133" s="297">
        <f>VLOOKUP(Q133,Start!$C$9:$D$15,2,FALSE)+VLOOKUP(Q133,Start!$C$23:$D$29,2,FALSE)</f>
        <v>23.27</v>
      </c>
      <c r="Z133" s="298">
        <f>(Y133/U133)+Start!$D$19*(VLOOKUP(Q133,Start!$M$33:$N$39,2,FALSE)/U133)+VLOOKUP(R133,Start!$C$33:$D$40,2,FALSE)</f>
        <v>76.062896405919659</v>
      </c>
      <c r="AA133" s="234"/>
      <c r="AB133" s="278"/>
    </row>
    <row r="134" spans="2:28" ht="18.75" customHeight="1" x14ac:dyDescent="0.3">
      <c r="B134" s="229"/>
      <c r="C134" s="289" t="s">
        <v>2485</v>
      </c>
      <c r="D134" s="305" t="s">
        <v>763</v>
      </c>
      <c r="E134" s="300" t="s">
        <v>764</v>
      </c>
      <c r="F134" s="300" t="s">
        <v>765</v>
      </c>
      <c r="G134" s="302">
        <v>6130</v>
      </c>
      <c r="H134" s="300" t="s">
        <v>766</v>
      </c>
      <c r="I134" s="300" t="s">
        <v>767</v>
      </c>
      <c r="J134" s="306" t="s">
        <v>38</v>
      </c>
      <c r="K134" s="300" t="s">
        <v>768</v>
      </c>
      <c r="L134" s="304" t="s">
        <v>2180</v>
      </c>
      <c r="M134" s="300" t="s">
        <v>7</v>
      </c>
      <c r="N134" s="300"/>
      <c r="O134" s="300"/>
      <c r="P134" s="300" t="s">
        <v>7</v>
      </c>
      <c r="Q134" s="300" t="s">
        <v>7</v>
      </c>
      <c r="R134" s="300" t="s">
        <v>226</v>
      </c>
      <c r="S134" s="300" t="s">
        <v>1981</v>
      </c>
      <c r="T134" s="300" t="s">
        <v>2458</v>
      </c>
      <c r="U134" s="303">
        <v>0.39050000000000001</v>
      </c>
      <c r="V134" s="300" t="s">
        <v>2458</v>
      </c>
      <c r="W134" s="307">
        <v>97</v>
      </c>
      <c r="X134" s="297">
        <f>(1-VLOOKUP(R134,Start!$H$33:$I$40,2,FALSE)/100)*W134</f>
        <v>86.33</v>
      </c>
      <c r="Y134" s="297">
        <f>VLOOKUP(Q134,Start!$C$9:$D$15,2,FALSE)+VLOOKUP(Q134,Start!$C$23:$D$29,2,FALSE)</f>
        <v>23.27</v>
      </c>
      <c r="Z134" s="298">
        <f>(Y134/U134)+Start!$D$19*(VLOOKUP(Q134,Start!$M$33:$N$39,2,FALSE)/U134)+VLOOKUP(R134,Start!$C$33:$D$40,2,FALSE)</f>
        <v>73.75249679897567</v>
      </c>
      <c r="AA134" s="234"/>
      <c r="AB134" s="278"/>
    </row>
    <row r="135" spans="2:28" ht="18.75" customHeight="1" x14ac:dyDescent="0.3">
      <c r="B135" s="229"/>
      <c r="C135" s="289" t="s">
        <v>2485</v>
      </c>
      <c r="D135" s="305" t="s">
        <v>769</v>
      </c>
      <c r="E135" s="300" t="s">
        <v>770</v>
      </c>
      <c r="F135" s="300" t="s">
        <v>765</v>
      </c>
      <c r="G135" s="302">
        <v>6130</v>
      </c>
      <c r="H135" s="300" t="s">
        <v>766</v>
      </c>
      <c r="I135" s="300" t="s">
        <v>771</v>
      </c>
      <c r="J135" s="306" t="s">
        <v>38</v>
      </c>
      <c r="K135" s="300" t="s">
        <v>226</v>
      </c>
      <c r="L135" s="304" t="s">
        <v>2181</v>
      </c>
      <c r="M135" s="300" t="s">
        <v>7</v>
      </c>
      <c r="N135" s="300"/>
      <c r="O135" s="300"/>
      <c r="P135" s="300" t="s">
        <v>7</v>
      </c>
      <c r="Q135" s="300" t="s">
        <v>7</v>
      </c>
      <c r="R135" s="300" t="s">
        <v>226</v>
      </c>
      <c r="S135" s="300" t="s">
        <v>1996</v>
      </c>
      <c r="T135" s="300" t="s">
        <v>2458</v>
      </c>
      <c r="U135" s="303">
        <v>0.59850000000000003</v>
      </c>
      <c r="V135" s="300" t="s">
        <v>2458</v>
      </c>
      <c r="W135" s="307">
        <v>56.14</v>
      </c>
      <c r="X135" s="297">
        <f>(1-VLOOKUP(R135,Start!$H$33:$I$40,2,FALSE)/100)*W135</f>
        <v>49.964600000000004</v>
      </c>
      <c r="Y135" s="297">
        <f>VLOOKUP(Q135,Start!$C$9:$D$15,2,FALSE)+VLOOKUP(Q135,Start!$C$23:$D$29,2,FALSE)</f>
        <v>23.27</v>
      </c>
      <c r="Z135" s="298">
        <f>(Y135/U135)+Start!$D$19*(VLOOKUP(Q135,Start!$M$33:$N$39,2,FALSE)/U135)+VLOOKUP(R135,Start!$C$33:$D$40,2,FALSE)</f>
        <v>48.642188805346699</v>
      </c>
      <c r="AA135" s="234"/>
      <c r="AB135" s="278"/>
    </row>
    <row r="136" spans="2:28" ht="18.75" customHeight="1" x14ac:dyDescent="0.3">
      <c r="B136" s="229"/>
      <c r="C136" s="289" t="s">
        <v>2485</v>
      </c>
      <c r="D136" s="305" t="s">
        <v>772</v>
      </c>
      <c r="E136" s="300" t="s">
        <v>466</v>
      </c>
      <c r="F136" s="300" t="s">
        <v>773</v>
      </c>
      <c r="G136" s="302">
        <v>47166</v>
      </c>
      <c r="H136" s="300" t="s">
        <v>774</v>
      </c>
      <c r="I136" s="300"/>
      <c r="J136" s="306" t="s">
        <v>19</v>
      </c>
      <c r="K136" s="300" t="s">
        <v>473</v>
      </c>
      <c r="L136" s="304" t="s">
        <v>2060</v>
      </c>
      <c r="M136" s="300" t="s">
        <v>419</v>
      </c>
      <c r="N136" s="300" t="s">
        <v>470</v>
      </c>
      <c r="O136" s="300"/>
      <c r="P136" s="132" t="s">
        <v>214</v>
      </c>
      <c r="Q136" s="300" t="s">
        <v>7</v>
      </c>
      <c r="R136" s="300" t="s">
        <v>226</v>
      </c>
      <c r="S136" s="300" t="s">
        <v>1981</v>
      </c>
      <c r="T136" s="300" t="s">
        <v>2458</v>
      </c>
      <c r="U136" s="303">
        <v>0.33</v>
      </c>
      <c r="V136" s="303" t="s">
        <v>2461</v>
      </c>
      <c r="W136" s="307">
        <v>59</v>
      </c>
      <c r="X136" s="297">
        <f>(1-VLOOKUP(R136,Start!$H$33:$I$40,2,FALSE)/100)*W136</f>
        <v>52.51</v>
      </c>
      <c r="Y136" s="297">
        <f>VLOOKUP(Q136,Start!$C$9:$D$15,2,FALSE)+VLOOKUP(Q136,Start!$C$23:$D$29,2,FALSE)</f>
        <v>23.27</v>
      </c>
      <c r="Z136" s="298">
        <f>(Y136/U136)+Start!$D$19*(VLOOKUP(Q136,Start!$M$33:$N$39,2,FALSE)/U136)+VLOOKUP(R136,Start!$C$33:$D$40,2,FALSE)</f>
        <v>86.99878787878788</v>
      </c>
      <c r="AA136" s="234"/>
      <c r="AB136" s="278"/>
    </row>
    <row r="137" spans="2:28" ht="18.75" customHeight="1" x14ac:dyDescent="0.3">
      <c r="B137" s="229"/>
      <c r="C137" s="289" t="s">
        <v>2485</v>
      </c>
      <c r="D137" s="305" t="s">
        <v>775</v>
      </c>
      <c r="E137" s="300" t="s">
        <v>466</v>
      </c>
      <c r="F137" s="300" t="s">
        <v>776</v>
      </c>
      <c r="G137" s="302">
        <v>47166</v>
      </c>
      <c r="H137" s="300" t="s">
        <v>774</v>
      </c>
      <c r="I137" s="300"/>
      <c r="J137" s="306" t="s">
        <v>19</v>
      </c>
      <c r="K137" s="300" t="s">
        <v>319</v>
      </c>
      <c r="L137" s="304" t="s">
        <v>2053</v>
      </c>
      <c r="M137" s="300" t="s">
        <v>419</v>
      </c>
      <c r="N137" s="300" t="s">
        <v>470</v>
      </c>
      <c r="O137" s="300"/>
      <c r="P137" s="132" t="s">
        <v>214</v>
      </c>
      <c r="Q137" s="300" t="s">
        <v>7</v>
      </c>
      <c r="R137" s="300" t="s">
        <v>226</v>
      </c>
      <c r="S137" s="300" t="s">
        <v>1981</v>
      </c>
      <c r="T137" s="300" t="s">
        <v>2458</v>
      </c>
      <c r="U137" s="303">
        <v>0.35199999999999998</v>
      </c>
      <c r="V137" s="303" t="s">
        <v>2461</v>
      </c>
      <c r="W137" s="307">
        <v>101</v>
      </c>
      <c r="X137" s="297">
        <f>(1-VLOOKUP(R137,Start!$H$33:$I$40,2,FALSE)/100)*W137</f>
        <v>89.89</v>
      </c>
      <c r="Y137" s="297">
        <f>VLOOKUP(Q137,Start!$C$9:$D$15,2,FALSE)+VLOOKUP(Q137,Start!$C$23:$D$29,2,FALSE)</f>
        <v>23.27</v>
      </c>
      <c r="Z137" s="298">
        <f>(Y137/U137)+Start!$D$19*(VLOOKUP(Q137,Start!$M$33:$N$39,2,FALSE)/U137)+VLOOKUP(R137,Start!$C$33:$D$40,2,FALSE)</f>
        <v>81.655113636363637</v>
      </c>
      <c r="AA137" s="234"/>
      <c r="AB137" s="278"/>
    </row>
    <row r="138" spans="2:28" ht="18.75" customHeight="1" x14ac:dyDescent="0.3">
      <c r="B138" s="229"/>
      <c r="C138" s="289" t="s">
        <v>2485</v>
      </c>
      <c r="D138" s="305" t="s">
        <v>777</v>
      </c>
      <c r="E138" s="300" t="s">
        <v>466</v>
      </c>
      <c r="F138" s="300" t="s">
        <v>778</v>
      </c>
      <c r="G138" s="302">
        <v>47166</v>
      </c>
      <c r="H138" s="300" t="s">
        <v>774</v>
      </c>
      <c r="I138" s="300"/>
      <c r="J138" s="306" t="s">
        <v>19</v>
      </c>
      <c r="K138" s="300" t="s">
        <v>779</v>
      </c>
      <c r="L138" s="304" t="s">
        <v>1987</v>
      </c>
      <c r="M138" s="300" t="s">
        <v>419</v>
      </c>
      <c r="N138" s="300" t="s">
        <v>470</v>
      </c>
      <c r="O138" s="300"/>
      <c r="P138" s="132" t="s">
        <v>214</v>
      </c>
      <c r="Q138" s="300" t="s">
        <v>7</v>
      </c>
      <c r="R138" s="300" t="s">
        <v>226</v>
      </c>
      <c r="S138" s="300" t="s">
        <v>1996</v>
      </c>
      <c r="T138" s="300" t="s">
        <v>2458</v>
      </c>
      <c r="U138" s="303">
        <v>0.54</v>
      </c>
      <c r="V138" s="303" t="s">
        <v>2461</v>
      </c>
      <c r="W138" s="307">
        <v>225</v>
      </c>
      <c r="X138" s="297">
        <f>(1-VLOOKUP(R138,Start!$H$33:$I$40,2,FALSE)/100)*W138</f>
        <v>200.25</v>
      </c>
      <c r="Y138" s="297">
        <f>VLOOKUP(Q138,Start!$C$9:$D$15,2,FALSE)+VLOOKUP(Q138,Start!$C$23:$D$29,2,FALSE)</f>
        <v>23.27</v>
      </c>
      <c r="Z138" s="298">
        <f>(Y138/U138)+Start!$D$19*(VLOOKUP(Q138,Start!$M$33:$N$39,2,FALSE)/U138)+VLOOKUP(R138,Start!$C$33:$D$40,2,FALSE)</f>
        <v>53.749259259259254</v>
      </c>
      <c r="AA138" s="234"/>
      <c r="AB138" s="278"/>
    </row>
    <row r="139" spans="2:28" ht="18.75" customHeight="1" x14ac:dyDescent="0.3">
      <c r="B139" s="229"/>
      <c r="C139" s="289" t="s">
        <v>2485</v>
      </c>
      <c r="D139" s="305" t="s">
        <v>780</v>
      </c>
      <c r="E139" s="300" t="s">
        <v>781</v>
      </c>
      <c r="F139" s="300" t="s">
        <v>781</v>
      </c>
      <c r="G139" s="302">
        <v>21129</v>
      </c>
      <c r="H139" s="300" t="s">
        <v>782</v>
      </c>
      <c r="I139" s="300" t="s">
        <v>783</v>
      </c>
      <c r="J139" s="306" t="s">
        <v>782</v>
      </c>
      <c r="K139" s="300"/>
      <c r="L139" s="304" t="s">
        <v>2346</v>
      </c>
      <c r="M139" s="300" t="s">
        <v>6</v>
      </c>
      <c r="N139" s="300"/>
      <c r="O139" s="300"/>
      <c r="P139" s="300" t="s">
        <v>6</v>
      </c>
      <c r="Q139" s="300" t="s">
        <v>6</v>
      </c>
      <c r="R139" s="300" t="s">
        <v>6</v>
      </c>
      <c r="S139" s="300" t="s">
        <v>1981</v>
      </c>
      <c r="T139" s="300" t="s">
        <v>2458</v>
      </c>
      <c r="U139" s="303">
        <v>0.33</v>
      </c>
      <c r="V139" s="300" t="s">
        <v>2458</v>
      </c>
      <c r="W139" s="307">
        <v>24</v>
      </c>
      <c r="X139" s="297">
        <f>(1-VLOOKUP(R139,Start!$H$33:$I$40,2,FALSE)/100)*W139</f>
        <v>20.399999999999999</v>
      </c>
      <c r="Y139" s="297">
        <f>VLOOKUP(Q139,Start!$C$9:$D$15,2,FALSE)+VLOOKUP(Q139,Start!$C$23:$D$29,2,FALSE)</f>
        <v>0</v>
      </c>
      <c r="Z139" s="298">
        <f>(Y139/U139)+Start!$D$19*(VLOOKUP(Q139,Start!$M$33:$N$39,2,FALSE)/U139)+VLOOKUP(R139,Start!$C$33:$D$40,2,FALSE)</f>
        <v>1</v>
      </c>
      <c r="AA139" s="234"/>
      <c r="AB139" s="278"/>
    </row>
    <row r="140" spans="2:28" ht="18.75" customHeight="1" x14ac:dyDescent="0.3">
      <c r="B140" s="229"/>
      <c r="C140" s="289" t="s">
        <v>2485</v>
      </c>
      <c r="D140" s="305" t="s">
        <v>784</v>
      </c>
      <c r="E140" s="300" t="s">
        <v>785</v>
      </c>
      <c r="F140" s="300" t="s">
        <v>786</v>
      </c>
      <c r="G140" s="302">
        <v>22113</v>
      </c>
      <c r="H140" s="300" t="s">
        <v>782</v>
      </c>
      <c r="I140" s="300" t="s">
        <v>787</v>
      </c>
      <c r="J140" s="306" t="s">
        <v>782</v>
      </c>
      <c r="K140" s="300" t="s">
        <v>786</v>
      </c>
      <c r="L140" s="304" t="s">
        <v>2182</v>
      </c>
      <c r="M140" s="300" t="s">
        <v>7</v>
      </c>
      <c r="N140" s="300"/>
      <c r="O140" s="300"/>
      <c r="P140" s="300" t="s">
        <v>7</v>
      </c>
      <c r="Q140" s="300" t="s">
        <v>7</v>
      </c>
      <c r="R140" s="300" t="s">
        <v>226</v>
      </c>
      <c r="S140" s="300" t="s">
        <v>1996</v>
      </c>
      <c r="T140" s="300" t="s">
        <v>2458</v>
      </c>
      <c r="U140" s="303">
        <v>0.58050000000000002</v>
      </c>
      <c r="V140" s="300" t="s">
        <v>2458</v>
      </c>
      <c r="W140" s="307">
        <v>127</v>
      </c>
      <c r="X140" s="297">
        <f>(1-VLOOKUP(R140,Start!$H$33:$I$40,2,FALSE)/100)*W140</f>
        <v>113.03</v>
      </c>
      <c r="Y140" s="297">
        <f>VLOOKUP(Q140,Start!$C$9:$D$15,2,FALSE)+VLOOKUP(Q140,Start!$C$23:$D$29,2,FALSE)</f>
        <v>23.27</v>
      </c>
      <c r="Z140" s="298">
        <f>(Y140/U140)+Start!$D$19*(VLOOKUP(Q140,Start!$M$33:$N$39,2,FALSE)/U140)+VLOOKUP(R140,Start!$C$33:$D$40,2,FALSE)</f>
        <v>50.103962101636519</v>
      </c>
      <c r="AA140" s="234"/>
      <c r="AB140" s="278"/>
    </row>
    <row r="141" spans="2:28" ht="18.75" customHeight="1" x14ac:dyDescent="0.3">
      <c r="B141" s="229"/>
      <c r="C141" s="289" t="s">
        <v>2485</v>
      </c>
      <c r="D141" s="305" t="s">
        <v>789</v>
      </c>
      <c r="E141" s="300" t="s">
        <v>790</v>
      </c>
      <c r="F141" s="300" t="s">
        <v>101</v>
      </c>
      <c r="G141" s="302">
        <v>21107</v>
      </c>
      <c r="H141" s="300" t="s">
        <v>782</v>
      </c>
      <c r="I141" s="300" t="s">
        <v>791</v>
      </c>
      <c r="J141" s="306" t="s">
        <v>782</v>
      </c>
      <c r="K141" s="306" t="s">
        <v>276</v>
      </c>
      <c r="L141" s="304" t="s">
        <v>2183</v>
      </c>
      <c r="M141" s="300" t="s">
        <v>7</v>
      </c>
      <c r="N141" s="300" t="s">
        <v>7</v>
      </c>
      <c r="O141" s="300" t="s">
        <v>82</v>
      </c>
      <c r="P141" s="300" t="s">
        <v>7</v>
      </c>
      <c r="Q141" s="300" t="s">
        <v>7</v>
      </c>
      <c r="R141" s="300" t="s">
        <v>226</v>
      </c>
      <c r="S141" s="300" t="s">
        <v>1981</v>
      </c>
      <c r="T141" s="300" t="s">
        <v>2458</v>
      </c>
      <c r="U141" s="303">
        <v>0.37730000000000002</v>
      </c>
      <c r="V141" s="300" t="s">
        <v>2458</v>
      </c>
      <c r="W141" s="307">
        <v>22.5</v>
      </c>
      <c r="X141" s="297">
        <f>(1-VLOOKUP(R141,Start!$H$33:$I$40,2,FALSE)/100)*W141</f>
        <v>20.024999999999999</v>
      </c>
      <c r="Y141" s="297">
        <f>VLOOKUP(Q141,Start!$C$9:$D$15,2,FALSE)+VLOOKUP(Q141,Start!$C$23:$D$29,2,FALSE)</f>
        <v>23.27</v>
      </c>
      <c r="Z141" s="298">
        <f>(Y141/U141)+Start!$D$19*(VLOOKUP(Q141,Start!$M$33:$N$39,2,FALSE)/U141)+VLOOKUP(R141,Start!$C$33:$D$40,2,FALSE)</f>
        <v>76.280280943546245</v>
      </c>
      <c r="AA141" s="234"/>
      <c r="AB141" s="278"/>
    </row>
    <row r="142" spans="2:28" ht="18.75" customHeight="1" x14ac:dyDescent="0.3">
      <c r="B142" s="229"/>
      <c r="C142" s="289" t="s">
        <v>2485</v>
      </c>
      <c r="D142" s="305" t="s">
        <v>797</v>
      </c>
      <c r="E142" s="300" t="s">
        <v>785</v>
      </c>
      <c r="F142" s="300" t="s">
        <v>788</v>
      </c>
      <c r="G142" s="302">
        <v>22113</v>
      </c>
      <c r="H142" s="300" t="s">
        <v>782</v>
      </c>
      <c r="I142" s="300" t="s">
        <v>787</v>
      </c>
      <c r="J142" s="306" t="s">
        <v>782</v>
      </c>
      <c r="K142" s="300" t="s">
        <v>788</v>
      </c>
      <c r="L142" s="304" t="s">
        <v>2011</v>
      </c>
      <c r="M142" s="132" t="s">
        <v>3</v>
      </c>
      <c r="N142" s="132"/>
      <c r="O142" s="132"/>
      <c r="P142" s="132" t="s">
        <v>3</v>
      </c>
      <c r="Q142" s="300" t="s">
        <v>3</v>
      </c>
      <c r="R142" s="300" t="s">
        <v>3</v>
      </c>
      <c r="S142" s="300" t="s">
        <v>1981</v>
      </c>
      <c r="T142" s="300" t="s">
        <v>2458</v>
      </c>
      <c r="U142" s="303">
        <v>0.40749999999999997</v>
      </c>
      <c r="V142" s="300" t="s">
        <v>2458</v>
      </c>
      <c r="W142" s="307">
        <v>194</v>
      </c>
      <c r="X142" s="297">
        <f>(1-VLOOKUP(R142,Start!$H$33:$I$40,2,FALSE)/100)*W142</f>
        <v>151.32</v>
      </c>
      <c r="Y142" s="297">
        <f>VLOOKUP(Q142,Start!$C$9:$D$15,2,FALSE)+VLOOKUP(Q142,Start!$C$23:$D$29,2,FALSE)</f>
        <v>12.53</v>
      </c>
      <c r="Z142" s="298">
        <f>(Y142/U142)+Start!$D$19*(VLOOKUP(Q142,Start!$M$33:$N$39,2,FALSE)/U142)+VLOOKUP(R142,Start!$C$33:$D$40,2,FALSE)</f>
        <v>52.392515337423319</v>
      </c>
      <c r="AA142" s="234"/>
      <c r="AB142" s="278"/>
    </row>
    <row r="143" spans="2:28" ht="18.75" customHeight="1" x14ac:dyDescent="0.3">
      <c r="B143" s="229"/>
      <c r="C143" s="289" t="s">
        <v>2485</v>
      </c>
      <c r="D143" s="299" t="s">
        <v>1813</v>
      </c>
      <c r="E143" s="300" t="s">
        <v>1814</v>
      </c>
      <c r="F143" s="132" t="s">
        <v>1811</v>
      </c>
      <c r="G143" s="311">
        <v>22880</v>
      </c>
      <c r="H143" s="312" t="s">
        <v>1811</v>
      </c>
      <c r="I143" s="132" t="s">
        <v>1815</v>
      </c>
      <c r="J143" s="301" t="s">
        <v>27</v>
      </c>
      <c r="K143" s="300" t="s">
        <v>1816</v>
      </c>
      <c r="L143" s="304" t="s">
        <v>2050</v>
      </c>
      <c r="M143" s="300" t="s">
        <v>3</v>
      </c>
      <c r="N143" s="132"/>
      <c r="O143" s="300"/>
      <c r="P143" s="314" t="s">
        <v>3</v>
      </c>
      <c r="Q143" s="300" t="s">
        <v>3</v>
      </c>
      <c r="R143" s="300" t="s">
        <v>3</v>
      </c>
      <c r="S143" s="300" t="s">
        <v>1981</v>
      </c>
      <c r="T143" s="300" t="s">
        <v>2458</v>
      </c>
      <c r="U143" s="303">
        <v>0.40749999999999997</v>
      </c>
      <c r="V143" s="300" t="s">
        <v>2458</v>
      </c>
      <c r="W143" s="315">
        <v>123</v>
      </c>
      <c r="X143" s="297">
        <f>(1-VLOOKUP(R143,Start!$H$33:$I$40,2,FALSE)/100)*W143</f>
        <v>95.94</v>
      </c>
      <c r="Y143" s="297">
        <f>VLOOKUP(Q143,Start!$C$9:$D$15,2,FALSE)+VLOOKUP(Q143,Start!$C$23:$D$29,2,FALSE)</f>
        <v>12.53</v>
      </c>
      <c r="Z143" s="298">
        <f>(Y143/U143)+Start!$D$19*(VLOOKUP(Q143,Start!$M$33:$N$39,2,FALSE)/U143)+VLOOKUP(R143,Start!$C$33:$D$40,2,FALSE)</f>
        <v>52.392515337423319</v>
      </c>
      <c r="AA143" s="234"/>
      <c r="AB143" s="278"/>
    </row>
    <row r="144" spans="2:28" ht="18.75" customHeight="1" x14ac:dyDescent="0.3">
      <c r="B144" s="229"/>
      <c r="C144" s="289" t="s">
        <v>2485</v>
      </c>
      <c r="D144" s="299" t="s">
        <v>1817</v>
      </c>
      <c r="E144" s="300" t="s">
        <v>1814</v>
      </c>
      <c r="F144" s="132" t="s">
        <v>1811</v>
      </c>
      <c r="G144" s="311">
        <v>22880</v>
      </c>
      <c r="H144" s="312" t="s">
        <v>1811</v>
      </c>
      <c r="I144" s="132" t="s">
        <v>1815</v>
      </c>
      <c r="J144" s="301" t="s">
        <v>27</v>
      </c>
      <c r="K144" s="300" t="s">
        <v>1818</v>
      </c>
      <c r="L144" s="304" t="s">
        <v>2051</v>
      </c>
      <c r="M144" s="300" t="s">
        <v>3</v>
      </c>
      <c r="N144" s="132"/>
      <c r="O144" s="300"/>
      <c r="P144" s="314" t="s">
        <v>3</v>
      </c>
      <c r="Q144" s="300" t="s">
        <v>3</v>
      </c>
      <c r="R144" s="300" t="s">
        <v>3</v>
      </c>
      <c r="S144" s="300" t="s">
        <v>1981</v>
      </c>
      <c r="T144" s="300" t="s">
        <v>2458</v>
      </c>
      <c r="U144" s="303">
        <v>0.40749999999999997</v>
      </c>
      <c r="V144" s="300" t="s">
        <v>2458</v>
      </c>
      <c r="W144" s="315">
        <v>137</v>
      </c>
      <c r="X144" s="297">
        <f>(1-VLOOKUP(R144,Start!$H$33:$I$40,2,FALSE)/100)*W144</f>
        <v>106.86</v>
      </c>
      <c r="Y144" s="297">
        <f>VLOOKUP(Q144,Start!$C$9:$D$15,2,FALSE)+VLOOKUP(Q144,Start!$C$23:$D$29,2,FALSE)</f>
        <v>12.53</v>
      </c>
      <c r="Z144" s="298">
        <f>(Y144/U144)+Start!$D$19*(VLOOKUP(Q144,Start!$M$33:$N$39,2,FALSE)/U144)+VLOOKUP(R144,Start!$C$33:$D$40,2,FALSE)</f>
        <v>52.392515337423319</v>
      </c>
      <c r="AA144" s="234"/>
      <c r="AB144" s="278"/>
    </row>
    <row r="145" spans="2:28" ht="18.75" customHeight="1" x14ac:dyDescent="0.3">
      <c r="B145" s="229"/>
      <c r="C145" s="289" t="s">
        <v>2485</v>
      </c>
      <c r="D145" s="305" t="s">
        <v>800</v>
      </c>
      <c r="E145" s="300" t="s">
        <v>801</v>
      </c>
      <c r="F145" s="300" t="s">
        <v>802</v>
      </c>
      <c r="G145" s="302">
        <v>31789</v>
      </c>
      <c r="H145" s="300" t="s">
        <v>803</v>
      </c>
      <c r="I145" s="300"/>
      <c r="J145" s="306" t="s">
        <v>22</v>
      </c>
      <c r="K145" s="300" t="s">
        <v>804</v>
      </c>
      <c r="L145" s="304" t="s">
        <v>2347</v>
      </c>
      <c r="M145" s="132" t="s">
        <v>6</v>
      </c>
      <c r="N145" s="132" t="s">
        <v>221</v>
      </c>
      <c r="O145" s="132"/>
      <c r="P145" s="132" t="s">
        <v>6</v>
      </c>
      <c r="Q145" s="300" t="s">
        <v>6</v>
      </c>
      <c r="R145" s="300" t="s">
        <v>6</v>
      </c>
      <c r="S145" s="300" t="s">
        <v>1981</v>
      </c>
      <c r="T145" s="300" t="s">
        <v>2458</v>
      </c>
      <c r="U145" s="303">
        <v>0.33</v>
      </c>
      <c r="V145" s="300" t="s">
        <v>2458</v>
      </c>
      <c r="W145" s="307">
        <v>13.2</v>
      </c>
      <c r="X145" s="297">
        <f>(1-VLOOKUP(R145,Start!$H$33:$I$40,2,FALSE)/100)*W145</f>
        <v>11.219999999999999</v>
      </c>
      <c r="Y145" s="297">
        <f>VLOOKUP(Q145,Start!$C$9:$D$15,2,FALSE)+VLOOKUP(Q145,Start!$C$23:$D$29,2,FALSE)</f>
        <v>0</v>
      </c>
      <c r="Z145" s="298">
        <f>(Y145/U145)+Start!$D$19*(VLOOKUP(Q145,Start!$M$33:$N$39,2,FALSE)/U145)+VLOOKUP(R145,Start!$C$33:$D$40,2,FALSE)</f>
        <v>1</v>
      </c>
      <c r="AA145" s="234"/>
      <c r="AB145" s="278"/>
    </row>
    <row r="146" spans="2:28" ht="18.75" customHeight="1" x14ac:dyDescent="0.3">
      <c r="B146" s="229"/>
      <c r="C146" s="289" t="s">
        <v>2485</v>
      </c>
      <c r="D146" s="305" t="s">
        <v>811</v>
      </c>
      <c r="E146" s="300" t="s">
        <v>812</v>
      </c>
      <c r="F146" s="300" t="s">
        <v>813</v>
      </c>
      <c r="G146" s="302">
        <v>59071</v>
      </c>
      <c r="H146" s="300" t="s">
        <v>809</v>
      </c>
      <c r="I146" s="300" t="s">
        <v>814</v>
      </c>
      <c r="J146" s="306" t="s">
        <v>19</v>
      </c>
      <c r="K146" s="300" t="s">
        <v>638</v>
      </c>
      <c r="L146" s="304" t="s">
        <v>2184</v>
      </c>
      <c r="M146" s="132" t="s">
        <v>7</v>
      </c>
      <c r="N146" s="132"/>
      <c r="O146" s="132"/>
      <c r="P146" s="132" t="s">
        <v>7</v>
      </c>
      <c r="Q146" s="300" t="s">
        <v>7</v>
      </c>
      <c r="R146" s="300" t="s">
        <v>226</v>
      </c>
      <c r="S146" s="300" t="s">
        <v>1996</v>
      </c>
      <c r="T146" s="300" t="s">
        <v>2458</v>
      </c>
      <c r="U146" s="303">
        <v>0.57599999999999996</v>
      </c>
      <c r="V146" s="300" t="s">
        <v>2458</v>
      </c>
      <c r="W146" s="307">
        <v>417.1</v>
      </c>
      <c r="X146" s="297">
        <f>(1-VLOOKUP(R146,Start!$H$33:$I$40,2,FALSE)/100)*W146</f>
        <v>371.21900000000005</v>
      </c>
      <c r="Y146" s="297">
        <f>VLOOKUP(Q146,Start!$C$9:$D$15,2,FALSE)+VLOOKUP(Q146,Start!$C$23:$D$29,2,FALSE)</f>
        <v>23.27</v>
      </c>
      <c r="Z146" s="298">
        <f>(Y146/U146)+Start!$D$19*(VLOOKUP(Q146,Start!$M$33:$N$39,2,FALSE)/U146)+VLOOKUP(R146,Start!$C$33:$D$40,2,FALSE)</f>
        <v>50.483680555555559</v>
      </c>
      <c r="AA146" s="234"/>
      <c r="AB146" s="278"/>
    </row>
    <row r="147" spans="2:28" ht="18.75" customHeight="1" x14ac:dyDescent="0.3">
      <c r="B147" s="229"/>
      <c r="C147" s="289" t="s">
        <v>2485</v>
      </c>
      <c r="D147" s="305" t="s">
        <v>815</v>
      </c>
      <c r="E147" s="300" t="s">
        <v>812</v>
      </c>
      <c r="F147" s="300" t="s">
        <v>813</v>
      </c>
      <c r="G147" s="302">
        <v>59071</v>
      </c>
      <c r="H147" s="300" t="s">
        <v>809</v>
      </c>
      <c r="I147" s="300" t="s">
        <v>814</v>
      </c>
      <c r="J147" s="306" t="s">
        <v>19</v>
      </c>
      <c r="K147" s="300" t="s">
        <v>816</v>
      </c>
      <c r="L147" s="304" t="s">
        <v>2184</v>
      </c>
      <c r="M147" s="300" t="s">
        <v>7</v>
      </c>
      <c r="N147" s="300"/>
      <c r="O147" s="300"/>
      <c r="P147" s="300" t="s">
        <v>7</v>
      </c>
      <c r="Q147" s="300" t="s">
        <v>7</v>
      </c>
      <c r="R147" s="300" t="s">
        <v>226</v>
      </c>
      <c r="S147" s="300" t="s">
        <v>1996</v>
      </c>
      <c r="T147" s="300" t="s">
        <v>2458</v>
      </c>
      <c r="U147" s="303">
        <v>0.57599999999999996</v>
      </c>
      <c r="V147" s="300" t="s">
        <v>2458</v>
      </c>
      <c r="W147" s="307">
        <v>420.9</v>
      </c>
      <c r="X147" s="297">
        <f>(1-VLOOKUP(R147,Start!$H$33:$I$40,2,FALSE)/100)*W147</f>
        <v>374.601</v>
      </c>
      <c r="Y147" s="297">
        <f>VLOOKUP(Q147,Start!$C$9:$D$15,2,FALSE)+VLOOKUP(Q147,Start!$C$23:$D$29,2,FALSE)</f>
        <v>23.27</v>
      </c>
      <c r="Z147" s="298">
        <f>(Y147/U147)+Start!$D$19*(VLOOKUP(Q147,Start!$M$33:$N$39,2,FALSE)/U147)+VLOOKUP(R147,Start!$C$33:$D$40,2,FALSE)</f>
        <v>50.483680555555559</v>
      </c>
      <c r="AA147" s="234"/>
      <c r="AB147" s="278"/>
    </row>
    <row r="148" spans="2:28" ht="18.75" customHeight="1" x14ac:dyDescent="0.3">
      <c r="B148" s="229"/>
      <c r="C148" s="289" t="s">
        <v>2485</v>
      </c>
      <c r="D148" s="305" t="s">
        <v>817</v>
      </c>
      <c r="E148" s="300" t="s">
        <v>160</v>
      </c>
      <c r="F148" s="300" t="s">
        <v>818</v>
      </c>
      <c r="G148" s="302">
        <v>59071</v>
      </c>
      <c r="H148" s="300" t="s">
        <v>819</v>
      </c>
      <c r="I148" s="300"/>
      <c r="J148" s="306" t="s">
        <v>19</v>
      </c>
      <c r="K148" s="300" t="s">
        <v>143</v>
      </c>
      <c r="L148" s="304" t="s">
        <v>2013</v>
      </c>
      <c r="M148" s="300" t="s">
        <v>3</v>
      </c>
      <c r="N148" s="300"/>
      <c r="O148" s="300"/>
      <c r="P148" s="300" t="s">
        <v>3</v>
      </c>
      <c r="Q148" s="300" t="s">
        <v>3</v>
      </c>
      <c r="R148" s="300" t="s">
        <v>3</v>
      </c>
      <c r="S148" s="300" t="s">
        <v>1981</v>
      </c>
      <c r="T148" s="300" t="s">
        <v>2458</v>
      </c>
      <c r="U148" s="303">
        <v>0.46</v>
      </c>
      <c r="V148" s="300" t="s">
        <v>2458</v>
      </c>
      <c r="W148" s="307">
        <v>763.7</v>
      </c>
      <c r="X148" s="297">
        <f>(1-VLOOKUP(R148,Start!$H$33:$I$40,2,FALSE)/100)*W148</f>
        <v>595.68600000000004</v>
      </c>
      <c r="Y148" s="297">
        <f>VLOOKUP(Q148,Start!$C$9:$D$15,2,FALSE)+VLOOKUP(Q148,Start!$C$23:$D$29,2,FALSE)</f>
        <v>12.53</v>
      </c>
      <c r="Z148" s="298">
        <f>(Y148/U148)+Start!$D$19*(VLOOKUP(Q148,Start!$M$33:$N$39,2,FALSE)/U148)+VLOOKUP(R148,Start!$C$33:$D$40,2,FALSE)</f>
        <v>46.561304347826081</v>
      </c>
      <c r="AA148" s="234"/>
      <c r="AB148" s="278"/>
    </row>
    <row r="149" spans="2:28" ht="18.75" customHeight="1" x14ac:dyDescent="0.3">
      <c r="B149" s="229"/>
      <c r="C149" s="289" t="s">
        <v>2485</v>
      </c>
      <c r="D149" s="305" t="s">
        <v>820</v>
      </c>
      <c r="E149" s="300" t="s">
        <v>821</v>
      </c>
      <c r="F149" s="300" t="s">
        <v>821</v>
      </c>
      <c r="G149" s="302">
        <v>30659</v>
      </c>
      <c r="H149" s="300" t="s">
        <v>822</v>
      </c>
      <c r="I149" s="300"/>
      <c r="J149" s="306" t="s">
        <v>22</v>
      </c>
      <c r="K149" s="132" t="s">
        <v>822</v>
      </c>
      <c r="L149" s="304" t="s">
        <v>2253</v>
      </c>
      <c r="M149" s="300" t="s">
        <v>6</v>
      </c>
      <c r="N149" s="132" t="s">
        <v>601</v>
      </c>
      <c r="O149" s="132"/>
      <c r="P149" s="300" t="s">
        <v>6</v>
      </c>
      <c r="Q149" s="300" t="s">
        <v>6</v>
      </c>
      <c r="R149" s="300" t="s">
        <v>6</v>
      </c>
      <c r="S149" s="300" t="s">
        <v>1981</v>
      </c>
      <c r="T149" s="300" t="s">
        <v>2458</v>
      </c>
      <c r="U149" s="303">
        <v>0.33</v>
      </c>
      <c r="V149" s="300" t="s">
        <v>2458</v>
      </c>
      <c r="W149" s="307">
        <v>22.5</v>
      </c>
      <c r="X149" s="297">
        <f>(1-VLOOKUP(R149,Start!$H$33:$I$40,2,FALSE)/100)*W149</f>
        <v>19.125</v>
      </c>
      <c r="Y149" s="297">
        <f>VLOOKUP(Q149,Start!$C$9:$D$15,2,FALSE)+VLOOKUP(Q149,Start!$C$23:$D$29,2,FALSE)</f>
        <v>0</v>
      </c>
      <c r="Z149" s="298">
        <f>(Y149/U149)+Start!$D$19*(VLOOKUP(Q149,Start!$M$33:$N$39,2,FALSE)/U149)+VLOOKUP(R149,Start!$C$33:$D$40,2,FALSE)</f>
        <v>1</v>
      </c>
      <c r="AA149" s="234"/>
      <c r="AB149" s="278"/>
    </row>
    <row r="150" spans="2:28" ht="18.75" customHeight="1" x14ac:dyDescent="0.3">
      <c r="B150" s="229"/>
      <c r="C150" s="289" t="s">
        <v>2485</v>
      </c>
      <c r="D150" s="305" t="s">
        <v>823</v>
      </c>
      <c r="E150" s="300" t="s">
        <v>824</v>
      </c>
      <c r="F150" s="300" t="s">
        <v>825</v>
      </c>
      <c r="G150" s="302">
        <v>30169</v>
      </c>
      <c r="H150" s="300" t="s">
        <v>822</v>
      </c>
      <c r="I150" s="300"/>
      <c r="J150" s="306" t="s">
        <v>22</v>
      </c>
      <c r="K150" s="300" t="s">
        <v>825</v>
      </c>
      <c r="L150" s="304" t="s">
        <v>2185</v>
      </c>
      <c r="M150" s="300" t="s">
        <v>7</v>
      </c>
      <c r="N150" s="300"/>
      <c r="O150" s="300"/>
      <c r="P150" s="300" t="s">
        <v>7</v>
      </c>
      <c r="Q150" s="300" t="s">
        <v>7</v>
      </c>
      <c r="R150" s="300" t="s">
        <v>226</v>
      </c>
      <c r="S150" s="300" t="s">
        <v>1996</v>
      </c>
      <c r="T150" s="300" t="s">
        <v>2458</v>
      </c>
      <c r="U150" s="303">
        <v>0.59850000000000003</v>
      </c>
      <c r="V150" s="300" t="s">
        <v>2458</v>
      </c>
      <c r="W150" s="307">
        <v>230</v>
      </c>
      <c r="X150" s="297">
        <f>(1-VLOOKUP(R150,Start!$H$33:$I$40,2,FALSE)/100)*W150</f>
        <v>204.70000000000002</v>
      </c>
      <c r="Y150" s="297">
        <f>VLOOKUP(Q150,Start!$C$9:$D$15,2,FALSE)+VLOOKUP(Q150,Start!$C$23:$D$29,2,FALSE)</f>
        <v>23.27</v>
      </c>
      <c r="Z150" s="298">
        <f>(Y150/U150)+Start!$D$19*(VLOOKUP(Q150,Start!$M$33:$N$39,2,FALSE)/U150)+VLOOKUP(R150,Start!$C$33:$D$40,2,FALSE)</f>
        <v>48.642188805346699</v>
      </c>
      <c r="AA150" s="234"/>
      <c r="AB150" s="278"/>
    </row>
    <row r="151" spans="2:28" ht="18.75" customHeight="1" x14ac:dyDescent="0.3">
      <c r="B151" s="229"/>
      <c r="C151" s="289" t="s">
        <v>2485</v>
      </c>
      <c r="D151" s="305" t="s">
        <v>829</v>
      </c>
      <c r="E151" s="300" t="s">
        <v>824</v>
      </c>
      <c r="F151" s="300" t="s">
        <v>830</v>
      </c>
      <c r="G151" s="302">
        <v>30419</v>
      </c>
      <c r="H151" s="300" t="s">
        <v>822</v>
      </c>
      <c r="I151" s="300"/>
      <c r="J151" s="306" t="s">
        <v>22</v>
      </c>
      <c r="K151" s="300" t="s">
        <v>831</v>
      </c>
      <c r="L151" s="304" t="s">
        <v>2014</v>
      </c>
      <c r="M151" s="300" t="s">
        <v>3</v>
      </c>
      <c r="N151" s="300"/>
      <c r="O151" s="300"/>
      <c r="P151" s="300" t="s">
        <v>3</v>
      </c>
      <c r="Q151" s="300" t="s">
        <v>3</v>
      </c>
      <c r="R151" s="300" t="s">
        <v>3</v>
      </c>
      <c r="S151" s="300" t="s">
        <v>1981</v>
      </c>
      <c r="T151" s="300" t="s">
        <v>2458</v>
      </c>
      <c r="U151" s="303">
        <v>0.39750000000000002</v>
      </c>
      <c r="V151" s="300" t="s">
        <v>2458</v>
      </c>
      <c r="W151" s="307">
        <v>136</v>
      </c>
      <c r="X151" s="297">
        <f>(1-VLOOKUP(R151,Start!$H$33:$I$40,2,FALSE)/100)*W151</f>
        <v>106.08</v>
      </c>
      <c r="Y151" s="297">
        <f>VLOOKUP(Q151,Start!$C$9:$D$15,2,FALSE)+VLOOKUP(Q151,Start!$C$23:$D$29,2,FALSE)</f>
        <v>12.53</v>
      </c>
      <c r="Z151" s="298">
        <f>(Y151/U151)+Start!$D$19*(VLOOKUP(Q151,Start!$M$33:$N$39,2,FALSE)/U151)+VLOOKUP(R151,Start!$C$33:$D$40,2,FALSE)</f>
        <v>53.677861635220125</v>
      </c>
      <c r="AA151" s="234"/>
      <c r="AB151" s="278"/>
    </row>
    <row r="152" spans="2:28" ht="18.75" customHeight="1" x14ac:dyDescent="0.3">
      <c r="B152" s="229"/>
      <c r="C152" s="289" t="s">
        <v>2485</v>
      </c>
      <c r="D152" s="305" t="s">
        <v>832</v>
      </c>
      <c r="E152" s="300" t="s">
        <v>824</v>
      </c>
      <c r="F152" s="300" t="s">
        <v>830</v>
      </c>
      <c r="G152" s="302">
        <v>30419</v>
      </c>
      <c r="H152" s="300" t="s">
        <v>822</v>
      </c>
      <c r="I152" s="300"/>
      <c r="J152" s="306" t="s">
        <v>22</v>
      </c>
      <c r="K152" s="300" t="s">
        <v>833</v>
      </c>
      <c r="L152" s="304" t="s">
        <v>2015</v>
      </c>
      <c r="M152" s="300" t="s">
        <v>3</v>
      </c>
      <c r="N152" s="300"/>
      <c r="O152" s="300"/>
      <c r="P152" s="300" t="s">
        <v>3</v>
      </c>
      <c r="Q152" s="300" t="s">
        <v>3</v>
      </c>
      <c r="R152" s="300" t="s">
        <v>3</v>
      </c>
      <c r="S152" s="300" t="s">
        <v>1981</v>
      </c>
      <c r="T152" s="300" t="s">
        <v>2458</v>
      </c>
      <c r="U152" s="303">
        <v>0.39750000000000002</v>
      </c>
      <c r="V152" s="300" t="s">
        <v>2458</v>
      </c>
      <c r="W152" s="307">
        <v>136</v>
      </c>
      <c r="X152" s="297">
        <f>(1-VLOOKUP(R152,Start!$H$33:$I$40,2,FALSE)/100)*W152</f>
        <v>106.08</v>
      </c>
      <c r="Y152" s="297">
        <f>VLOOKUP(Q152,Start!$C$9:$D$15,2,FALSE)+VLOOKUP(Q152,Start!$C$23:$D$29,2,FALSE)</f>
        <v>12.53</v>
      </c>
      <c r="Z152" s="298">
        <f>(Y152/U152)+Start!$D$19*(VLOOKUP(Q152,Start!$M$33:$N$39,2,FALSE)/U152)+VLOOKUP(R152,Start!$C$33:$D$40,2,FALSE)</f>
        <v>53.677861635220125</v>
      </c>
      <c r="AA152" s="234"/>
      <c r="AB152" s="278"/>
    </row>
    <row r="153" spans="2:28" ht="18.75" customHeight="1" x14ac:dyDescent="0.3">
      <c r="B153" s="229"/>
      <c r="C153" s="289" t="s">
        <v>2485</v>
      </c>
      <c r="D153" s="305" t="s">
        <v>834</v>
      </c>
      <c r="E153" s="300" t="s">
        <v>835</v>
      </c>
      <c r="F153" s="300" t="s">
        <v>836</v>
      </c>
      <c r="G153" s="302">
        <v>83734</v>
      </c>
      <c r="H153" s="300" t="s">
        <v>837</v>
      </c>
      <c r="I153" s="300"/>
      <c r="J153" s="306" t="s">
        <v>55</v>
      </c>
      <c r="K153" s="300" t="s">
        <v>838</v>
      </c>
      <c r="L153" s="304" t="s">
        <v>2030</v>
      </c>
      <c r="M153" s="132" t="s">
        <v>48</v>
      </c>
      <c r="N153" s="132"/>
      <c r="O153" s="132"/>
      <c r="P153" s="132" t="s">
        <v>48</v>
      </c>
      <c r="Q153" s="300" t="s">
        <v>4</v>
      </c>
      <c r="R153" s="300" t="s">
        <v>4</v>
      </c>
      <c r="S153" s="300" t="s">
        <v>2115</v>
      </c>
      <c r="T153" s="300" t="s">
        <v>2458</v>
      </c>
      <c r="U153" s="303">
        <v>0.3332</v>
      </c>
      <c r="V153" s="300" t="s">
        <v>2458</v>
      </c>
      <c r="W153" s="307">
        <v>23.2</v>
      </c>
      <c r="X153" s="297">
        <f>(1-VLOOKUP(R153,Start!$H$33:$I$40,2,FALSE)/100)*W153</f>
        <v>19.72</v>
      </c>
      <c r="Y153" s="297">
        <f>VLOOKUP(Q153,Start!$C$9:$D$15,2,FALSE)+VLOOKUP(Q153,Start!$C$23:$D$29,2,FALSE)</f>
        <v>33.223832923832894</v>
      </c>
      <c r="Z153" s="298">
        <f>(Y153/U153)+Start!$D$19*(VLOOKUP(Q153,Start!$M$33:$N$39,2,FALSE)/U153)+VLOOKUP(R153,Start!$C$33:$D$40,2,FALSE)</f>
        <v>121.38365223239165</v>
      </c>
      <c r="AA153" s="234"/>
      <c r="AB153" s="278"/>
    </row>
    <row r="154" spans="2:28" ht="18.75" customHeight="1" x14ac:dyDescent="0.3">
      <c r="B154" s="229"/>
      <c r="C154" s="289" t="s">
        <v>2485</v>
      </c>
      <c r="D154" s="305" t="s">
        <v>839</v>
      </c>
      <c r="E154" s="300" t="s">
        <v>835</v>
      </c>
      <c r="F154" s="300" t="s">
        <v>836</v>
      </c>
      <c r="G154" s="302">
        <v>83734</v>
      </c>
      <c r="H154" s="300" t="s">
        <v>837</v>
      </c>
      <c r="I154" s="300"/>
      <c r="J154" s="306" t="s">
        <v>55</v>
      </c>
      <c r="K154" s="300" t="s">
        <v>840</v>
      </c>
      <c r="L154" s="304" t="s">
        <v>2030</v>
      </c>
      <c r="M154" s="300" t="s">
        <v>48</v>
      </c>
      <c r="N154" s="300"/>
      <c r="O154" s="300"/>
      <c r="P154" s="300" t="s">
        <v>48</v>
      </c>
      <c r="Q154" s="300" t="s">
        <v>4</v>
      </c>
      <c r="R154" s="300" t="s">
        <v>4</v>
      </c>
      <c r="S154" s="300" t="s">
        <v>2115</v>
      </c>
      <c r="T154" s="300" t="s">
        <v>2458</v>
      </c>
      <c r="U154" s="303">
        <v>0.3332</v>
      </c>
      <c r="V154" s="300" t="s">
        <v>2458</v>
      </c>
      <c r="W154" s="307">
        <v>23.2</v>
      </c>
      <c r="X154" s="297">
        <f>(1-VLOOKUP(R154,Start!$H$33:$I$40,2,FALSE)/100)*W154</f>
        <v>19.72</v>
      </c>
      <c r="Y154" s="297">
        <f>VLOOKUP(Q154,Start!$C$9:$D$15,2,FALSE)+VLOOKUP(Q154,Start!$C$23:$D$29,2,FALSE)</f>
        <v>33.223832923832894</v>
      </c>
      <c r="Z154" s="298">
        <f>(Y154/U154)+Start!$D$19*(VLOOKUP(Q154,Start!$M$33:$N$39,2,FALSE)/U154)+VLOOKUP(R154,Start!$C$33:$D$40,2,FALSE)</f>
        <v>121.38365223239165</v>
      </c>
      <c r="AA154" s="234"/>
      <c r="AB154" s="278"/>
    </row>
    <row r="155" spans="2:28" ht="18.75" customHeight="1" x14ac:dyDescent="0.3">
      <c r="B155" s="229"/>
      <c r="C155" s="289" t="s">
        <v>2485</v>
      </c>
      <c r="D155" s="305" t="s">
        <v>841</v>
      </c>
      <c r="E155" s="300" t="s">
        <v>835</v>
      </c>
      <c r="F155" s="300" t="s">
        <v>836</v>
      </c>
      <c r="G155" s="302">
        <v>83734</v>
      </c>
      <c r="H155" s="300" t="s">
        <v>837</v>
      </c>
      <c r="I155" s="300"/>
      <c r="J155" s="306" t="s">
        <v>55</v>
      </c>
      <c r="K155" s="300" t="s">
        <v>316</v>
      </c>
      <c r="L155" s="304" t="s">
        <v>2030</v>
      </c>
      <c r="M155" s="300" t="s">
        <v>48</v>
      </c>
      <c r="N155" s="300"/>
      <c r="O155" s="300"/>
      <c r="P155" s="300" t="s">
        <v>48</v>
      </c>
      <c r="Q155" s="300" t="s">
        <v>4</v>
      </c>
      <c r="R155" s="300" t="s">
        <v>4</v>
      </c>
      <c r="S155" s="300" t="s">
        <v>2115</v>
      </c>
      <c r="T155" s="300" t="s">
        <v>2458</v>
      </c>
      <c r="U155" s="303">
        <v>0.3332</v>
      </c>
      <c r="V155" s="300" t="s">
        <v>2458</v>
      </c>
      <c r="W155" s="307">
        <v>23.2</v>
      </c>
      <c r="X155" s="297">
        <f>(1-VLOOKUP(R155,Start!$H$33:$I$40,2,FALSE)/100)*W155</f>
        <v>19.72</v>
      </c>
      <c r="Y155" s="297">
        <f>VLOOKUP(Q155,Start!$C$9:$D$15,2,FALSE)+VLOOKUP(Q155,Start!$C$23:$D$29,2,FALSE)</f>
        <v>33.223832923832894</v>
      </c>
      <c r="Z155" s="298">
        <f>(Y155/U155)+Start!$D$19*(VLOOKUP(Q155,Start!$M$33:$N$39,2,FALSE)/U155)+VLOOKUP(R155,Start!$C$33:$D$40,2,FALSE)</f>
        <v>121.38365223239165</v>
      </c>
      <c r="AA155" s="234"/>
      <c r="AB155" s="278"/>
    </row>
    <row r="156" spans="2:28" ht="18.75" customHeight="1" x14ac:dyDescent="0.3">
      <c r="B156" s="229"/>
      <c r="C156" s="289" t="s">
        <v>2485</v>
      </c>
      <c r="D156" s="305" t="s">
        <v>842</v>
      </c>
      <c r="E156" s="300" t="s">
        <v>835</v>
      </c>
      <c r="F156" s="300" t="s">
        <v>836</v>
      </c>
      <c r="G156" s="302">
        <v>83734</v>
      </c>
      <c r="H156" s="300" t="s">
        <v>837</v>
      </c>
      <c r="I156" s="300"/>
      <c r="J156" s="306" t="s">
        <v>55</v>
      </c>
      <c r="K156" s="300" t="s">
        <v>843</v>
      </c>
      <c r="L156" s="304" t="s">
        <v>2030</v>
      </c>
      <c r="M156" s="300" t="s">
        <v>48</v>
      </c>
      <c r="N156" s="300"/>
      <c r="O156" s="300"/>
      <c r="P156" s="300" t="s">
        <v>48</v>
      </c>
      <c r="Q156" s="300" t="s">
        <v>4</v>
      </c>
      <c r="R156" s="300" t="s">
        <v>4</v>
      </c>
      <c r="S156" s="300" t="s">
        <v>2115</v>
      </c>
      <c r="T156" s="300" t="s">
        <v>2458</v>
      </c>
      <c r="U156" s="303">
        <v>0.3332</v>
      </c>
      <c r="V156" s="300" t="s">
        <v>2458</v>
      </c>
      <c r="W156" s="307">
        <v>23.2</v>
      </c>
      <c r="X156" s="297">
        <f>(1-VLOOKUP(R156,Start!$H$33:$I$40,2,FALSE)/100)*W156</f>
        <v>19.72</v>
      </c>
      <c r="Y156" s="297">
        <f>VLOOKUP(Q156,Start!$C$9:$D$15,2,FALSE)+VLOOKUP(Q156,Start!$C$23:$D$29,2,FALSE)</f>
        <v>33.223832923832894</v>
      </c>
      <c r="Z156" s="298">
        <f>(Y156/U156)+Start!$D$19*(VLOOKUP(Q156,Start!$M$33:$N$39,2,FALSE)/U156)+VLOOKUP(R156,Start!$C$33:$D$40,2,FALSE)</f>
        <v>121.38365223239165</v>
      </c>
      <c r="AA156" s="234"/>
      <c r="AB156" s="278"/>
    </row>
    <row r="157" spans="2:28" ht="18.75" customHeight="1" x14ac:dyDescent="0.3">
      <c r="B157" s="229"/>
      <c r="C157" s="289" t="s">
        <v>2485</v>
      </c>
      <c r="D157" s="305" t="s">
        <v>856</v>
      </c>
      <c r="E157" s="300" t="s">
        <v>40</v>
      </c>
      <c r="F157" s="300" t="s">
        <v>853</v>
      </c>
      <c r="G157" s="302">
        <v>74076</v>
      </c>
      <c r="H157" s="300" t="s">
        <v>854</v>
      </c>
      <c r="I157" s="300" t="s">
        <v>855</v>
      </c>
      <c r="J157" s="306" t="s">
        <v>20</v>
      </c>
      <c r="K157" s="300" t="s">
        <v>857</v>
      </c>
      <c r="L157" s="304" t="s">
        <v>2016</v>
      </c>
      <c r="M157" s="300" t="s">
        <v>3</v>
      </c>
      <c r="N157" s="300"/>
      <c r="O157" s="300"/>
      <c r="P157" s="300" t="s">
        <v>3</v>
      </c>
      <c r="Q157" s="300" t="s">
        <v>3</v>
      </c>
      <c r="R157" s="300" t="s">
        <v>3</v>
      </c>
      <c r="S157" s="300" t="s">
        <v>1981</v>
      </c>
      <c r="T157" s="300" t="s">
        <v>2458</v>
      </c>
      <c r="U157" s="303">
        <v>0.44750000000000001</v>
      </c>
      <c r="V157" s="300" t="s">
        <v>2458</v>
      </c>
      <c r="W157" s="307">
        <v>778</v>
      </c>
      <c r="X157" s="297">
        <f>(1-VLOOKUP(R157,Start!$H$33:$I$40,2,FALSE)/100)*W157</f>
        <v>606.84</v>
      </c>
      <c r="Y157" s="297">
        <f>VLOOKUP(Q157,Start!$C$9:$D$15,2,FALSE)+VLOOKUP(Q157,Start!$C$23:$D$29,2,FALSE)</f>
        <v>12.53</v>
      </c>
      <c r="Z157" s="298">
        <f>(Y157/U157)+Start!$D$19*(VLOOKUP(Q157,Start!$M$33:$N$39,2,FALSE)/U157)+VLOOKUP(R157,Start!$C$33:$D$40,2,FALSE)</f>
        <v>47.825586592178766</v>
      </c>
      <c r="AA157" s="234"/>
      <c r="AB157" s="278"/>
    </row>
    <row r="158" spans="2:28" ht="18.75" customHeight="1" x14ac:dyDescent="0.3">
      <c r="B158" s="229"/>
      <c r="C158" s="289" t="s">
        <v>2485</v>
      </c>
      <c r="D158" s="305" t="s">
        <v>858</v>
      </c>
      <c r="E158" s="300" t="s">
        <v>859</v>
      </c>
      <c r="F158" s="300" t="s">
        <v>860</v>
      </c>
      <c r="G158" s="302">
        <v>38350</v>
      </c>
      <c r="H158" s="300" t="s">
        <v>861</v>
      </c>
      <c r="I158" s="300"/>
      <c r="J158" s="306" t="s">
        <v>22</v>
      </c>
      <c r="K158" s="300" t="s">
        <v>862</v>
      </c>
      <c r="L158" s="304" t="s">
        <v>2349</v>
      </c>
      <c r="M158" s="300" t="s">
        <v>6</v>
      </c>
      <c r="N158" s="132" t="s">
        <v>601</v>
      </c>
      <c r="O158" s="300"/>
      <c r="P158" s="300" t="s">
        <v>6</v>
      </c>
      <c r="Q158" s="300" t="s">
        <v>6</v>
      </c>
      <c r="R158" s="300" t="s">
        <v>6</v>
      </c>
      <c r="S158" s="300" t="s">
        <v>1981</v>
      </c>
      <c r="T158" s="300" t="s">
        <v>2458</v>
      </c>
      <c r="U158" s="303">
        <v>0.33</v>
      </c>
      <c r="V158" s="300" t="s">
        <v>2458</v>
      </c>
      <c r="W158" s="307">
        <v>37.5</v>
      </c>
      <c r="X158" s="297">
        <f>(1-VLOOKUP(R158,Start!$H$33:$I$40,2,FALSE)/100)*W158</f>
        <v>31.875</v>
      </c>
      <c r="Y158" s="297">
        <f>VLOOKUP(Q158,Start!$C$9:$D$15,2,FALSE)+VLOOKUP(Q158,Start!$C$23:$D$29,2,FALSE)</f>
        <v>0</v>
      </c>
      <c r="Z158" s="298">
        <f>(Y158/U158)+Start!$D$19*(VLOOKUP(Q158,Start!$M$33:$N$39,2,FALSE)/U158)+VLOOKUP(R158,Start!$C$33:$D$40,2,FALSE)</f>
        <v>1</v>
      </c>
      <c r="AA158" s="234"/>
      <c r="AB158" s="278"/>
    </row>
    <row r="159" spans="2:28" ht="18.75" customHeight="1" x14ac:dyDescent="0.3">
      <c r="B159" s="229"/>
      <c r="C159" s="289" t="s">
        <v>2485</v>
      </c>
      <c r="D159" s="305" t="s">
        <v>869</v>
      </c>
      <c r="E159" s="300" t="s">
        <v>870</v>
      </c>
      <c r="F159" s="300" t="s">
        <v>871</v>
      </c>
      <c r="G159" s="302">
        <v>58313</v>
      </c>
      <c r="H159" s="300" t="s">
        <v>872</v>
      </c>
      <c r="I159" s="300"/>
      <c r="J159" s="306" t="s">
        <v>19</v>
      </c>
      <c r="K159" s="300" t="s">
        <v>873</v>
      </c>
      <c r="L159" s="304" t="s">
        <v>2188</v>
      </c>
      <c r="M159" s="300" t="s">
        <v>7</v>
      </c>
      <c r="N159" s="300"/>
      <c r="O159" s="300"/>
      <c r="P159" s="300" t="s">
        <v>7</v>
      </c>
      <c r="Q159" s="300" t="s">
        <v>7</v>
      </c>
      <c r="R159" s="300" t="s">
        <v>226</v>
      </c>
      <c r="S159" s="300" t="s">
        <v>1996</v>
      </c>
      <c r="T159" s="300" t="s">
        <v>2458</v>
      </c>
      <c r="U159" s="303">
        <v>0.57150000000000001</v>
      </c>
      <c r="V159" s="300" t="s">
        <v>2458</v>
      </c>
      <c r="W159" s="307">
        <v>417</v>
      </c>
      <c r="X159" s="297">
        <f>(1-VLOOKUP(R159,Start!$H$33:$I$40,2,FALSE)/100)*W159</f>
        <v>371.13</v>
      </c>
      <c r="Y159" s="297">
        <f>VLOOKUP(Q159,Start!$C$9:$D$15,2,FALSE)+VLOOKUP(Q159,Start!$C$23:$D$29,2,FALSE)</f>
        <v>23.27</v>
      </c>
      <c r="Z159" s="298">
        <f>(Y159/U159)+Start!$D$19*(VLOOKUP(Q159,Start!$M$33:$N$39,2,FALSE)/U159)+VLOOKUP(R159,Start!$C$33:$D$40,2,FALSE)</f>
        <v>50.869378827646543</v>
      </c>
      <c r="AA159" s="234"/>
      <c r="AB159" s="278"/>
    </row>
    <row r="160" spans="2:28" ht="18.75" customHeight="1" x14ac:dyDescent="0.3">
      <c r="B160" s="229"/>
      <c r="C160" s="289" t="s">
        <v>2485</v>
      </c>
      <c r="D160" s="305" t="s">
        <v>874</v>
      </c>
      <c r="E160" s="300" t="s">
        <v>875</v>
      </c>
      <c r="F160" s="300" t="s">
        <v>876</v>
      </c>
      <c r="G160" s="302">
        <v>36266</v>
      </c>
      <c r="H160" s="300" t="s">
        <v>877</v>
      </c>
      <c r="I160" s="300"/>
      <c r="J160" s="306" t="s">
        <v>105</v>
      </c>
      <c r="K160" s="300" t="s">
        <v>876</v>
      </c>
      <c r="L160" s="304" t="s">
        <v>2189</v>
      </c>
      <c r="M160" s="300" t="s">
        <v>7</v>
      </c>
      <c r="N160" s="300" t="s">
        <v>7</v>
      </c>
      <c r="O160" s="300" t="s">
        <v>878</v>
      </c>
      <c r="P160" s="300" t="s">
        <v>7</v>
      </c>
      <c r="Q160" s="300" t="s">
        <v>7</v>
      </c>
      <c r="R160" s="300" t="s">
        <v>226</v>
      </c>
      <c r="S160" s="300" t="s">
        <v>1996</v>
      </c>
      <c r="T160" s="300" t="s">
        <v>2458</v>
      </c>
      <c r="U160" s="303">
        <v>0.58050000000000002</v>
      </c>
      <c r="V160" s="300" t="s">
        <v>2458</v>
      </c>
      <c r="W160" s="307">
        <v>69</v>
      </c>
      <c r="X160" s="297">
        <f>(1-VLOOKUP(R160,Start!$H$33:$I$40,2,FALSE)/100)*W160</f>
        <v>61.410000000000004</v>
      </c>
      <c r="Y160" s="297">
        <f>VLOOKUP(Q160,Start!$C$9:$D$15,2,FALSE)+VLOOKUP(Q160,Start!$C$23:$D$29,2,FALSE)</f>
        <v>23.27</v>
      </c>
      <c r="Z160" s="298">
        <f>(Y160/U160)+Start!$D$19*(VLOOKUP(Q160,Start!$M$33:$N$39,2,FALSE)/U160)+VLOOKUP(R160,Start!$C$33:$D$40,2,FALSE)</f>
        <v>50.103962101636519</v>
      </c>
      <c r="AA160" s="234"/>
      <c r="AB160" s="278"/>
    </row>
    <row r="161" spans="2:28" ht="18.75" customHeight="1" x14ac:dyDescent="0.3">
      <c r="B161" s="229"/>
      <c r="C161" s="289" t="s">
        <v>2485</v>
      </c>
      <c r="D161" s="299" t="s">
        <v>881</v>
      </c>
      <c r="E161" s="300" t="s">
        <v>458</v>
      </c>
      <c r="F161" s="300" t="s">
        <v>882</v>
      </c>
      <c r="G161" s="302">
        <v>44655</v>
      </c>
      <c r="H161" s="300" t="s">
        <v>879</v>
      </c>
      <c r="I161" s="300" t="s">
        <v>880</v>
      </c>
      <c r="J161" s="306" t="s">
        <v>19</v>
      </c>
      <c r="K161" s="300" t="s">
        <v>883</v>
      </c>
      <c r="L161" s="304" t="s">
        <v>2017</v>
      </c>
      <c r="M161" s="300" t="s">
        <v>3</v>
      </c>
      <c r="N161" s="300"/>
      <c r="O161" s="300"/>
      <c r="P161" s="300" t="s">
        <v>3</v>
      </c>
      <c r="Q161" s="300" t="s">
        <v>3</v>
      </c>
      <c r="R161" s="300" t="s">
        <v>3</v>
      </c>
      <c r="S161" s="300" t="s">
        <v>1981</v>
      </c>
      <c r="T161" s="300" t="s">
        <v>2458</v>
      </c>
      <c r="U161" s="303">
        <v>0.45750000000000002</v>
      </c>
      <c r="V161" s="300" t="s">
        <v>2458</v>
      </c>
      <c r="W161" s="307">
        <v>449</v>
      </c>
      <c r="X161" s="297">
        <f>(1-VLOOKUP(R161,Start!$H$33:$I$40,2,FALSE)/100)*W161</f>
        <v>350.22</v>
      </c>
      <c r="Y161" s="297">
        <f>VLOOKUP(Q161,Start!$C$9:$D$15,2,FALSE)+VLOOKUP(Q161,Start!$C$23:$D$29,2,FALSE)</f>
        <v>12.53</v>
      </c>
      <c r="Z161" s="298">
        <f>(Y161/U161)+Start!$D$19*(VLOOKUP(Q161,Start!$M$33:$N$39,2,FALSE)/U161)+VLOOKUP(R161,Start!$C$33:$D$40,2,FALSE)</f>
        <v>46.808633879781411</v>
      </c>
      <c r="AA161" s="234"/>
      <c r="AB161" s="278"/>
    </row>
    <row r="162" spans="2:28" ht="18.75" customHeight="1" x14ac:dyDescent="0.3">
      <c r="B162" s="229"/>
      <c r="C162" s="289" t="s">
        <v>2485</v>
      </c>
      <c r="D162" s="305" t="s">
        <v>897</v>
      </c>
      <c r="E162" s="300" t="s">
        <v>23</v>
      </c>
      <c r="F162" s="300" t="s">
        <v>898</v>
      </c>
      <c r="G162" s="302">
        <v>31249</v>
      </c>
      <c r="H162" s="300" t="s">
        <v>899</v>
      </c>
      <c r="I162" s="300"/>
      <c r="J162" s="306" t="s">
        <v>22</v>
      </c>
      <c r="K162" s="300" t="s">
        <v>900</v>
      </c>
      <c r="L162" s="304" t="s">
        <v>2018</v>
      </c>
      <c r="M162" s="300" t="s">
        <v>3</v>
      </c>
      <c r="N162" s="300"/>
      <c r="O162" s="300"/>
      <c r="P162" s="300" t="s">
        <v>3</v>
      </c>
      <c r="Q162" s="300" t="s">
        <v>3</v>
      </c>
      <c r="R162" s="300" t="s">
        <v>3</v>
      </c>
      <c r="S162" s="300" t="s">
        <v>1981</v>
      </c>
      <c r="T162" s="300" t="s">
        <v>2458</v>
      </c>
      <c r="U162" s="303">
        <v>0.4325</v>
      </c>
      <c r="V162" s="300" t="s">
        <v>2458</v>
      </c>
      <c r="W162" s="307">
        <v>690</v>
      </c>
      <c r="X162" s="297">
        <f>(1-VLOOKUP(R162,Start!$H$33:$I$40,2,FALSE)/100)*W162</f>
        <v>538.20000000000005</v>
      </c>
      <c r="Y162" s="297">
        <f>VLOOKUP(Q162,Start!$C$9:$D$15,2,FALSE)+VLOOKUP(Q162,Start!$C$23:$D$29,2,FALSE)</f>
        <v>12.53</v>
      </c>
      <c r="Z162" s="298">
        <f>(Y162/U162)+Start!$D$19*(VLOOKUP(Q162,Start!$M$33:$N$39,2,FALSE)/U162)+VLOOKUP(R162,Start!$C$33:$D$40,2,FALSE)</f>
        <v>49.439190751445082</v>
      </c>
      <c r="AA162" s="234"/>
      <c r="AB162" s="278"/>
    </row>
    <row r="163" spans="2:28" ht="18.75" customHeight="1" x14ac:dyDescent="0.3">
      <c r="B163" s="229"/>
      <c r="C163" s="289" t="s">
        <v>2485</v>
      </c>
      <c r="D163" s="305" t="s">
        <v>476</v>
      </c>
      <c r="E163" s="300" t="s">
        <v>477</v>
      </c>
      <c r="F163" s="300" t="s">
        <v>478</v>
      </c>
      <c r="G163" s="302">
        <v>47259</v>
      </c>
      <c r="H163" s="300" t="s">
        <v>479</v>
      </c>
      <c r="I163" s="300"/>
      <c r="J163" s="306" t="s">
        <v>19</v>
      </c>
      <c r="K163" s="300" t="s">
        <v>140</v>
      </c>
      <c r="L163" s="304" t="s">
        <v>2314</v>
      </c>
      <c r="M163" s="300" t="s">
        <v>47</v>
      </c>
      <c r="N163" s="300" t="s">
        <v>480</v>
      </c>
      <c r="O163" s="300"/>
      <c r="P163" s="132" t="s">
        <v>214</v>
      </c>
      <c r="Q163" s="300" t="s">
        <v>7</v>
      </c>
      <c r="R163" s="300" t="s">
        <v>226</v>
      </c>
      <c r="S163" s="300" t="s">
        <v>1996</v>
      </c>
      <c r="T163" s="300" t="s">
        <v>2458</v>
      </c>
      <c r="U163" s="303">
        <v>0.45</v>
      </c>
      <c r="V163" s="303" t="s">
        <v>2461</v>
      </c>
      <c r="W163" s="307">
        <v>303</v>
      </c>
      <c r="X163" s="297">
        <f>(1-VLOOKUP(R163,Start!$H$33:$I$40,2,FALSE)/100)*W163</f>
        <v>269.67</v>
      </c>
      <c r="Y163" s="297">
        <f>VLOOKUP(Q163,Start!$C$9:$D$15,2,FALSE)+VLOOKUP(Q163,Start!$C$23:$D$29,2,FALSE)</f>
        <v>23.27</v>
      </c>
      <c r="Z163" s="298">
        <f>(Y163/U163)+Start!$D$19*(VLOOKUP(Q163,Start!$M$33:$N$39,2,FALSE)/U163)+VLOOKUP(R163,Start!$C$33:$D$40,2,FALSE)</f>
        <v>64.199111111111108</v>
      </c>
      <c r="AA163" s="234"/>
      <c r="AB163" s="278"/>
    </row>
    <row r="164" spans="2:28" ht="18.75" customHeight="1" x14ac:dyDescent="0.3">
      <c r="B164" s="229"/>
      <c r="C164" s="289" t="s">
        <v>2485</v>
      </c>
      <c r="D164" s="299" t="s">
        <v>481</v>
      </c>
      <c r="E164" s="300" t="s">
        <v>477</v>
      </c>
      <c r="F164" s="132" t="s">
        <v>478</v>
      </c>
      <c r="G164" s="311">
        <v>47259</v>
      </c>
      <c r="H164" s="312" t="s">
        <v>479</v>
      </c>
      <c r="I164" s="132"/>
      <c r="J164" s="301" t="s">
        <v>19</v>
      </c>
      <c r="K164" s="301" t="s">
        <v>139</v>
      </c>
      <c r="L164" s="304" t="s">
        <v>2315</v>
      </c>
      <c r="M164" s="300" t="s">
        <v>47</v>
      </c>
      <c r="N164" s="132" t="s">
        <v>480</v>
      </c>
      <c r="O164" s="300"/>
      <c r="P164" s="132" t="s">
        <v>214</v>
      </c>
      <c r="Q164" s="300" t="s">
        <v>7</v>
      </c>
      <c r="R164" s="300" t="s">
        <v>226</v>
      </c>
      <c r="S164" s="300" t="s">
        <v>1996</v>
      </c>
      <c r="T164" s="300" t="s">
        <v>2458</v>
      </c>
      <c r="U164" s="303">
        <v>0.45</v>
      </c>
      <c r="V164" s="303" t="s">
        <v>2461</v>
      </c>
      <c r="W164" s="315">
        <v>303</v>
      </c>
      <c r="X164" s="297">
        <f>(1-VLOOKUP(R164,Start!$H$33:$I$40,2,FALSE)/100)*W164</f>
        <v>269.67</v>
      </c>
      <c r="Y164" s="297">
        <f>VLOOKUP(Q164,Start!$C$9:$D$15,2,FALSE)+VLOOKUP(Q164,Start!$C$23:$D$29,2,FALSE)</f>
        <v>23.27</v>
      </c>
      <c r="Z164" s="298">
        <f>(Y164/U164)+Start!$D$19*(VLOOKUP(Q164,Start!$M$33:$N$39,2,FALSE)/U164)+VLOOKUP(R164,Start!$C$33:$D$40,2,FALSE)</f>
        <v>64.199111111111108</v>
      </c>
      <c r="AA164" s="234"/>
      <c r="AB164" s="278"/>
    </row>
    <row r="165" spans="2:28" ht="18.75" customHeight="1" x14ac:dyDescent="0.3">
      <c r="B165" s="229"/>
      <c r="C165" s="289" t="s">
        <v>2485</v>
      </c>
      <c r="D165" s="305" t="s">
        <v>906</v>
      </c>
      <c r="E165" s="300" t="s">
        <v>128</v>
      </c>
      <c r="F165" s="300" t="s">
        <v>907</v>
      </c>
      <c r="G165" s="302">
        <v>50354</v>
      </c>
      <c r="H165" s="300" t="s">
        <v>904</v>
      </c>
      <c r="I165" s="300"/>
      <c r="J165" s="306" t="s">
        <v>19</v>
      </c>
      <c r="K165" s="300" t="s">
        <v>907</v>
      </c>
      <c r="L165" s="304" t="s">
        <v>2099</v>
      </c>
      <c r="M165" s="300" t="s">
        <v>47</v>
      </c>
      <c r="N165" s="300" t="s">
        <v>2</v>
      </c>
      <c r="O165" s="300" t="s">
        <v>908</v>
      </c>
      <c r="P165" s="300" t="s">
        <v>2</v>
      </c>
      <c r="Q165" s="300" t="s">
        <v>2</v>
      </c>
      <c r="R165" s="300" t="s">
        <v>2</v>
      </c>
      <c r="S165" s="300" t="s">
        <v>1981</v>
      </c>
      <c r="T165" s="300" t="s">
        <v>2458</v>
      </c>
      <c r="U165" s="303">
        <v>0.20080000000000001</v>
      </c>
      <c r="V165" s="300" t="s">
        <v>2458</v>
      </c>
      <c r="W165" s="307">
        <v>98</v>
      </c>
      <c r="X165" s="297">
        <f>(1-VLOOKUP(R165,Start!$H$33:$I$40,2,FALSE)/100)*W165</f>
        <v>85.26</v>
      </c>
      <c r="Y165" s="297">
        <f>VLOOKUP(Q165,Start!$C$9:$D$15,2,FALSE)+VLOOKUP(Q165,Start!$C$23:$D$29,2,FALSE)</f>
        <v>3.1</v>
      </c>
      <c r="Z165" s="298">
        <f>(Y165/U165)+Start!$D$19*(VLOOKUP(Q165,Start!$M$33:$N$39,2,FALSE)/U165)+VLOOKUP(R165,Start!$C$33:$D$40,2,FALSE)</f>
        <v>66.632270916334662</v>
      </c>
      <c r="AA165" s="234"/>
      <c r="AB165" s="278"/>
    </row>
    <row r="166" spans="2:28" ht="18.75" customHeight="1" x14ac:dyDescent="0.3">
      <c r="B166" s="229"/>
      <c r="C166" s="289" t="s">
        <v>2485</v>
      </c>
      <c r="D166" s="305" t="s">
        <v>915</v>
      </c>
      <c r="E166" s="300" t="s">
        <v>160</v>
      </c>
      <c r="F166" s="300" t="s">
        <v>914</v>
      </c>
      <c r="G166" s="302">
        <v>49479</v>
      </c>
      <c r="H166" s="300" t="s">
        <v>914</v>
      </c>
      <c r="I166" s="300"/>
      <c r="J166" s="306" t="s">
        <v>19</v>
      </c>
      <c r="K166" s="300" t="s">
        <v>139</v>
      </c>
      <c r="L166" s="304" t="s">
        <v>2019</v>
      </c>
      <c r="M166" s="300" t="s">
        <v>47</v>
      </c>
      <c r="N166" s="300" t="s">
        <v>3</v>
      </c>
      <c r="O166" s="300" t="s">
        <v>916</v>
      </c>
      <c r="P166" s="300" t="s">
        <v>3</v>
      </c>
      <c r="Q166" s="300" t="s">
        <v>3</v>
      </c>
      <c r="R166" s="300" t="s">
        <v>3</v>
      </c>
      <c r="S166" s="300" t="s">
        <v>1981</v>
      </c>
      <c r="T166" s="300" t="s">
        <v>2458</v>
      </c>
      <c r="U166" s="303">
        <v>0.44750000000000001</v>
      </c>
      <c r="V166" s="300" t="s">
        <v>2458</v>
      </c>
      <c r="W166" s="307">
        <v>794</v>
      </c>
      <c r="X166" s="297">
        <f>(1-VLOOKUP(R166,Start!$H$33:$I$40,2,FALSE)/100)*W166</f>
        <v>619.32000000000005</v>
      </c>
      <c r="Y166" s="297">
        <f>VLOOKUP(Q166,Start!$C$9:$D$15,2,FALSE)+VLOOKUP(Q166,Start!$C$23:$D$29,2,FALSE)</f>
        <v>12.53</v>
      </c>
      <c r="Z166" s="298">
        <f>(Y166/U166)+Start!$D$19*(VLOOKUP(Q166,Start!$M$33:$N$39,2,FALSE)/U166)+VLOOKUP(R166,Start!$C$33:$D$40,2,FALSE)</f>
        <v>47.825586592178766</v>
      </c>
      <c r="AA166" s="234"/>
      <c r="AB166" s="278"/>
    </row>
    <row r="167" spans="2:28" ht="18.75" customHeight="1" x14ac:dyDescent="0.3">
      <c r="B167" s="229"/>
      <c r="C167" s="289" t="s">
        <v>2485</v>
      </c>
      <c r="D167" s="305" t="s">
        <v>920</v>
      </c>
      <c r="E167" s="300" t="s">
        <v>918</v>
      </c>
      <c r="F167" s="300" t="s">
        <v>921</v>
      </c>
      <c r="G167" s="302">
        <v>65926</v>
      </c>
      <c r="H167" s="300" t="s">
        <v>919</v>
      </c>
      <c r="I167" s="300"/>
      <c r="J167" s="306" t="s">
        <v>105</v>
      </c>
      <c r="K167" s="300"/>
      <c r="L167" s="304" t="s">
        <v>2193</v>
      </c>
      <c r="M167" s="300" t="s">
        <v>7</v>
      </c>
      <c r="N167" s="300"/>
      <c r="O167" s="300"/>
      <c r="P167" s="300" t="s">
        <v>7</v>
      </c>
      <c r="Q167" s="300" t="s">
        <v>7</v>
      </c>
      <c r="R167" s="300" t="s">
        <v>96</v>
      </c>
      <c r="S167" s="300" t="s">
        <v>2115</v>
      </c>
      <c r="T167" s="300" t="s">
        <v>2458</v>
      </c>
      <c r="U167" s="303">
        <v>0.41120000000000001</v>
      </c>
      <c r="V167" s="300" t="s">
        <v>2458</v>
      </c>
      <c r="W167" s="307">
        <v>96.5</v>
      </c>
      <c r="X167" s="297">
        <f>(1-VLOOKUP(R167,Start!$H$33:$I$40,2,FALSE)/100)*W167</f>
        <v>85.885000000000005</v>
      </c>
      <c r="Y167" s="297">
        <f>VLOOKUP(Q167,Start!$C$9:$D$15,2,FALSE)+VLOOKUP(Q167,Start!$C$23:$D$29,2,FALSE)</f>
        <v>23.27</v>
      </c>
      <c r="Z167" s="298">
        <f>(Y167/U167)+Start!$D$19*(VLOOKUP(Q167,Start!$M$33:$N$39,2,FALSE)/U167)+VLOOKUP(R167,Start!$C$33:$D$40,2,FALSE)</f>
        <v>69.615272373540847</v>
      </c>
      <c r="AA167" s="234"/>
      <c r="AB167" s="278"/>
    </row>
    <row r="168" spans="2:28" ht="18.75" customHeight="1" x14ac:dyDescent="0.3">
      <c r="B168" s="229"/>
      <c r="C168" s="289" t="s">
        <v>2485</v>
      </c>
      <c r="D168" s="305" t="s">
        <v>922</v>
      </c>
      <c r="E168" s="300" t="s">
        <v>918</v>
      </c>
      <c r="F168" s="300" t="s">
        <v>101</v>
      </c>
      <c r="G168" s="302">
        <v>65926</v>
      </c>
      <c r="H168" s="300" t="s">
        <v>919</v>
      </c>
      <c r="I168" s="300"/>
      <c r="J168" s="306" t="s">
        <v>105</v>
      </c>
      <c r="K168" s="300" t="s">
        <v>383</v>
      </c>
      <c r="L168" s="304" t="s">
        <v>2020</v>
      </c>
      <c r="M168" s="300" t="s">
        <v>47</v>
      </c>
      <c r="N168" s="300" t="s">
        <v>3</v>
      </c>
      <c r="O168" s="300" t="s">
        <v>390</v>
      </c>
      <c r="P168" s="300" t="s">
        <v>3</v>
      </c>
      <c r="Q168" s="300" t="s">
        <v>3</v>
      </c>
      <c r="R168" s="300" t="s">
        <v>3</v>
      </c>
      <c r="S168" s="300" t="s">
        <v>1996</v>
      </c>
      <c r="T168" s="300" t="s">
        <v>2458</v>
      </c>
      <c r="U168" s="303">
        <v>0.49049999999999999</v>
      </c>
      <c r="V168" s="300" t="s">
        <v>2458</v>
      </c>
      <c r="W168" s="307">
        <v>66</v>
      </c>
      <c r="X168" s="297">
        <f>(1-VLOOKUP(R168,Start!$H$33:$I$40,2,FALSE)/100)*W168</f>
        <v>51.480000000000004</v>
      </c>
      <c r="Y168" s="297">
        <f>VLOOKUP(Q168,Start!$C$9:$D$15,2,FALSE)+VLOOKUP(Q168,Start!$C$23:$D$29,2,FALSE)</f>
        <v>12.53</v>
      </c>
      <c r="Z168" s="298">
        <f>(Y168/U168)+Start!$D$19*(VLOOKUP(Q168,Start!$M$33:$N$39,2,FALSE)/U168)+VLOOKUP(R168,Start!$C$33:$D$40,2,FALSE)</f>
        <v>43.746890927624875</v>
      </c>
      <c r="AA168" s="234"/>
      <c r="AB168" s="278"/>
    </row>
    <row r="169" spans="2:28" ht="18.75" customHeight="1" x14ac:dyDescent="0.3">
      <c r="B169" s="229"/>
      <c r="C169" s="289" t="s">
        <v>2485</v>
      </c>
      <c r="D169" s="299" t="s">
        <v>917</v>
      </c>
      <c r="E169" s="300" t="s">
        <v>918</v>
      </c>
      <c r="F169" s="300" t="s">
        <v>101</v>
      </c>
      <c r="G169" s="329">
        <v>65926</v>
      </c>
      <c r="H169" s="300" t="s">
        <v>919</v>
      </c>
      <c r="I169" s="300"/>
      <c r="J169" s="306" t="s">
        <v>105</v>
      </c>
      <c r="K169" s="300" t="s">
        <v>389</v>
      </c>
      <c r="L169" s="304" t="s">
        <v>2192</v>
      </c>
      <c r="M169" s="300" t="s">
        <v>7</v>
      </c>
      <c r="N169" s="300"/>
      <c r="O169" s="300"/>
      <c r="P169" s="300" t="s">
        <v>7</v>
      </c>
      <c r="Q169" s="300" t="s">
        <v>7</v>
      </c>
      <c r="R169" s="300" t="s">
        <v>226</v>
      </c>
      <c r="S169" s="300" t="s">
        <v>1996</v>
      </c>
      <c r="T169" s="300" t="s">
        <v>2458</v>
      </c>
      <c r="U169" s="303">
        <v>0.55349999999999999</v>
      </c>
      <c r="V169" s="300" t="s">
        <v>2458</v>
      </c>
      <c r="W169" s="307">
        <v>86</v>
      </c>
      <c r="X169" s="297">
        <f>(1-VLOOKUP(R169,Start!$H$33:$I$40,2,FALSE)/100)*W169</f>
        <v>76.540000000000006</v>
      </c>
      <c r="Y169" s="297">
        <f>VLOOKUP(Q169,Start!$C$9:$D$15,2,FALSE)+VLOOKUP(Q169,Start!$C$23:$D$29,2,FALSE)</f>
        <v>23.27</v>
      </c>
      <c r="Z169" s="298">
        <f>(Y169/U169)+Start!$D$19*(VLOOKUP(Q169,Start!$M$33:$N$39,2,FALSE)/U169)+VLOOKUP(R169,Start!$C$33:$D$40,2,FALSE)</f>
        <v>52.474887082204162</v>
      </c>
      <c r="AA169" s="234"/>
      <c r="AB169" s="278"/>
    </row>
    <row r="170" spans="2:28" ht="18.75" customHeight="1" x14ac:dyDescent="0.3">
      <c r="B170" s="229"/>
      <c r="C170" s="289" t="s">
        <v>2485</v>
      </c>
      <c r="D170" s="299" t="s">
        <v>932</v>
      </c>
      <c r="E170" s="300" t="s">
        <v>111</v>
      </c>
      <c r="F170" s="300" t="s">
        <v>933</v>
      </c>
      <c r="G170" s="311">
        <v>7749</v>
      </c>
      <c r="H170" s="312" t="s">
        <v>934</v>
      </c>
      <c r="I170" s="300"/>
      <c r="J170" s="306" t="s">
        <v>77</v>
      </c>
      <c r="K170" s="300" t="s">
        <v>933</v>
      </c>
      <c r="L170" s="304" t="s">
        <v>2194</v>
      </c>
      <c r="M170" s="300" t="s">
        <v>47</v>
      </c>
      <c r="N170" s="300" t="s">
        <v>7</v>
      </c>
      <c r="O170" s="300" t="s">
        <v>115</v>
      </c>
      <c r="P170" s="314" t="s">
        <v>7</v>
      </c>
      <c r="Q170" s="300" t="s">
        <v>7</v>
      </c>
      <c r="R170" s="300" t="s">
        <v>226</v>
      </c>
      <c r="S170" s="300" t="s">
        <v>1996</v>
      </c>
      <c r="T170" s="300" t="s">
        <v>2458</v>
      </c>
      <c r="U170" s="303">
        <v>0.52200000000000002</v>
      </c>
      <c r="V170" s="300" t="s">
        <v>2458</v>
      </c>
      <c r="W170" s="315">
        <v>182</v>
      </c>
      <c r="X170" s="297">
        <f>(1-VLOOKUP(R170,Start!$H$33:$I$40,2,FALSE)/100)*W170</f>
        <v>161.97999999999999</v>
      </c>
      <c r="Y170" s="297">
        <f>VLOOKUP(Q170,Start!$C$9:$D$15,2,FALSE)+VLOOKUP(Q170,Start!$C$23:$D$29,2,FALSE)</f>
        <v>23.27</v>
      </c>
      <c r="Z170" s="298">
        <f>(Y170/U170)+Start!$D$19*(VLOOKUP(Q170,Start!$M$33:$N$39,2,FALSE)/U170)+VLOOKUP(R170,Start!$C$33:$D$40,2,FALSE)</f>
        <v>55.550957854406128</v>
      </c>
      <c r="AA170" s="234"/>
      <c r="AB170" s="278"/>
    </row>
    <row r="171" spans="2:28" ht="18.75" customHeight="1" x14ac:dyDescent="0.3">
      <c r="B171" s="229"/>
      <c r="C171" s="289" t="s">
        <v>2485</v>
      </c>
      <c r="D171" s="305" t="s">
        <v>940</v>
      </c>
      <c r="E171" s="300" t="s">
        <v>941</v>
      </c>
      <c r="F171" s="301" t="s">
        <v>942</v>
      </c>
      <c r="G171" s="302">
        <v>67655</v>
      </c>
      <c r="H171" s="303" t="s">
        <v>943</v>
      </c>
      <c r="I171" s="303"/>
      <c r="J171" s="301" t="s">
        <v>37</v>
      </c>
      <c r="K171" s="301">
        <v>10</v>
      </c>
      <c r="L171" s="304" t="s">
        <v>2195</v>
      </c>
      <c r="M171" s="300" t="s">
        <v>47</v>
      </c>
      <c r="N171" s="132" t="s">
        <v>7</v>
      </c>
      <c r="O171" s="132" t="s">
        <v>115</v>
      </c>
      <c r="P171" s="132" t="s">
        <v>7</v>
      </c>
      <c r="Q171" s="300" t="s">
        <v>7</v>
      </c>
      <c r="R171" s="300" t="s">
        <v>226</v>
      </c>
      <c r="S171" s="300" t="s">
        <v>1981</v>
      </c>
      <c r="T171" s="300" t="s">
        <v>2458</v>
      </c>
      <c r="U171" s="303">
        <v>0.37290000000000001</v>
      </c>
      <c r="V171" s="300" t="s">
        <v>2458</v>
      </c>
      <c r="W171" s="297">
        <v>11.6</v>
      </c>
      <c r="X171" s="297">
        <f>(1-VLOOKUP(R171,Start!$H$33:$I$40,2,FALSE)/100)*W171</f>
        <v>10.324</v>
      </c>
      <c r="Y171" s="297">
        <f>VLOOKUP(Q171,Start!$C$9:$D$15,2,FALSE)+VLOOKUP(Q171,Start!$C$23:$D$29,2,FALSE)</f>
        <v>23.27</v>
      </c>
      <c r="Z171" s="298">
        <f>(Y171/U171)+Start!$D$19*(VLOOKUP(Q171,Start!$M$33:$N$39,2,FALSE)/U171)+VLOOKUP(R171,Start!$C$33:$D$40,2,FALSE)</f>
        <v>77.162644140520243</v>
      </c>
      <c r="AA171" s="234"/>
      <c r="AB171" s="278"/>
    </row>
    <row r="172" spans="2:28" ht="18.75" customHeight="1" x14ac:dyDescent="0.3">
      <c r="B172" s="229"/>
      <c r="C172" s="289" t="s">
        <v>2485</v>
      </c>
      <c r="D172" s="299" t="s">
        <v>944</v>
      </c>
      <c r="E172" s="300" t="s">
        <v>941</v>
      </c>
      <c r="F172" s="300" t="s">
        <v>942</v>
      </c>
      <c r="G172" s="311">
        <v>67655</v>
      </c>
      <c r="H172" s="312" t="s">
        <v>943</v>
      </c>
      <c r="I172" s="300"/>
      <c r="J172" s="306" t="s">
        <v>37</v>
      </c>
      <c r="K172" s="300">
        <v>20</v>
      </c>
      <c r="L172" s="304" t="s">
        <v>2021</v>
      </c>
      <c r="M172" s="300" t="s">
        <v>3</v>
      </c>
      <c r="N172" s="300"/>
      <c r="O172" s="300"/>
      <c r="P172" s="314" t="s">
        <v>3</v>
      </c>
      <c r="Q172" s="300" t="s">
        <v>3</v>
      </c>
      <c r="R172" s="300" t="s">
        <v>3</v>
      </c>
      <c r="S172" s="300" t="s">
        <v>1981</v>
      </c>
      <c r="T172" s="300" t="s">
        <v>2458</v>
      </c>
      <c r="U172" s="303">
        <v>0.41499999999999998</v>
      </c>
      <c r="V172" s="300" t="s">
        <v>2458</v>
      </c>
      <c r="W172" s="315">
        <v>13.4</v>
      </c>
      <c r="X172" s="297">
        <f>(1-VLOOKUP(R172,Start!$H$33:$I$40,2,FALSE)/100)*W172</f>
        <v>10.452</v>
      </c>
      <c r="Y172" s="297">
        <f>VLOOKUP(Q172,Start!$C$9:$D$15,2,FALSE)+VLOOKUP(Q172,Start!$C$23:$D$29,2,FALSE)</f>
        <v>12.53</v>
      </c>
      <c r="Z172" s="298">
        <f>(Y172/U172)+Start!$D$19*(VLOOKUP(Q172,Start!$M$33:$N$39,2,FALSE)/U172)+VLOOKUP(R172,Start!$C$33:$D$40,2,FALSE)</f>
        <v>51.46915662650602</v>
      </c>
      <c r="AA172" s="234"/>
      <c r="AB172" s="278"/>
    </row>
    <row r="173" spans="2:28" ht="18.75" customHeight="1" x14ac:dyDescent="0.3">
      <c r="B173" s="229"/>
      <c r="C173" s="289" t="s">
        <v>2485</v>
      </c>
      <c r="D173" s="305" t="s">
        <v>961</v>
      </c>
      <c r="E173" s="300" t="s">
        <v>962</v>
      </c>
      <c r="F173" s="313" t="s">
        <v>963</v>
      </c>
      <c r="G173" s="330">
        <v>76189</v>
      </c>
      <c r="H173" s="313" t="s">
        <v>958</v>
      </c>
      <c r="I173" s="313"/>
      <c r="J173" s="306" t="s">
        <v>20</v>
      </c>
      <c r="K173" s="313" t="s">
        <v>964</v>
      </c>
      <c r="L173" s="304" t="s">
        <v>2044</v>
      </c>
      <c r="M173" s="313" t="s">
        <v>47</v>
      </c>
      <c r="N173" s="313" t="s">
        <v>7</v>
      </c>
      <c r="O173" s="300" t="s">
        <v>377</v>
      </c>
      <c r="P173" s="300" t="s">
        <v>7</v>
      </c>
      <c r="Q173" s="300" t="s">
        <v>7</v>
      </c>
      <c r="R173" s="300" t="s">
        <v>226</v>
      </c>
      <c r="S173" s="300" t="s">
        <v>1981</v>
      </c>
      <c r="T173" s="300" t="s">
        <v>2458</v>
      </c>
      <c r="U173" s="303">
        <v>0.3674</v>
      </c>
      <c r="V173" s="300" t="s">
        <v>2458</v>
      </c>
      <c r="W173" s="307">
        <v>33</v>
      </c>
      <c r="X173" s="297">
        <f>(1-VLOOKUP(R173,Start!$H$33:$I$40,2,FALSE)/100)*W173</f>
        <v>29.37</v>
      </c>
      <c r="Y173" s="297">
        <f>VLOOKUP(Q173,Start!$C$9:$D$15,2,FALSE)+VLOOKUP(Q173,Start!$C$23:$D$29,2,FALSE)</f>
        <v>23.27</v>
      </c>
      <c r="Z173" s="298">
        <f>(Y173/U173)+Start!$D$19*(VLOOKUP(Q173,Start!$M$33:$N$39,2,FALSE)/U173)+VLOOKUP(R173,Start!$C$33:$D$40,2,FALSE)</f>
        <v>78.295318454001091</v>
      </c>
      <c r="AA173" s="234"/>
      <c r="AB173" s="278"/>
    </row>
    <row r="174" spans="2:28" ht="18.75" customHeight="1" x14ac:dyDescent="0.3">
      <c r="B174" s="229"/>
      <c r="C174" s="289" t="s">
        <v>2485</v>
      </c>
      <c r="D174" s="305" t="s">
        <v>965</v>
      </c>
      <c r="E174" s="300" t="s">
        <v>966</v>
      </c>
      <c r="F174" s="300" t="s">
        <v>967</v>
      </c>
      <c r="G174" s="302">
        <v>76187</v>
      </c>
      <c r="H174" s="300" t="s">
        <v>958</v>
      </c>
      <c r="I174" s="300"/>
      <c r="J174" s="306" t="s">
        <v>20</v>
      </c>
      <c r="K174" s="300" t="s">
        <v>968</v>
      </c>
      <c r="L174" s="304" t="s">
        <v>2298</v>
      </c>
      <c r="M174" s="300" t="s">
        <v>47</v>
      </c>
      <c r="N174" s="300" t="s">
        <v>48</v>
      </c>
      <c r="O174" s="300" t="s">
        <v>7</v>
      </c>
      <c r="P174" s="300" t="s">
        <v>48</v>
      </c>
      <c r="Q174" s="300" t="s">
        <v>4</v>
      </c>
      <c r="R174" s="300" t="s">
        <v>4</v>
      </c>
      <c r="S174" s="300" t="s">
        <v>1981</v>
      </c>
      <c r="T174" s="300" t="s">
        <v>2458</v>
      </c>
      <c r="U174" s="303">
        <v>0.3795</v>
      </c>
      <c r="V174" s="300" t="s">
        <v>2458</v>
      </c>
      <c r="W174" s="307">
        <v>45</v>
      </c>
      <c r="X174" s="297">
        <f>(1-VLOOKUP(R174,Start!$H$33:$I$40,2,FALSE)/100)*W174</f>
        <v>38.25</v>
      </c>
      <c r="Y174" s="297">
        <f>VLOOKUP(Q174,Start!$C$9:$D$15,2,FALSE)+VLOOKUP(Q174,Start!$C$23:$D$29,2,FALSE)</f>
        <v>33.223832923832894</v>
      </c>
      <c r="Z174" s="298">
        <f>(Y174/U174)+Start!$D$19*(VLOOKUP(Q174,Start!$M$33:$N$39,2,FALSE)/U174)+VLOOKUP(R174,Start!$C$33:$D$40,2,FALSE)</f>
        <v>106.69652944356494</v>
      </c>
      <c r="AA174" s="234"/>
      <c r="AB174" s="278"/>
    </row>
    <row r="175" spans="2:28" ht="18.75" customHeight="1" x14ac:dyDescent="0.3">
      <c r="B175" s="229"/>
      <c r="C175" s="289" t="s">
        <v>2485</v>
      </c>
      <c r="D175" s="305" t="s">
        <v>969</v>
      </c>
      <c r="E175" s="300" t="s">
        <v>966</v>
      </c>
      <c r="F175" s="300" t="s">
        <v>967</v>
      </c>
      <c r="G175" s="302">
        <v>76187</v>
      </c>
      <c r="H175" s="300" t="s">
        <v>958</v>
      </c>
      <c r="I175" s="300"/>
      <c r="J175" s="306" t="s">
        <v>20</v>
      </c>
      <c r="K175" s="300" t="s">
        <v>970</v>
      </c>
      <c r="L175" s="304" t="s">
        <v>2298</v>
      </c>
      <c r="M175" s="300" t="s">
        <v>47</v>
      </c>
      <c r="N175" s="300" t="s">
        <v>48</v>
      </c>
      <c r="O175" s="300" t="s">
        <v>7</v>
      </c>
      <c r="P175" s="300" t="s">
        <v>48</v>
      </c>
      <c r="Q175" s="300" t="s">
        <v>4</v>
      </c>
      <c r="R175" s="300" t="s">
        <v>4</v>
      </c>
      <c r="S175" s="300" t="s">
        <v>1981</v>
      </c>
      <c r="T175" s="300" t="s">
        <v>2458</v>
      </c>
      <c r="U175" s="303">
        <v>0.3795</v>
      </c>
      <c r="V175" s="300" t="s">
        <v>2458</v>
      </c>
      <c r="W175" s="307">
        <v>25</v>
      </c>
      <c r="X175" s="297">
        <f>(1-VLOOKUP(R175,Start!$H$33:$I$40,2,FALSE)/100)*W175</f>
        <v>21.25</v>
      </c>
      <c r="Y175" s="297">
        <f>VLOOKUP(Q175,Start!$C$9:$D$15,2,FALSE)+VLOOKUP(Q175,Start!$C$23:$D$29,2,FALSE)</f>
        <v>33.223832923832894</v>
      </c>
      <c r="Z175" s="298">
        <f>(Y175/U175)+Start!$D$19*(VLOOKUP(Q175,Start!$M$33:$N$39,2,FALSE)/U175)+VLOOKUP(R175,Start!$C$33:$D$40,2,FALSE)</f>
        <v>106.69652944356494</v>
      </c>
      <c r="AA175" s="234"/>
      <c r="AB175" s="278"/>
    </row>
    <row r="176" spans="2:28" ht="18.75" customHeight="1" x14ac:dyDescent="0.3">
      <c r="B176" s="229"/>
      <c r="C176" s="289" t="s">
        <v>2485</v>
      </c>
      <c r="D176" s="299" t="s">
        <v>971</v>
      </c>
      <c r="E176" s="300" t="s">
        <v>40</v>
      </c>
      <c r="F176" s="300" t="s">
        <v>959</v>
      </c>
      <c r="G176" s="302">
        <v>76189</v>
      </c>
      <c r="H176" s="300" t="s">
        <v>958</v>
      </c>
      <c r="I176" s="300" t="s">
        <v>960</v>
      </c>
      <c r="J176" s="306" t="s">
        <v>20</v>
      </c>
      <c r="K176" s="300" t="s">
        <v>972</v>
      </c>
      <c r="L176" s="304" t="s">
        <v>2022</v>
      </c>
      <c r="M176" s="300" t="s">
        <v>3</v>
      </c>
      <c r="N176" s="300"/>
      <c r="O176" s="300"/>
      <c r="P176" s="300" t="s">
        <v>3</v>
      </c>
      <c r="Q176" s="300" t="s">
        <v>3</v>
      </c>
      <c r="R176" s="300" t="s">
        <v>3</v>
      </c>
      <c r="S176" s="300" t="s">
        <v>1981</v>
      </c>
      <c r="T176" s="300" t="s">
        <v>2458</v>
      </c>
      <c r="U176" s="303">
        <v>0.4375</v>
      </c>
      <c r="V176" s="300" t="s">
        <v>2458</v>
      </c>
      <c r="W176" s="307">
        <v>517</v>
      </c>
      <c r="X176" s="297">
        <f>(1-VLOOKUP(R176,Start!$H$33:$I$40,2,FALSE)/100)*W176</f>
        <v>403.26</v>
      </c>
      <c r="Y176" s="297">
        <f>VLOOKUP(Q176,Start!$C$9:$D$15,2,FALSE)+VLOOKUP(Q176,Start!$C$23:$D$29,2,FALSE)</f>
        <v>12.53</v>
      </c>
      <c r="Z176" s="298">
        <f>(Y176/U176)+Start!$D$19*(VLOOKUP(Q176,Start!$M$33:$N$39,2,FALSE)/U176)+VLOOKUP(R176,Start!$C$33:$D$40,2,FALSE)</f>
        <v>48.889028571428568</v>
      </c>
      <c r="AA176" s="234"/>
      <c r="AB176" s="278"/>
    </row>
    <row r="177" spans="2:28" ht="18.75" customHeight="1" x14ac:dyDescent="0.3">
      <c r="B177" s="229"/>
      <c r="C177" s="289" t="s">
        <v>2485</v>
      </c>
      <c r="D177" s="299" t="s">
        <v>973</v>
      </c>
      <c r="E177" s="300" t="s">
        <v>40</v>
      </c>
      <c r="F177" s="300" t="s">
        <v>959</v>
      </c>
      <c r="G177" s="302">
        <v>76189</v>
      </c>
      <c r="H177" s="300" t="s">
        <v>958</v>
      </c>
      <c r="I177" s="300" t="s">
        <v>960</v>
      </c>
      <c r="J177" s="306" t="s">
        <v>20</v>
      </c>
      <c r="K177" s="300" t="s">
        <v>974</v>
      </c>
      <c r="L177" s="304" t="s">
        <v>2023</v>
      </c>
      <c r="M177" s="300" t="s">
        <v>3</v>
      </c>
      <c r="N177" s="300"/>
      <c r="O177" s="300"/>
      <c r="P177" s="300" t="s">
        <v>3</v>
      </c>
      <c r="Q177" s="300" t="s">
        <v>3</v>
      </c>
      <c r="R177" s="300" t="s">
        <v>3</v>
      </c>
      <c r="S177" s="300" t="s">
        <v>1981</v>
      </c>
      <c r="T177" s="300" t="s">
        <v>2458</v>
      </c>
      <c r="U177" s="303">
        <v>0.46</v>
      </c>
      <c r="V177" s="300" t="s">
        <v>2458</v>
      </c>
      <c r="W177" s="307">
        <v>834</v>
      </c>
      <c r="X177" s="297">
        <f>(1-VLOOKUP(R177,Start!$H$33:$I$40,2,FALSE)/100)*W177</f>
        <v>650.52</v>
      </c>
      <c r="Y177" s="297">
        <f>VLOOKUP(Q177,Start!$C$9:$D$15,2,FALSE)+VLOOKUP(Q177,Start!$C$23:$D$29,2,FALSE)</f>
        <v>12.53</v>
      </c>
      <c r="Z177" s="298">
        <f>(Y177/U177)+Start!$D$19*(VLOOKUP(Q177,Start!$M$33:$N$39,2,FALSE)/U177)+VLOOKUP(R177,Start!$C$33:$D$40,2,FALSE)</f>
        <v>46.561304347826081</v>
      </c>
      <c r="AA177" s="234"/>
      <c r="AB177" s="278"/>
    </row>
    <row r="178" spans="2:28" ht="18.75" customHeight="1" x14ac:dyDescent="0.3">
      <c r="B178" s="229"/>
      <c r="C178" s="289" t="s">
        <v>2485</v>
      </c>
      <c r="D178" s="305" t="s">
        <v>614</v>
      </c>
      <c r="E178" s="300" t="s">
        <v>160</v>
      </c>
      <c r="F178" s="300" t="s">
        <v>615</v>
      </c>
      <c r="G178" s="302">
        <v>45329</v>
      </c>
      <c r="H178" s="300" t="s">
        <v>616</v>
      </c>
      <c r="I178" s="300"/>
      <c r="J178" s="306" t="s">
        <v>19</v>
      </c>
      <c r="K178" s="300" t="s">
        <v>139</v>
      </c>
      <c r="L178" s="304" t="s">
        <v>2342</v>
      </c>
      <c r="M178" s="300" t="s">
        <v>6</v>
      </c>
      <c r="N178" s="300"/>
      <c r="O178" s="300"/>
      <c r="P178" s="300" t="s">
        <v>6</v>
      </c>
      <c r="Q178" s="300" t="s">
        <v>6</v>
      </c>
      <c r="R178" s="300" t="s">
        <v>6</v>
      </c>
      <c r="S178" s="300" t="s">
        <v>1981</v>
      </c>
      <c r="T178" s="300" t="s">
        <v>2458</v>
      </c>
      <c r="U178" s="303">
        <v>0.33</v>
      </c>
      <c r="V178" s="300" t="s">
        <v>2458</v>
      </c>
      <c r="W178" s="307">
        <v>38</v>
      </c>
      <c r="X178" s="297">
        <f>(1-VLOOKUP(R178,Start!$H$33:$I$40,2,FALSE)/100)*W178</f>
        <v>32.299999999999997</v>
      </c>
      <c r="Y178" s="297">
        <f>VLOOKUP(Q178,Start!$C$9:$D$15,2,FALSE)+VLOOKUP(Q178,Start!$C$23:$D$29,2,FALSE)</f>
        <v>0</v>
      </c>
      <c r="Z178" s="298">
        <f>(Y178/U178)+Start!$D$19*(VLOOKUP(Q178,Start!$M$33:$N$39,2,FALSE)/U178)+VLOOKUP(R178,Start!$C$33:$D$40,2,FALSE)</f>
        <v>1</v>
      </c>
      <c r="AA178" s="234"/>
      <c r="AB178" s="278"/>
    </row>
    <row r="179" spans="2:28" ht="18.75" customHeight="1" x14ac:dyDescent="0.3">
      <c r="B179" s="229"/>
      <c r="C179" s="289" t="s">
        <v>2485</v>
      </c>
      <c r="D179" s="299" t="s">
        <v>984</v>
      </c>
      <c r="E179" s="300" t="s">
        <v>981</v>
      </c>
      <c r="F179" s="300" t="s">
        <v>985</v>
      </c>
      <c r="G179" s="302">
        <v>34134</v>
      </c>
      <c r="H179" s="300" t="s">
        <v>978</v>
      </c>
      <c r="I179" s="300"/>
      <c r="J179" s="306" t="s">
        <v>105</v>
      </c>
      <c r="K179" s="300"/>
      <c r="L179" s="304" t="s">
        <v>2197</v>
      </c>
      <c r="M179" s="300" t="s">
        <v>7</v>
      </c>
      <c r="N179" s="300"/>
      <c r="O179" s="300"/>
      <c r="P179" s="300" t="s">
        <v>7</v>
      </c>
      <c r="Q179" s="300" t="s">
        <v>7</v>
      </c>
      <c r="R179" s="300" t="s">
        <v>226</v>
      </c>
      <c r="S179" s="300" t="s">
        <v>1981</v>
      </c>
      <c r="T179" s="300" t="s">
        <v>2458</v>
      </c>
      <c r="U179" s="303">
        <v>0.37180000000000002</v>
      </c>
      <c r="V179" s="300" t="s">
        <v>2458</v>
      </c>
      <c r="W179" s="307">
        <v>50</v>
      </c>
      <c r="X179" s="297">
        <f>(1-VLOOKUP(R179,Start!$H$33:$I$40,2,FALSE)/100)*W179</f>
        <v>44.5</v>
      </c>
      <c r="Y179" s="297">
        <f>VLOOKUP(Q179,Start!$C$9:$D$15,2,FALSE)+VLOOKUP(Q179,Start!$C$23:$D$29,2,FALSE)</f>
        <v>23.27</v>
      </c>
      <c r="Z179" s="298">
        <f>(Y179/U179)+Start!$D$19*(VLOOKUP(Q179,Start!$M$33:$N$39,2,FALSE)/U179)+VLOOKUP(R179,Start!$C$33:$D$40,2,FALSE)</f>
        <v>77.386498117267337</v>
      </c>
      <c r="AA179" s="234"/>
      <c r="AB179" s="278"/>
    </row>
    <row r="180" spans="2:28" ht="18.75" customHeight="1" x14ac:dyDescent="0.3">
      <c r="B180" s="229"/>
      <c r="C180" s="289" t="s">
        <v>2485</v>
      </c>
      <c r="D180" s="299" t="s">
        <v>980</v>
      </c>
      <c r="E180" s="300" t="s">
        <v>981</v>
      </c>
      <c r="F180" s="132" t="s">
        <v>982</v>
      </c>
      <c r="G180" s="311">
        <v>34134</v>
      </c>
      <c r="H180" s="312" t="s">
        <v>978</v>
      </c>
      <c r="I180" s="132"/>
      <c r="J180" s="301" t="s">
        <v>105</v>
      </c>
      <c r="K180" s="300"/>
      <c r="L180" s="304" t="s">
        <v>2101</v>
      </c>
      <c r="M180" s="300" t="s">
        <v>47</v>
      </c>
      <c r="N180" s="132" t="s">
        <v>2</v>
      </c>
      <c r="O180" s="300" t="s">
        <v>983</v>
      </c>
      <c r="P180" s="314" t="s">
        <v>2</v>
      </c>
      <c r="Q180" s="300" t="s">
        <v>2</v>
      </c>
      <c r="R180" s="300" t="s">
        <v>2</v>
      </c>
      <c r="S180" s="300" t="s">
        <v>1981</v>
      </c>
      <c r="T180" s="300" t="s">
        <v>2458</v>
      </c>
      <c r="U180" s="303">
        <v>0.37359999999999999</v>
      </c>
      <c r="V180" s="300" t="s">
        <v>2458</v>
      </c>
      <c r="W180" s="315">
        <v>33.5</v>
      </c>
      <c r="X180" s="297">
        <f>(1-VLOOKUP(R180,Start!$H$33:$I$40,2,FALSE)/100)*W180</f>
        <v>29.145</v>
      </c>
      <c r="Y180" s="297">
        <f>VLOOKUP(Q180,Start!$C$9:$D$15,2,FALSE)+VLOOKUP(Q180,Start!$C$23:$D$29,2,FALSE)</f>
        <v>3.1</v>
      </c>
      <c r="Z180" s="298">
        <f>(Y180/U180)+Start!$D$19*(VLOOKUP(Q180,Start!$M$33:$N$39,2,FALSE)/U180)+VLOOKUP(R180,Start!$C$33:$D$40,2,FALSE)</f>
        <v>36.599357601713074</v>
      </c>
      <c r="AA180" s="234"/>
      <c r="AB180" s="278"/>
    </row>
    <row r="181" spans="2:28" ht="18.75" customHeight="1" x14ac:dyDescent="0.3">
      <c r="B181" s="229"/>
      <c r="C181" s="289" t="s">
        <v>2485</v>
      </c>
      <c r="D181" s="299" t="s">
        <v>995</v>
      </c>
      <c r="E181" s="300" t="s">
        <v>996</v>
      </c>
      <c r="F181" s="300" t="s">
        <v>997</v>
      </c>
      <c r="G181" s="302">
        <v>24149</v>
      </c>
      <c r="H181" s="300" t="s">
        <v>994</v>
      </c>
      <c r="I181" s="300"/>
      <c r="J181" s="306" t="s">
        <v>27</v>
      </c>
      <c r="K181" s="300"/>
      <c r="L181" s="304" t="s">
        <v>2024</v>
      </c>
      <c r="M181" s="300" t="s">
        <v>3</v>
      </c>
      <c r="N181" s="300"/>
      <c r="O181" s="300"/>
      <c r="P181" s="314" t="s">
        <v>3</v>
      </c>
      <c r="Q181" s="300" t="s">
        <v>3</v>
      </c>
      <c r="R181" s="300" t="s">
        <v>3</v>
      </c>
      <c r="S181" s="300" t="s">
        <v>1981</v>
      </c>
      <c r="T181" s="300" t="s">
        <v>2458</v>
      </c>
      <c r="U181" s="303">
        <v>0.40500000000000003</v>
      </c>
      <c r="V181" s="300" t="s">
        <v>2458</v>
      </c>
      <c r="W181" s="307">
        <v>323</v>
      </c>
      <c r="X181" s="297">
        <f>(1-VLOOKUP(R181,Start!$H$33:$I$40,2,FALSE)/100)*W181</f>
        <v>251.94</v>
      </c>
      <c r="Y181" s="297">
        <f>VLOOKUP(Q181,Start!$C$9:$D$15,2,FALSE)+VLOOKUP(Q181,Start!$C$23:$D$29,2,FALSE)</f>
        <v>12.53</v>
      </c>
      <c r="Z181" s="298">
        <f>(Y181/U181)+Start!$D$19*(VLOOKUP(Q181,Start!$M$33:$N$39,2,FALSE)/U181)+VLOOKUP(R181,Start!$C$33:$D$40,2,FALSE)</f>
        <v>52.707901234567899</v>
      </c>
      <c r="AA181" s="234"/>
      <c r="AB181" s="278"/>
    </row>
    <row r="182" spans="2:28" ht="18.75" customHeight="1" x14ac:dyDescent="0.3">
      <c r="B182" s="229"/>
      <c r="C182" s="289" t="s">
        <v>2485</v>
      </c>
      <c r="D182" s="299" t="s">
        <v>991</v>
      </c>
      <c r="E182" s="300" t="s">
        <v>992</v>
      </c>
      <c r="F182" s="300" t="s">
        <v>993</v>
      </c>
      <c r="G182" s="311">
        <v>24116</v>
      </c>
      <c r="H182" s="312" t="s">
        <v>994</v>
      </c>
      <c r="I182" s="300"/>
      <c r="J182" s="306" t="s">
        <v>27</v>
      </c>
      <c r="K182" s="300"/>
      <c r="L182" s="304" t="s">
        <v>2198</v>
      </c>
      <c r="M182" s="300" t="s">
        <v>7</v>
      </c>
      <c r="N182" s="300" t="s">
        <v>7</v>
      </c>
      <c r="O182" s="300" t="s">
        <v>377</v>
      </c>
      <c r="P182" s="314" t="s">
        <v>7</v>
      </c>
      <c r="Q182" s="300" t="s">
        <v>7</v>
      </c>
      <c r="R182" s="300" t="s">
        <v>226</v>
      </c>
      <c r="S182" s="300" t="s">
        <v>1981</v>
      </c>
      <c r="T182" s="300" t="s">
        <v>2458</v>
      </c>
      <c r="U182" s="303">
        <v>0.39050000000000001</v>
      </c>
      <c r="V182" s="300" t="s">
        <v>2458</v>
      </c>
      <c r="W182" s="315">
        <v>21.5</v>
      </c>
      <c r="X182" s="297">
        <f>(1-VLOOKUP(R182,Start!$H$33:$I$40,2,FALSE)/100)*W182</f>
        <v>19.135000000000002</v>
      </c>
      <c r="Y182" s="297">
        <f>VLOOKUP(Q182,Start!$C$9:$D$15,2,FALSE)+VLOOKUP(Q182,Start!$C$23:$D$29,2,FALSE)</f>
        <v>23.27</v>
      </c>
      <c r="Z182" s="298">
        <f>(Y182/U182)+Start!$D$19*(VLOOKUP(Q182,Start!$M$33:$N$39,2,FALSE)/U182)+VLOOKUP(R182,Start!$C$33:$D$40,2,FALSE)</f>
        <v>73.75249679897567</v>
      </c>
      <c r="AA182" s="234"/>
      <c r="AB182" s="278"/>
    </row>
    <row r="183" spans="2:28" ht="18.75" customHeight="1" x14ac:dyDescent="0.3">
      <c r="B183" s="229"/>
      <c r="C183" s="289" t="s">
        <v>2485</v>
      </c>
      <c r="D183" s="305" t="s">
        <v>998</v>
      </c>
      <c r="E183" s="300" t="s">
        <v>999</v>
      </c>
      <c r="F183" s="300" t="s">
        <v>1000</v>
      </c>
      <c r="G183" s="302">
        <v>32278</v>
      </c>
      <c r="H183" s="325" t="s">
        <v>1001</v>
      </c>
      <c r="I183" s="300"/>
      <c r="J183" s="306" t="s">
        <v>19</v>
      </c>
      <c r="K183" s="300"/>
      <c r="L183" s="304" t="s">
        <v>2199</v>
      </c>
      <c r="M183" s="300" t="s">
        <v>47</v>
      </c>
      <c r="N183" s="300" t="s">
        <v>7</v>
      </c>
      <c r="O183" s="300" t="s">
        <v>377</v>
      </c>
      <c r="P183" s="300" t="s">
        <v>7</v>
      </c>
      <c r="Q183" s="300" t="s">
        <v>7</v>
      </c>
      <c r="R183" s="300" t="s">
        <v>226</v>
      </c>
      <c r="S183" s="300" t="s">
        <v>1996</v>
      </c>
      <c r="T183" s="300" t="s">
        <v>2458</v>
      </c>
      <c r="U183" s="303">
        <v>0.45450000000000002</v>
      </c>
      <c r="V183" s="300" t="s">
        <v>2458</v>
      </c>
      <c r="W183" s="307">
        <v>146.5</v>
      </c>
      <c r="X183" s="297">
        <f>(1-VLOOKUP(R183,Start!$H$33:$I$40,2,FALSE)/100)*W183</f>
        <v>130.38499999999999</v>
      </c>
      <c r="Y183" s="297">
        <f>VLOOKUP(Q183,Start!$C$9:$D$15,2,FALSE)+VLOOKUP(Q183,Start!$C$23:$D$29,2,FALSE)</f>
        <v>23.27</v>
      </c>
      <c r="Z183" s="298">
        <f>(Y183/U183)+Start!$D$19*(VLOOKUP(Q183,Start!$M$33:$N$39,2,FALSE)/U183)+VLOOKUP(R183,Start!$C$33:$D$40,2,FALSE)</f>
        <v>63.578327832783273</v>
      </c>
      <c r="AA183" s="234"/>
      <c r="AB183" s="278"/>
    </row>
    <row r="184" spans="2:28" ht="18.75" customHeight="1" x14ac:dyDescent="0.3">
      <c r="B184" s="229"/>
      <c r="C184" s="289" t="s">
        <v>2485</v>
      </c>
      <c r="D184" s="299" t="s">
        <v>1012</v>
      </c>
      <c r="E184" s="300" t="s">
        <v>1013</v>
      </c>
      <c r="F184" s="300" t="s">
        <v>1014</v>
      </c>
      <c r="G184" s="311">
        <v>50769</v>
      </c>
      <c r="H184" s="312" t="s">
        <v>1005</v>
      </c>
      <c r="I184" s="313"/>
      <c r="J184" s="306" t="s">
        <v>19</v>
      </c>
      <c r="K184" s="300" t="s">
        <v>327</v>
      </c>
      <c r="L184" s="304" t="s">
        <v>2102</v>
      </c>
      <c r="M184" s="300" t="s">
        <v>2</v>
      </c>
      <c r="N184" s="300"/>
      <c r="O184" s="313"/>
      <c r="P184" s="314" t="s">
        <v>2</v>
      </c>
      <c r="Q184" s="300" t="s">
        <v>2</v>
      </c>
      <c r="R184" s="300" t="s">
        <v>2</v>
      </c>
      <c r="S184" s="300" t="s">
        <v>1981</v>
      </c>
      <c r="T184" s="300" t="s">
        <v>2458</v>
      </c>
      <c r="U184" s="303">
        <v>0.42399999999999999</v>
      </c>
      <c r="V184" s="300" t="s">
        <v>2458</v>
      </c>
      <c r="W184" s="315">
        <v>75.3</v>
      </c>
      <c r="X184" s="297">
        <f>(1-VLOOKUP(R184,Start!$H$33:$I$40,2,FALSE)/100)*W184</f>
        <v>65.510999999999996</v>
      </c>
      <c r="Y184" s="297">
        <f>VLOOKUP(Q184,Start!$C$9:$D$15,2,FALSE)+VLOOKUP(Q184,Start!$C$23:$D$29,2,FALSE)</f>
        <v>3.1</v>
      </c>
      <c r="Z184" s="298">
        <f>(Y184/U184)+Start!$D$19*(VLOOKUP(Q184,Start!$M$33:$N$39,2,FALSE)/U184)+VLOOKUP(R184,Start!$C$33:$D$40,2,FALSE)</f>
        <v>32.450943396226421</v>
      </c>
      <c r="AA184" s="234"/>
      <c r="AB184" s="278"/>
    </row>
    <row r="185" spans="2:28" ht="18.75" customHeight="1" x14ac:dyDescent="0.3">
      <c r="B185" s="229"/>
      <c r="C185" s="289" t="s">
        <v>2485</v>
      </c>
      <c r="D185" s="299" t="s">
        <v>1015</v>
      </c>
      <c r="E185" s="300" t="s">
        <v>1013</v>
      </c>
      <c r="F185" s="300" t="s">
        <v>1016</v>
      </c>
      <c r="G185" s="302">
        <v>50735</v>
      </c>
      <c r="H185" s="300" t="s">
        <v>1005</v>
      </c>
      <c r="I185" s="300"/>
      <c r="J185" s="306" t="s">
        <v>19</v>
      </c>
      <c r="K185" s="300" t="s">
        <v>226</v>
      </c>
      <c r="L185" s="304" t="s">
        <v>2200</v>
      </c>
      <c r="M185" s="300" t="s">
        <v>7</v>
      </c>
      <c r="N185" s="300"/>
      <c r="O185" s="300"/>
      <c r="P185" s="300" t="s">
        <v>7</v>
      </c>
      <c r="Q185" s="300" t="s">
        <v>7</v>
      </c>
      <c r="R185" s="300" t="s">
        <v>226</v>
      </c>
      <c r="S185" s="300" t="s">
        <v>1996</v>
      </c>
      <c r="T185" s="300" t="s">
        <v>2458</v>
      </c>
      <c r="U185" s="303">
        <v>0.57599999999999996</v>
      </c>
      <c r="V185" s="300" t="s">
        <v>2458</v>
      </c>
      <c r="W185" s="307">
        <v>413</v>
      </c>
      <c r="X185" s="297">
        <f>(1-VLOOKUP(R185,Start!$H$33:$I$40,2,FALSE)/100)*W185</f>
        <v>367.57</v>
      </c>
      <c r="Y185" s="297">
        <f>VLOOKUP(Q185,Start!$C$9:$D$15,2,FALSE)+VLOOKUP(Q185,Start!$C$23:$D$29,2,FALSE)</f>
        <v>23.27</v>
      </c>
      <c r="Z185" s="298">
        <f>(Y185/U185)+Start!$D$19*(VLOOKUP(Q185,Start!$M$33:$N$39,2,FALSE)/U185)+VLOOKUP(R185,Start!$C$33:$D$40,2,FALSE)</f>
        <v>50.483680555555559</v>
      </c>
      <c r="AA185" s="234"/>
      <c r="AB185" s="278"/>
    </row>
    <row r="186" spans="2:28" ht="18.75" customHeight="1" x14ac:dyDescent="0.3">
      <c r="B186" s="229"/>
      <c r="C186" s="289" t="s">
        <v>2485</v>
      </c>
      <c r="D186" s="305" t="s">
        <v>1017</v>
      </c>
      <c r="E186" s="300" t="s">
        <v>1013</v>
      </c>
      <c r="F186" s="303" t="s">
        <v>1014</v>
      </c>
      <c r="G186" s="303">
        <v>50769</v>
      </c>
      <c r="H186" s="303" t="s">
        <v>1005</v>
      </c>
      <c r="I186" s="303"/>
      <c r="J186" s="306" t="s">
        <v>19</v>
      </c>
      <c r="K186" s="303" t="s">
        <v>226</v>
      </c>
      <c r="L186" s="304" t="s">
        <v>2201</v>
      </c>
      <c r="M186" s="303" t="s">
        <v>7</v>
      </c>
      <c r="N186" s="303"/>
      <c r="O186" s="303"/>
      <c r="P186" s="303" t="s">
        <v>7</v>
      </c>
      <c r="Q186" s="303" t="s">
        <v>7</v>
      </c>
      <c r="R186" s="300" t="s">
        <v>226</v>
      </c>
      <c r="S186" s="300" t="s">
        <v>1996</v>
      </c>
      <c r="T186" s="300" t="s">
        <v>2458</v>
      </c>
      <c r="U186" s="303">
        <v>0.55800000000000005</v>
      </c>
      <c r="V186" s="300" t="s">
        <v>2458</v>
      </c>
      <c r="W186" s="307">
        <v>108</v>
      </c>
      <c r="X186" s="297">
        <f>(1-VLOOKUP(R186,Start!$H$33:$I$40,2,FALSE)/100)*W186</f>
        <v>96.12</v>
      </c>
      <c r="Y186" s="297">
        <f>VLOOKUP(Q186,Start!$C$9:$D$15,2,FALSE)+VLOOKUP(Q186,Start!$C$23:$D$29,2,FALSE)</f>
        <v>23.27</v>
      </c>
      <c r="Z186" s="298">
        <f>(Y186/U186)+Start!$D$19*(VLOOKUP(Q186,Start!$M$33:$N$39,2,FALSE)/U186)+VLOOKUP(R186,Start!$C$33:$D$40,2,FALSE)</f>
        <v>52.063799283154118</v>
      </c>
      <c r="AA186" s="234"/>
      <c r="AB186" s="278"/>
    </row>
    <row r="187" spans="2:28" ht="18.75" customHeight="1" x14ac:dyDescent="0.3">
      <c r="B187" s="229"/>
      <c r="C187" s="289" t="s">
        <v>2485</v>
      </c>
      <c r="D187" s="299" t="s">
        <v>1024</v>
      </c>
      <c r="E187" s="300" t="s">
        <v>1025</v>
      </c>
      <c r="F187" s="300" t="s">
        <v>1026</v>
      </c>
      <c r="G187" s="302">
        <v>50997</v>
      </c>
      <c r="H187" s="300" t="s">
        <v>1005</v>
      </c>
      <c r="I187" s="300" t="s">
        <v>1027</v>
      </c>
      <c r="J187" s="306" t="s">
        <v>19</v>
      </c>
      <c r="K187" s="300"/>
      <c r="L187" s="304" t="s">
        <v>2299</v>
      </c>
      <c r="M187" s="300" t="s">
        <v>48</v>
      </c>
      <c r="N187" s="300"/>
      <c r="O187" s="300"/>
      <c r="P187" s="300" t="s">
        <v>48</v>
      </c>
      <c r="Q187" s="300" t="s">
        <v>4</v>
      </c>
      <c r="R187" s="300" t="s">
        <v>4</v>
      </c>
      <c r="S187" s="300" t="s">
        <v>1996</v>
      </c>
      <c r="T187" s="300" t="s">
        <v>2458</v>
      </c>
      <c r="U187" s="303">
        <v>0.38</v>
      </c>
      <c r="V187" s="300" t="s">
        <v>2458</v>
      </c>
      <c r="W187" s="307">
        <v>114.4</v>
      </c>
      <c r="X187" s="297">
        <f>(1-VLOOKUP(R187,Start!$H$33:$I$40,2,FALSE)/100)*W187</f>
        <v>97.240000000000009</v>
      </c>
      <c r="Y187" s="297">
        <f>VLOOKUP(Q187,Start!$C$9:$D$15,2,FALSE)+VLOOKUP(Q187,Start!$C$23:$D$29,2,FALSE)</f>
        <v>33.223832923832894</v>
      </c>
      <c r="Z187" s="298">
        <f>(Y187/U187)+Start!$D$19*(VLOOKUP(Q187,Start!$M$33:$N$39,2,FALSE)/U187)+VLOOKUP(R187,Start!$C$33:$D$40,2,FALSE)</f>
        <v>106.55745506271813</v>
      </c>
      <c r="AA187" s="234"/>
      <c r="AB187" s="278"/>
    </row>
    <row r="188" spans="2:28" ht="18.75" customHeight="1" x14ac:dyDescent="0.3">
      <c r="B188" s="229"/>
      <c r="C188" s="289" t="s">
        <v>2485</v>
      </c>
      <c r="D188" s="305" t="s">
        <v>909</v>
      </c>
      <c r="E188" s="300" t="s">
        <v>561</v>
      </c>
      <c r="F188" s="300" t="s">
        <v>910</v>
      </c>
      <c r="G188" s="302">
        <v>50351</v>
      </c>
      <c r="H188" s="300" t="s">
        <v>911</v>
      </c>
      <c r="I188" s="300"/>
      <c r="J188" s="306" t="s">
        <v>19</v>
      </c>
      <c r="K188" s="300"/>
      <c r="L188" s="304" t="s">
        <v>2190</v>
      </c>
      <c r="M188" s="300" t="s">
        <v>7</v>
      </c>
      <c r="N188" s="300"/>
      <c r="O188" s="300"/>
      <c r="P188" s="300" t="s">
        <v>7</v>
      </c>
      <c r="Q188" s="300" t="s">
        <v>7</v>
      </c>
      <c r="R188" s="300" t="s">
        <v>226</v>
      </c>
      <c r="S188" s="300" t="s">
        <v>1996</v>
      </c>
      <c r="T188" s="300" t="s">
        <v>2458</v>
      </c>
      <c r="U188" s="303">
        <v>0.56699999999999995</v>
      </c>
      <c r="V188" s="300" t="s">
        <v>2458</v>
      </c>
      <c r="W188" s="307">
        <v>800</v>
      </c>
      <c r="X188" s="297">
        <f>(1-VLOOKUP(R188,Start!$H$33:$I$40,2,FALSE)/100)*W188</f>
        <v>712</v>
      </c>
      <c r="Y188" s="297">
        <f>VLOOKUP(Q188,Start!$C$9:$D$15,2,FALSE)+VLOOKUP(Q188,Start!$C$23:$D$29,2,FALSE)</f>
        <v>23.27</v>
      </c>
      <c r="Z188" s="298">
        <f>(Y188/U188)+Start!$D$19*(VLOOKUP(Q188,Start!$M$33:$N$39,2,FALSE)/U188)+VLOOKUP(R188,Start!$C$33:$D$40,2,FALSE)</f>
        <v>51.261199294532631</v>
      </c>
      <c r="AA188" s="234"/>
      <c r="AB188" s="278"/>
    </row>
    <row r="189" spans="2:28" ht="18.75" customHeight="1" x14ac:dyDescent="0.3">
      <c r="B189" s="229"/>
      <c r="C189" s="289" t="s">
        <v>2485</v>
      </c>
      <c r="D189" s="305" t="s">
        <v>912</v>
      </c>
      <c r="E189" s="300" t="s">
        <v>561</v>
      </c>
      <c r="F189" s="300" t="s">
        <v>913</v>
      </c>
      <c r="G189" s="302">
        <v>50351</v>
      </c>
      <c r="H189" s="300" t="s">
        <v>911</v>
      </c>
      <c r="I189" s="300"/>
      <c r="J189" s="306" t="s">
        <v>19</v>
      </c>
      <c r="K189" s="300"/>
      <c r="L189" s="304" t="s">
        <v>2191</v>
      </c>
      <c r="M189" s="300" t="s">
        <v>7</v>
      </c>
      <c r="N189" s="300"/>
      <c r="O189" s="300"/>
      <c r="P189" s="300" t="s">
        <v>7</v>
      </c>
      <c r="Q189" s="300" t="s">
        <v>7</v>
      </c>
      <c r="R189" s="300" t="s">
        <v>226</v>
      </c>
      <c r="S189" s="300" t="s">
        <v>1996</v>
      </c>
      <c r="T189" s="300" t="s">
        <v>2458</v>
      </c>
      <c r="U189" s="303">
        <v>0.59850000000000003</v>
      </c>
      <c r="V189" s="300" t="s">
        <v>2458</v>
      </c>
      <c r="W189" s="307">
        <v>430</v>
      </c>
      <c r="X189" s="297">
        <f>(1-VLOOKUP(R189,Start!$H$33:$I$40,2,FALSE)/100)*W189</f>
        <v>382.7</v>
      </c>
      <c r="Y189" s="297">
        <f>VLOOKUP(Q189,Start!$C$9:$D$15,2,FALSE)+VLOOKUP(Q189,Start!$C$23:$D$29,2,FALSE)</f>
        <v>23.27</v>
      </c>
      <c r="Z189" s="298">
        <f>(Y189/U189)+Start!$D$19*(VLOOKUP(Q189,Start!$M$33:$N$39,2,FALSE)/U189)+VLOOKUP(R189,Start!$C$33:$D$40,2,FALSE)</f>
        <v>48.642188805346699</v>
      </c>
      <c r="AA189" s="234"/>
      <c r="AB189" s="278"/>
    </row>
    <row r="190" spans="2:28" ht="18.75" customHeight="1" x14ac:dyDescent="0.3">
      <c r="B190" s="229"/>
      <c r="C190" s="289" t="s">
        <v>2485</v>
      </c>
      <c r="D190" s="299" t="s">
        <v>1069</v>
      </c>
      <c r="E190" s="317" t="s">
        <v>117</v>
      </c>
      <c r="F190" s="303" t="s">
        <v>1070</v>
      </c>
      <c r="G190" s="308">
        <v>47809</v>
      </c>
      <c r="H190" s="303" t="s">
        <v>1059</v>
      </c>
      <c r="I190" s="303" t="s">
        <v>1071</v>
      </c>
      <c r="J190" s="306" t="s">
        <v>19</v>
      </c>
      <c r="K190" s="303" t="s">
        <v>565</v>
      </c>
      <c r="L190" s="304" t="s">
        <v>2205</v>
      </c>
      <c r="M190" s="303" t="s">
        <v>7</v>
      </c>
      <c r="N190" s="303"/>
      <c r="O190" s="303"/>
      <c r="P190" s="303" t="s">
        <v>7</v>
      </c>
      <c r="Q190" s="300" t="s">
        <v>7</v>
      </c>
      <c r="R190" s="300" t="s">
        <v>226</v>
      </c>
      <c r="S190" s="300" t="s">
        <v>1981</v>
      </c>
      <c r="T190" s="300" t="s">
        <v>2458</v>
      </c>
      <c r="U190" s="303">
        <v>0.38390000000000002</v>
      </c>
      <c r="V190" s="300" t="s">
        <v>2458</v>
      </c>
      <c r="W190" s="297">
        <v>25.8</v>
      </c>
      <c r="X190" s="297">
        <f>(1-VLOOKUP(R190,Start!$H$33:$I$40,2,FALSE)/100)*W190</f>
        <v>22.962</v>
      </c>
      <c r="Y190" s="297">
        <f>VLOOKUP(Q190,Start!$C$9:$D$15,2,FALSE)+VLOOKUP(Q190,Start!$C$23:$D$29,2,FALSE)</f>
        <v>23.27</v>
      </c>
      <c r="Z190" s="298">
        <f>(Y190/U190)+Start!$D$19*(VLOOKUP(Q190,Start!$M$33:$N$39,2,FALSE)/U190)+VLOOKUP(R190,Start!$C$33:$D$40,2,FALSE)</f>
        <v>74.99466006772596</v>
      </c>
      <c r="AA190" s="234"/>
      <c r="AB190" s="278"/>
    </row>
    <row r="191" spans="2:28" ht="18.75" customHeight="1" x14ac:dyDescent="0.3">
      <c r="B191" s="229"/>
      <c r="C191" s="289" t="s">
        <v>2485</v>
      </c>
      <c r="D191" s="299" t="s">
        <v>1072</v>
      </c>
      <c r="E191" s="317" t="s">
        <v>117</v>
      </c>
      <c r="F191" s="303" t="s">
        <v>1073</v>
      </c>
      <c r="G191" s="308">
        <v>47809</v>
      </c>
      <c r="H191" s="303" t="s">
        <v>1059</v>
      </c>
      <c r="I191" s="303" t="s">
        <v>1071</v>
      </c>
      <c r="J191" s="306" t="s">
        <v>19</v>
      </c>
      <c r="K191" s="303" t="s">
        <v>1074</v>
      </c>
      <c r="L191" s="304" t="s">
        <v>2205</v>
      </c>
      <c r="M191" s="303" t="s">
        <v>7</v>
      </c>
      <c r="N191" s="303"/>
      <c r="O191" s="303" t="s">
        <v>1075</v>
      </c>
      <c r="P191" s="303" t="s">
        <v>7</v>
      </c>
      <c r="Q191" s="300" t="s">
        <v>7</v>
      </c>
      <c r="R191" s="300" t="s">
        <v>226</v>
      </c>
      <c r="S191" s="300" t="s">
        <v>1986</v>
      </c>
      <c r="T191" s="300" t="s">
        <v>2458</v>
      </c>
      <c r="U191" s="303">
        <v>0.44059999999999999</v>
      </c>
      <c r="V191" s="300" t="s">
        <v>2458</v>
      </c>
      <c r="W191" s="297">
        <v>14</v>
      </c>
      <c r="X191" s="297">
        <f>(1-VLOOKUP(R191,Start!$H$33:$I$40,2,FALSE)/100)*W191</f>
        <v>12.46</v>
      </c>
      <c r="Y191" s="297">
        <f>VLOOKUP(Q191,Start!$C$9:$D$15,2,FALSE)+VLOOKUP(Q191,Start!$C$23:$D$29,2,FALSE)</f>
        <v>23.27</v>
      </c>
      <c r="Z191" s="298">
        <f>(Y191/U191)+Start!$D$19*(VLOOKUP(Q191,Start!$M$33:$N$39,2,FALSE)/U191)+VLOOKUP(R191,Start!$C$33:$D$40,2,FALSE)</f>
        <v>65.536768043576942</v>
      </c>
      <c r="AA191" s="234"/>
      <c r="AB191" s="278"/>
    </row>
    <row r="192" spans="2:28" ht="18.75" customHeight="1" x14ac:dyDescent="0.3">
      <c r="B192" s="229"/>
      <c r="C192" s="289" t="s">
        <v>2485</v>
      </c>
      <c r="D192" s="305" t="s">
        <v>1079</v>
      </c>
      <c r="E192" s="300" t="s">
        <v>1080</v>
      </c>
      <c r="F192" s="300" t="s">
        <v>1081</v>
      </c>
      <c r="G192" s="302">
        <v>47812</v>
      </c>
      <c r="H192" s="300" t="s">
        <v>1082</v>
      </c>
      <c r="I192" s="300" t="s">
        <v>1083</v>
      </c>
      <c r="J192" s="306" t="s">
        <v>19</v>
      </c>
      <c r="K192" s="300"/>
      <c r="L192" s="304" t="s">
        <v>2025</v>
      </c>
      <c r="M192" s="300" t="s">
        <v>47</v>
      </c>
      <c r="N192" s="300" t="s">
        <v>3</v>
      </c>
      <c r="O192" s="300" t="s">
        <v>1084</v>
      </c>
      <c r="P192" s="300" t="s">
        <v>3</v>
      </c>
      <c r="Q192" s="300" t="s">
        <v>3</v>
      </c>
      <c r="R192" s="300" t="s">
        <v>3</v>
      </c>
      <c r="S192" s="300" t="s">
        <v>1981</v>
      </c>
      <c r="T192" s="300" t="s">
        <v>2458</v>
      </c>
      <c r="U192" s="303">
        <v>0.3175</v>
      </c>
      <c r="V192" s="300" t="s">
        <v>2458</v>
      </c>
      <c r="W192" s="307">
        <v>26</v>
      </c>
      <c r="X192" s="297">
        <f>(1-VLOOKUP(R192,Start!$H$33:$I$40,2,FALSE)/100)*W192</f>
        <v>20.28</v>
      </c>
      <c r="Y192" s="297">
        <f>VLOOKUP(Q192,Start!$C$9:$D$15,2,FALSE)+VLOOKUP(Q192,Start!$C$23:$D$29,2,FALSE)</f>
        <v>12.53</v>
      </c>
      <c r="Z192" s="298">
        <f>(Y192/U192)+Start!$D$19*(VLOOKUP(Q192,Start!$M$33:$N$39,2,FALSE)/U192)+VLOOKUP(R192,Start!$C$33:$D$40,2,FALSE)</f>
        <v>66.875433070866151</v>
      </c>
      <c r="AA192" s="234"/>
      <c r="AB192" s="278"/>
    </row>
    <row r="193" spans="2:28" ht="18.75" customHeight="1" x14ac:dyDescent="0.3">
      <c r="B193" s="229"/>
      <c r="C193" s="289" t="s">
        <v>2485</v>
      </c>
      <c r="D193" s="305" t="s">
        <v>1085</v>
      </c>
      <c r="E193" s="300" t="s">
        <v>1080</v>
      </c>
      <c r="F193" s="300" t="s">
        <v>1086</v>
      </c>
      <c r="G193" s="302">
        <v>47812</v>
      </c>
      <c r="H193" s="300" t="s">
        <v>1082</v>
      </c>
      <c r="I193" s="300" t="s">
        <v>1087</v>
      </c>
      <c r="J193" s="306" t="s">
        <v>19</v>
      </c>
      <c r="K193" s="300"/>
      <c r="L193" s="304" t="s">
        <v>2026</v>
      </c>
      <c r="M193" s="300" t="s">
        <v>47</v>
      </c>
      <c r="N193" s="300" t="s">
        <v>3</v>
      </c>
      <c r="O193" s="300" t="s">
        <v>1088</v>
      </c>
      <c r="P193" s="300" t="s">
        <v>3</v>
      </c>
      <c r="Q193" s="300" t="s">
        <v>3</v>
      </c>
      <c r="R193" s="300" t="s">
        <v>3</v>
      </c>
      <c r="S193" s="300" t="s">
        <v>1981</v>
      </c>
      <c r="T193" s="300" t="s">
        <v>2458</v>
      </c>
      <c r="U193" s="303">
        <v>0.35249999999999998</v>
      </c>
      <c r="V193" s="300" t="s">
        <v>2458</v>
      </c>
      <c r="W193" s="307">
        <v>110</v>
      </c>
      <c r="X193" s="297">
        <f>(1-VLOOKUP(R193,Start!$H$33:$I$40,2,FALSE)/100)*W193</f>
        <v>85.8</v>
      </c>
      <c r="Y193" s="297">
        <f>VLOOKUP(Q193,Start!$C$9:$D$15,2,FALSE)+VLOOKUP(Q193,Start!$C$23:$D$29,2,FALSE)</f>
        <v>12.53</v>
      </c>
      <c r="Z193" s="298">
        <f>(Y193/U193)+Start!$D$19*(VLOOKUP(Q193,Start!$M$33:$N$39,2,FALSE)/U193)+VLOOKUP(R193,Start!$C$33:$D$40,2,FALSE)</f>
        <v>60.364397163120572</v>
      </c>
      <c r="AA193" s="234"/>
      <c r="AB193" s="278"/>
    </row>
    <row r="194" spans="2:28" ht="18.75" customHeight="1" x14ac:dyDescent="0.3">
      <c r="B194" s="229"/>
      <c r="C194" s="289" t="s">
        <v>2485</v>
      </c>
      <c r="D194" s="299" t="s">
        <v>1106</v>
      </c>
      <c r="E194" s="313" t="s">
        <v>561</v>
      </c>
      <c r="F194" s="300" t="s">
        <v>1107</v>
      </c>
      <c r="G194" s="311">
        <v>31628</v>
      </c>
      <c r="H194" s="312" t="s">
        <v>1105</v>
      </c>
      <c r="I194" s="300"/>
      <c r="J194" s="306" t="s">
        <v>22</v>
      </c>
      <c r="K194" s="300" t="s">
        <v>96</v>
      </c>
      <c r="L194" s="304" t="s">
        <v>2117</v>
      </c>
      <c r="M194" s="300" t="s">
        <v>7</v>
      </c>
      <c r="N194" s="300"/>
      <c r="O194" s="300"/>
      <c r="P194" s="314" t="s">
        <v>7</v>
      </c>
      <c r="Q194" s="300" t="s">
        <v>7</v>
      </c>
      <c r="R194" s="300" t="s">
        <v>96</v>
      </c>
      <c r="S194" s="300" t="s">
        <v>2115</v>
      </c>
      <c r="T194" s="300" t="s">
        <v>2458</v>
      </c>
      <c r="U194" s="303">
        <v>0.30980000000000002</v>
      </c>
      <c r="V194" s="300" t="s">
        <v>2458</v>
      </c>
      <c r="W194" s="315">
        <v>56</v>
      </c>
      <c r="X194" s="297">
        <f>(1-VLOOKUP(R194,Start!$H$33:$I$40,2,FALSE)/100)*W194</f>
        <v>49.84</v>
      </c>
      <c r="Y194" s="297">
        <f>VLOOKUP(Q194,Start!$C$9:$D$15,2,FALSE)+VLOOKUP(Q194,Start!$C$23:$D$29,2,FALSE)</f>
        <v>23.27</v>
      </c>
      <c r="Z194" s="298">
        <f>(Y194/U194)+Start!$D$19*(VLOOKUP(Q194,Start!$M$33:$N$39,2,FALSE)/U194)+VLOOKUP(R194,Start!$C$33:$D$40,2,FALSE)</f>
        <v>92.073595868302121</v>
      </c>
      <c r="AA194" s="234"/>
      <c r="AB194" s="278"/>
    </row>
    <row r="195" spans="2:28" ht="18.75" customHeight="1" x14ac:dyDescent="0.3">
      <c r="B195" s="229"/>
      <c r="C195" s="289" t="s">
        <v>2485</v>
      </c>
      <c r="D195" s="299" t="s">
        <v>1112</v>
      </c>
      <c r="E195" s="300" t="s">
        <v>227</v>
      </c>
      <c r="F195" s="300" t="s">
        <v>1113</v>
      </c>
      <c r="G195" s="302">
        <v>4105</v>
      </c>
      <c r="H195" s="300" t="s">
        <v>1114</v>
      </c>
      <c r="I195" s="300"/>
      <c r="J195" s="306" t="s">
        <v>78</v>
      </c>
      <c r="K195" s="300"/>
      <c r="L195" s="304" t="s">
        <v>2209</v>
      </c>
      <c r="M195" s="300" t="s">
        <v>47</v>
      </c>
      <c r="N195" s="300" t="s">
        <v>7</v>
      </c>
      <c r="O195" s="300" t="s">
        <v>408</v>
      </c>
      <c r="P195" s="300" t="s">
        <v>7</v>
      </c>
      <c r="Q195" s="300" t="s">
        <v>7</v>
      </c>
      <c r="R195" s="300" t="s">
        <v>226</v>
      </c>
      <c r="S195" s="300" t="s">
        <v>1996</v>
      </c>
      <c r="T195" s="300" t="s">
        <v>2458</v>
      </c>
      <c r="U195" s="303">
        <v>0.58499999999999996</v>
      </c>
      <c r="V195" s="300" t="s">
        <v>2458</v>
      </c>
      <c r="W195" s="307">
        <v>167</v>
      </c>
      <c r="X195" s="297">
        <f>(1-VLOOKUP(R195,Start!$H$33:$I$40,2,FALSE)/100)*W195</f>
        <v>148.63</v>
      </c>
      <c r="Y195" s="297">
        <f>VLOOKUP(Q195,Start!$C$9:$D$15,2,FALSE)+VLOOKUP(Q195,Start!$C$23:$D$29,2,FALSE)</f>
        <v>23.27</v>
      </c>
      <c r="Z195" s="298">
        <f>(Y195/U195)+Start!$D$19*(VLOOKUP(Q195,Start!$M$33:$N$39,2,FALSE)/U195)+VLOOKUP(R195,Start!$C$33:$D$40,2,FALSE)</f>
        <v>49.73008547008547</v>
      </c>
      <c r="AA195" s="234"/>
      <c r="AB195" s="278"/>
    </row>
    <row r="196" spans="2:28" ht="18.75" customHeight="1" x14ac:dyDescent="0.3">
      <c r="B196" s="229"/>
      <c r="C196" s="289" t="s">
        <v>2485</v>
      </c>
      <c r="D196" s="305" t="s">
        <v>1128</v>
      </c>
      <c r="E196" s="300" t="s">
        <v>641</v>
      </c>
      <c r="F196" s="300" t="s">
        <v>1129</v>
      </c>
      <c r="G196" s="302">
        <v>6237</v>
      </c>
      <c r="H196" s="300" t="s">
        <v>1130</v>
      </c>
      <c r="I196" s="300" t="s">
        <v>1131</v>
      </c>
      <c r="J196" s="306" t="s">
        <v>38</v>
      </c>
      <c r="K196" s="300" t="s">
        <v>1132</v>
      </c>
      <c r="L196" s="304" t="s">
        <v>2358</v>
      </c>
      <c r="M196" s="300" t="s">
        <v>6</v>
      </c>
      <c r="N196" s="300"/>
      <c r="O196" s="300"/>
      <c r="P196" s="314" t="s">
        <v>6</v>
      </c>
      <c r="Q196" s="300" t="s">
        <v>6</v>
      </c>
      <c r="R196" s="300" t="s">
        <v>6</v>
      </c>
      <c r="S196" s="300" t="s">
        <v>1981</v>
      </c>
      <c r="T196" s="300" t="s">
        <v>2458</v>
      </c>
      <c r="U196" s="303">
        <v>0.33</v>
      </c>
      <c r="V196" s="300" t="s">
        <v>2458</v>
      </c>
      <c r="W196" s="307">
        <v>16.25</v>
      </c>
      <c r="X196" s="297">
        <f>(1-VLOOKUP(R196,Start!$H$33:$I$40,2,FALSE)/100)*W196</f>
        <v>13.8125</v>
      </c>
      <c r="Y196" s="297">
        <f>VLOOKUP(Q196,Start!$C$9:$D$15,2,FALSE)+VLOOKUP(Q196,Start!$C$23:$D$29,2,FALSE)</f>
        <v>0</v>
      </c>
      <c r="Z196" s="298">
        <f>(Y196/U196)+Start!$D$19*(VLOOKUP(Q196,Start!$M$33:$N$39,2,FALSE)/U196)+VLOOKUP(R196,Start!$C$33:$D$40,2,FALSE)</f>
        <v>1</v>
      </c>
      <c r="AA196" s="234"/>
      <c r="AB196" s="278"/>
    </row>
    <row r="197" spans="2:28" ht="18.75" customHeight="1" x14ac:dyDescent="0.3">
      <c r="B197" s="229"/>
      <c r="C197" s="289" t="s">
        <v>2485</v>
      </c>
      <c r="D197" s="305" t="s">
        <v>1134</v>
      </c>
      <c r="E197" s="300" t="s">
        <v>641</v>
      </c>
      <c r="F197" s="300" t="s">
        <v>1129</v>
      </c>
      <c r="G197" s="301">
        <v>6237</v>
      </c>
      <c r="H197" s="301" t="s">
        <v>1130</v>
      </c>
      <c r="I197" s="301" t="s">
        <v>1131</v>
      </c>
      <c r="J197" s="306" t="s">
        <v>38</v>
      </c>
      <c r="K197" s="301" t="s">
        <v>1135</v>
      </c>
      <c r="L197" s="304" t="s">
        <v>2359</v>
      </c>
      <c r="M197" s="301" t="s">
        <v>6</v>
      </c>
      <c r="N197" s="301"/>
      <c r="O197" s="301"/>
      <c r="P197" s="314" t="s">
        <v>6</v>
      </c>
      <c r="Q197" s="300" t="s">
        <v>6</v>
      </c>
      <c r="R197" s="300" t="s">
        <v>6</v>
      </c>
      <c r="S197" s="300" t="s">
        <v>1981</v>
      </c>
      <c r="T197" s="300" t="s">
        <v>2458</v>
      </c>
      <c r="U197" s="303">
        <v>0.33</v>
      </c>
      <c r="V197" s="300" t="s">
        <v>2458</v>
      </c>
      <c r="W197" s="301">
        <v>16.25</v>
      </c>
      <c r="X197" s="297">
        <f>(1-VLOOKUP(R197,Start!$H$33:$I$40,2,FALSE)/100)*W197</f>
        <v>13.8125</v>
      </c>
      <c r="Y197" s="297">
        <f>VLOOKUP(Q197,Start!$C$9:$D$15,2,FALSE)+VLOOKUP(Q197,Start!$C$23:$D$29,2,FALSE)</f>
        <v>0</v>
      </c>
      <c r="Z197" s="298">
        <f>(Y197/U197)+Start!$D$19*(VLOOKUP(Q197,Start!$M$33:$N$39,2,FALSE)/U197)+VLOOKUP(R197,Start!$C$33:$D$40,2,FALSE)</f>
        <v>1</v>
      </c>
      <c r="AA197" s="234"/>
      <c r="AB197" s="278"/>
    </row>
    <row r="198" spans="2:28" ht="18.75" customHeight="1" x14ac:dyDescent="0.3">
      <c r="B198" s="229"/>
      <c r="C198" s="289" t="s">
        <v>2485</v>
      </c>
      <c r="D198" s="299" t="s">
        <v>1136</v>
      </c>
      <c r="E198" s="300" t="s">
        <v>1133</v>
      </c>
      <c r="F198" s="132" t="s">
        <v>1137</v>
      </c>
      <c r="G198" s="311">
        <v>6237</v>
      </c>
      <c r="H198" s="312" t="s">
        <v>1130</v>
      </c>
      <c r="I198" s="132"/>
      <c r="J198" s="301" t="s">
        <v>38</v>
      </c>
      <c r="K198" s="300"/>
      <c r="L198" s="304" t="s">
        <v>2173</v>
      </c>
      <c r="M198" s="300" t="s">
        <v>7</v>
      </c>
      <c r="N198" s="132"/>
      <c r="O198" s="300"/>
      <c r="P198" s="300" t="s">
        <v>7</v>
      </c>
      <c r="Q198" s="300" t="s">
        <v>7</v>
      </c>
      <c r="R198" s="300" t="s">
        <v>226</v>
      </c>
      <c r="S198" s="300" t="s">
        <v>1996</v>
      </c>
      <c r="T198" s="300" t="s">
        <v>2458</v>
      </c>
      <c r="U198" s="303">
        <v>0.53100000000000003</v>
      </c>
      <c r="V198" s="300" t="s">
        <v>2458</v>
      </c>
      <c r="W198" s="315">
        <v>39</v>
      </c>
      <c r="X198" s="297">
        <f>(1-VLOOKUP(R198,Start!$H$33:$I$40,2,FALSE)/100)*W198</f>
        <v>34.71</v>
      </c>
      <c r="Y198" s="297">
        <f>VLOOKUP(Q198,Start!$C$9:$D$15,2,FALSE)+VLOOKUP(Q198,Start!$C$23:$D$29,2,FALSE)</f>
        <v>23.27</v>
      </c>
      <c r="Z198" s="298">
        <f>(Y198/U198)+Start!$D$19*(VLOOKUP(Q198,Start!$M$33:$N$39,2,FALSE)/U198)+VLOOKUP(R198,Start!$C$33:$D$40,2,FALSE)</f>
        <v>54.63483992467043</v>
      </c>
      <c r="AA198" s="234"/>
      <c r="AB198" s="278"/>
    </row>
    <row r="199" spans="2:28" ht="18.75" customHeight="1" x14ac:dyDescent="0.3">
      <c r="B199" s="229"/>
      <c r="C199" s="289" t="s">
        <v>2485</v>
      </c>
      <c r="D199" s="299" t="s">
        <v>1138</v>
      </c>
      <c r="E199" s="300" t="s">
        <v>1133</v>
      </c>
      <c r="F199" s="132" t="s">
        <v>1139</v>
      </c>
      <c r="G199" s="311">
        <v>6237</v>
      </c>
      <c r="H199" s="312" t="s">
        <v>1130</v>
      </c>
      <c r="I199" s="132"/>
      <c r="J199" s="301" t="s">
        <v>38</v>
      </c>
      <c r="K199" s="300" t="s">
        <v>576</v>
      </c>
      <c r="L199" s="304" t="s">
        <v>2212</v>
      </c>
      <c r="M199" s="300" t="s">
        <v>7</v>
      </c>
      <c r="N199" s="132"/>
      <c r="O199" s="300"/>
      <c r="P199" s="314" t="s">
        <v>7</v>
      </c>
      <c r="Q199" s="300" t="s">
        <v>7</v>
      </c>
      <c r="R199" s="300" t="s">
        <v>226</v>
      </c>
      <c r="S199" s="300" t="s">
        <v>1996</v>
      </c>
      <c r="T199" s="300" t="s">
        <v>2458</v>
      </c>
      <c r="U199" s="303">
        <v>0.51300000000000001</v>
      </c>
      <c r="V199" s="300" t="s">
        <v>2458</v>
      </c>
      <c r="W199" s="315">
        <v>35</v>
      </c>
      <c r="X199" s="297">
        <f>(1-VLOOKUP(R199,Start!$H$33:$I$40,2,FALSE)/100)*W199</f>
        <v>31.150000000000002</v>
      </c>
      <c r="Y199" s="297">
        <f>VLOOKUP(Q199,Start!$C$9:$D$15,2,FALSE)+VLOOKUP(Q199,Start!$C$23:$D$29,2,FALSE)</f>
        <v>23.27</v>
      </c>
      <c r="Z199" s="298">
        <f>(Y199/U199)+Start!$D$19*(VLOOKUP(Q199,Start!$M$33:$N$39,2,FALSE)/U199)+VLOOKUP(R199,Start!$C$33:$D$40,2,FALSE)</f>
        <v>56.499220272904481</v>
      </c>
      <c r="AA199" s="234"/>
      <c r="AB199" s="278"/>
    </row>
    <row r="200" spans="2:28" ht="18.75" customHeight="1" x14ac:dyDescent="0.3">
      <c r="B200" s="229"/>
      <c r="C200" s="289" t="s">
        <v>2485</v>
      </c>
      <c r="D200" s="299" t="s">
        <v>1140</v>
      </c>
      <c r="E200" s="300" t="s">
        <v>1141</v>
      </c>
      <c r="F200" s="300" t="s">
        <v>1139</v>
      </c>
      <c r="G200" s="302">
        <v>6237</v>
      </c>
      <c r="H200" s="300" t="s">
        <v>1130</v>
      </c>
      <c r="I200" s="300"/>
      <c r="J200" s="306" t="s">
        <v>38</v>
      </c>
      <c r="K200" s="300" t="s">
        <v>578</v>
      </c>
      <c r="L200" s="304" t="s">
        <v>2212</v>
      </c>
      <c r="M200" s="300" t="s">
        <v>7</v>
      </c>
      <c r="N200" s="300"/>
      <c r="O200" s="300"/>
      <c r="P200" s="300" t="s">
        <v>7</v>
      </c>
      <c r="Q200" s="300" t="s">
        <v>7</v>
      </c>
      <c r="R200" s="300" t="s">
        <v>226</v>
      </c>
      <c r="S200" s="300" t="s">
        <v>1996</v>
      </c>
      <c r="T200" s="300" t="s">
        <v>2458</v>
      </c>
      <c r="U200" s="303">
        <v>0.51300000000000001</v>
      </c>
      <c r="V200" s="300" t="s">
        <v>2458</v>
      </c>
      <c r="W200" s="307">
        <v>35</v>
      </c>
      <c r="X200" s="297">
        <f>(1-VLOOKUP(R200,Start!$H$33:$I$40,2,FALSE)/100)*W200</f>
        <v>31.150000000000002</v>
      </c>
      <c r="Y200" s="297">
        <f>VLOOKUP(Q200,Start!$C$9:$D$15,2,FALSE)+VLOOKUP(Q200,Start!$C$23:$D$29,2,FALSE)</f>
        <v>23.27</v>
      </c>
      <c r="Z200" s="298">
        <f>(Y200/U200)+Start!$D$19*(VLOOKUP(Q200,Start!$M$33:$N$39,2,FALSE)/U200)+VLOOKUP(R200,Start!$C$33:$D$40,2,FALSE)</f>
        <v>56.499220272904481</v>
      </c>
      <c r="AA200" s="234"/>
      <c r="AB200" s="278"/>
    </row>
    <row r="201" spans="2:28" ht="18.75" customHeight="1" x14ac:dyDescent="0.3">
      <c r="B201" s="229"/>
      <c r="C201" s="289" t="s">
        <v>2485</v>
      </c>
      <c r="D201" s="299" t="s">
        <v>1142</v>
      </c>
      <c r="E201" s="300" t="s">
        <v>1133</v>
      </c>
      <c r="F201" s="300" t="s">
        <v>1139</v>
      </c>
      <c r="G201" s="302">
        <v>6237</v>
      </c>
      <c r="H201" s="300" t="s">
        <v>1130</v>
      </c>
      <c r="I201" s="300"/>
      <c r="J201" s="306" t="s">
        <v>38</v>
      </c>
      <c r="K201" s="300" t="s">
        <v>1143</v>
      </c>
      <c r="L201" s="304" t="s">
        <v>2212</v>
      </c>
      <c r="M201" s="300" t="s">
        <v>7</v>
      </c>
      <c r="N201" s="300"/>
      <c r="O201" s="300"/>
      <c r="P201" s="300" t="s">
        <v>7</v>
      </c>
      <c r="Q201" s="300" t="s">
        <v>7</v>
      </c>
      <c r="R201" s="300" t="s">
        <v>226</v>
      </c>
      <c r="S201" s="300" t="s">
        <v>1996</v>
      </c>
      <c r="T201" s="300" t="s">
        <v>2458</v>
      </c>
      <c r="U201" s="303">
        <v>0.51300000000000001</v>
      </c>
      <c r="V201" s="300" t="s">
        <v>2458</v>
      </c>
      <c r="W201" s="307">
        <v>37</v>
      </c>
      <c r="X201" s="297">
        <f>(1-VLOOKUP(R201,Start!$H$33:$I$40,2,FALSE)/100)*W201</f>
        <v>32.93</v>
      </c>
      <c r="Y201" s="297">
        <f>VLOOKUP(Q201,Start!$C$9:$D$15,2,FALSE)+VLOOKUP(Q201,Start!$C$23:$D$29,2,FALSE)</f>
        <v>23.27</v>
      </c>
      <c r="Z201" s="298">
        <f>(Y201/U201)+Start!$D$19*(VLOOKUP(Q201,Start!$M$33:$N$39,2,FALSE)/U201)+VLOOKUP(R201,Start!$C$33:$D$40,2,FALSE)</f>
        <v>56.499220272904481</v>
      </c>
      <c r="AA201" s="234"/>
      <c r="AB201" s="278"/>
    </row>
    <row r="202" spans="2:28" ht="18.75" customHeight="1" x14ac:dyDescent="0.3">
      <c r="B202" s="229"/>
      <c r="C202" s="289" t="s">
        <v>2485</v>
      </c>
      <c r="D202" s="305" t="s">
        <v>1144</v>
      </c>
      <c r="E202" s="300" t="s">
        <v>1141</v>
      </c>
      <c r="F202" s="300" t="s">
        <v>1145</v>
      </c>
      <c r="G202" s="302">
        <v>6237</v>
      </c>
      <c r="H202" s="300" t="s">
        <v>1130</v>
      </c>
      <c r="I202" s="300"/>
      <c r="J202" s="306" t="s">
        <v>38</v>
      </c>
      <c r="K202" s="300"/>
      <c r="L202" s="304" t="s">
        <v>1988</v>
      </c>
      <c r="M202" s="300" t="s">
        <v>48</v>
      </c>
      <c r="N202" s="300"/>
      <c r="O202" s="300"/>
      <c r="P202" s="300" t="s">
        <v>48</v>
      </c>
      <c r="Q202" s="300" t="s">
        <v>4</v>
      </c>
      <c r="R202" s="300" t="s">
        <v>4</v>
      </c>
      <c r="S202" s="300" t="s">
        <v>1996</v>
      </c>
      <c r="T202" s="300" t="s">
        <v>2458</v>
      </c>
      <c r="U202" s="303">
        <v>0.38</v>
      </c>
      <c r="V202" s="300" t="s">
        <v>2458</v>
      </c>
      <c r="W202" s="307">
        <v>92.5</v>
      </c>
      <c r="X202" s="297">
        <f>(1-VLOOKUP(R202,Start!$H$33:$I$40,2,FALSE)/100)*W202</f>
        <v>78.625</v>
      </c>
      <c r="Y202" s="297">
        <f>VLOOKUP(Q202,Start!$C$9:$D$15,2,FALSE)+VLOOKUP(Q202,Start!$C$23:$D$29,2,FALSE)</f>
        <v>33.223832923832894</v>
      </c>
      <c r="Z202" s="298">
        <f>(Y202/U202)+Start!$D$19*(VLOOKUP(Q202,Start!$M$33:$N$39,2,FALSE)/U202)+VLOOKUP(R202,Start!$C$33:$D$40,2,FALSE)</f>
        <v>106.55745506271813</v>
      </c>
      <c r="AA202" s="234"/>
      <c r="AB202" s="278"/>
    </row>
    <row r="203" spans="2:28" ht="18.75" customHeight="1" x14ac:dyDescent="0.3">
      <c r="B203" s="229"/>
      <c r="C203" s="289" t="s">
        <v>2485</v>
      </c>
      <c r="D203" s="305" t="s">
        <v>1146</v>
      </c>
      <c r="E203" s="300" t="s">
        <v>1133</v>
      </c>
      <c r="F203" s="300" t="s">
        <v>1139</v>
      </c>
      <c r="G203" s="302">
        <v>6237</v>
      </c>
      <c r="H203" s="300" t="s">
        <v>1130</v>
      </c>
      <c r="I203" s="300"/>
      <c r="J203" s="306" t="s">
        <v>38</v>
      </c>
      <c r="K203" s="300" t="s">
        <v>1147</v>
      </c>
      <c r="L203" s="304" t="s">
        <v>2212</v>
      </c>
      <c r="M203" s="300" t="s">
        <v>419</v>
      </c>
      <c r="N203" s="300" t="s">
        <v>1148</v>
      </c>
      <c r="O203" s="300"/>
      <c r="P203" s="300" t="s">
        <v>214</v>
      </c>
      <c r="Q203" s="300" t="s">
        <v>7</v>
      </c>
      <c r="R203" s="300" t="s">
        <v>226</v>
      </c>
      <c r="S203" s="300" t="s">
        <v>1996</v>
      </c>
      <c r="T203" s="300" t="s">
        <v>2458</v>
      </c>
      <c r="U203" s="303">
        <v>0.495</v>
      </c>
      <c r="V203" s="303" t="s">
        <v>2461</v>
      </c>
      <c r="W203" s="307">
        <v>8.6999999999999993</v>
      </c>
      <c r="X203" s="297">
        <f>(1-VLOOKUP(R203,Start!$H$33:$I$40,2,FALSE)/100)*W203</f>
        <v>7.7429999999999994</v>
      </c>
      <c r="Y203" s="297">
        <f>VLOOKUP(Q203,Start!$C$9:$D$15,2,FALSE)+VLOOKUP(Q203,Start!$C$23:$D$29,2,FALSE)</f>
        <v>23.27</v>
      </c>
      <c r="Z203" s="298">
        <f>(Y203/U203)+Start!$D$19*(VLOOKUP(Q203,Start!$M$33:$N$39,2,FALSE)/U203)+VLOOKUP(R203,Start!$C$33:$D$40,2,FALSE)</f>
        <v>58.499191919191922</v>
      </c>
      <c r="AA203" s="234"/>
      <c r="AB203" s="278"/>
    </row>
    <row r="204" spans="2:28" ht="18.75" customHeight="1" x14ac:dyDescent="0.3">
      <c r="B204" s="229"/>
      <c r="C204" s="289" t="s">
        <v>2485</v>
      </c>
      <c r="D204" s="305" t="s">
        <v>1149</v>
      </c>
      <c r="E204" s="300" t="s">
        <v>1133</v>
      </c>
      <c r="F204" s="300" t="s">
        <v>1150</v>
      </c>
      <c r="G204" s="302">
        <v>6237</v>
      </c>
      <c r="H204" s="300" t="s">
        <v>1130</v>
      </c>
      <c r="I204" s="300"/>
      <c r="J204" s="306" t="s">
        <v>38</v>
      </c>
      <c r="K204" s="300" t="s">
        <v>1151</v>
      </c>
      <c r="L204" s="304" t="s">
        <v>2322</v>
      </c>
      <c r="M204" s="300" t="s">
        <v>419</v>
      </c>
      <c r="N204" s="300" t="s">
        <v>1148</v>
      </c>
      <c r="O204" s="300"/>
      <c r="P204" s="300" t="s">
        <v>214</v>
      </c>
      <c r="Q204" s="300" t="s">
        <v>7</v>
      </c>
      <c r="R204" s="300" t="s">
        <v>226</v>
      </c>
      <c r="S204" s="300" t="s">
        <v>1981</v>
      </c>
      <c r="T204" s="300" t="s">
        <v>2458</v>
      </c>
      <c r="U204" s="303">
        <v>0.38500000000000001</v>
      </c>
      <c r="V204" s="303" t="s">
        <v>2461</v>
      </c>
      <c r="W204" s="307">
        <v>14</v>
      </c>
      <c r="X204" s="297">
        <f>(1-VLOOKUP(R204,Start!$H$33:$I$40,2,FALSE)/100)*W204</f>
        <v>12.46</v>
      </c>
      <c r="Y204" s="297">
        <f>VLOOKUP(Q204,Start!$C$9:$D$15,2,FALSE)+VLOOKUP(Q204,Start!$C$23:$D$29,2,FALSE)</f>
        <v>23.27</v>
      </c>
      <c r="Z204" s="298">
        <f>(Y204/U204)+Start!$D$19*(VLOOKUP(Q204,Start!$M$33:$N$39,2,FALSE)/U204)+VLOOKUP(R204,Start!$C$33:$D$40,2,FALSE)</f>
        <v>74.784675324675334</v>
      </c>
      <c r="AA204" s="234"/>
      <c r="AB204" s="278"/>
    </row>
    <row r="205" spans="2:28" ht="18.75" customHeight="1" x14ac:dyDescent="0.3">
      <c r="B205" s="229"/>
      <c r="C205" s="289" t="s">
        <v>2485</v>
      </c>
      <c r="D205" s="305" t="s">
        <v>1152</v>
      </c>
      <c r="E205" s="300" t="s">
        <v>1133</v>
      </c>
      <c r="F205" s="300" t="s">
        <v>1139</v>
      </c>
      <c r="G205" s="302">
        <v>6237</v>
      </c>
      <c r="H205" s="300" t="s">
        <v>1130</v>
      </c>
      <c r="I205" s="300"/>
      <c r="J205" s="306" t="s">
        <v>38</v>
      </c>
      <c r="K205" s="300" t="s">
        <v>1153</v>
      </c>
      <c r="L205" s="304" t="s">
        <v>2323</v>
      </c>
      <c r="M205" s="300" t="s">
        <v>419</v>
      </c>
      <c r="N205" s="300" t="s">
        <v>1148</v>
      </c>
      <c r="O205" s="300"/>
      <c r="P205" s="300" t="s">
        <v>214</v>
      </c>
      <c r="Q205" s="300" t="s">
        <v>7</v>
      </c>
      <c r="R205" s="300" t="s">
        <v>226</v>
      </c>
      <c r="S205" s="300" t="s">
        <v>1996</v>
      </c>
      <c r="T205" s="300" t="s">
        <v>2458</v>
      </c>
      <c r="U205" s="303">
        <v>0.58499999999999996</v>
      </c>
      <c r="V205" s="303" t="s">
        <v>2461</v>
      </c>
      <c r="W205" s="307">
        <v>20</v>
      </c>
      <c r="X205" s="297">
        <f>(1-VLOOKUP(R205,Start!$H$33:$I$40,2,FALSE)/100)*W205</f>
        <v>17.8</v>
      </c>
      <c r="Y205" s="297">
        <f>VLOOKUP(Q205,Start!$C$9:$D$15,2,FALSE)+VLOOKUP(Q205,Start!$C$23:$D$29,2,FALSE)</f>
        <v>23.27</v>
      </c>
      <c r="Z205" s="298">
        <f>(Y205/U205)+Start!$D$19*(VLOOKUP(Q205,Start!$M$33:$N$39,2,FALSE)/U205)+VLOOKUP(R205,Start!$C$33:$D$40,2,FALSE)</f>
        <v>49.73008547008547</v>
      </c>
      <c r="AA205" s="234"/>
      <c r="AB205" s="278"/>
    </row>
    <row r="206" spans="2:28" ht="18.75" customHeight="1" x14ac:dyDescent="0.3">
      <c r="B206" s="229"/>
      <c r="C206" s="289" t="s">
        <v>2485</v>
      </c>
      <c r="D206" s="305" t="s">
        <v>1154</v>
      </c>
      <c r="E206" s="300" t="s">
        <v>1155</v>
      </c>
      <c r="F206" s="300"/>
      <c r="G206" s="302">
        <v>51373</v>
      </c>
      <c r="H206" s="300" t="s">
        <v>1156</v>
      </c>
      <c r="I206" s="300"/>
      <c r="J206" s="306" t="s">
        <v>19</v>
      </c>
      <c r="K206" s="300" t="s">
        <v>155</v>
      </c>
      <c r="L206" s="304" t="s">
        <v>2441</v>
      </c>
      <c r="M206" s="300" t="s">
        <v>6</v>
      </c>
      <c r="N206" s="300"/>
      <c r="O206" s="300"/>
      <c r="P206" s="300" t="s">
        <v>6</v>
      </c>
      <c r="Q206" s="300" t="s">
        <v>6</v>
      </c>
      <c r="R206" s="300" t="s">
        <v>6</v>
      </c>
      <c r="S206" s="300" t="s">
        <v>1981</v>
      </c>
      <c r="T206" s="300" t="s">
        <v>2392</v>
      </c>
      <c r="U206" s="303">
        <v>0.33</v>
      </c>
      <c r="V206" s="300" t="s">
        <v>2460</v>
      </c>
      <c r="W206" s="307">
        <v>11.6</v>
      </c>
      <c r="X206" s="297">
        <f>(1-VLOOKUP(R206,Start!$H$33:$I$40,2,FALSE)/100)*W206</f>
        <v>9.86</v>
      </c>
      <c r="Y206" s="297">
        <f>VLOOKUP(Q206,Start!$C$9:$D$15,2,FALSE)+VLOOKUP(Q206,Start!$C$23:$D$29,2,FALSE)</f>
        <v>0</v>
      </c>
      <c r="Z206" s="298">
        <f>(Y206/U206)+Start!$D$19*(VLOOKUP(Q206,Start!$M$33:$N$39,2,FALSE)/U206)+VLOOKUP(R206,Start!$C$33:$D$40,2,FALSE)</f>
        <v>1</v>
      </c>
      <c r="AA206" s="234"/>
      <c r="AB206" s="278"/>
    </row>
    <row r="207" spans="2:28" ht="18.75" customHeight="1" x14ac:dyDescent="0.3">
      <c r="B207" s="229"/>
      <c r="C207" s="289" t="s">
        <v>2485</v>
      </c>
      <c r="D207" s="305" t="s">
        <v>1157</v>
      </c>
      <c r="E207" s="300" t="s">
        <v>1080</v>
      </c>
      <c r="F207" s="300" t="s">
        <v>1158</v>
      </c>
      <c r="G207" s="302">
        <v>51368</v>
      </c>
      <c r="H207" s="300" t="s">
        <v>1156</v>
      </c>
      <c r="I207" s="300" t="s">
        <v>1159</v>
      </c>
      <c r="J207" s="306" t="s">
        <v>19</v>
      </c>
      <c r="K207" s="300"/>
      <c r="L207" s="304" t="s">
        <v>2064</v>
      </c>
      <c r="M207" s="300" t="s">
        <v>7</v>
      </c>
      <c r="N207" s="300"/>
      <c r="O207" s="300"/>
      <c r="P207" s="132" t="s">
        <v>7</v>
      </c>
      <c r="Q207" s="300" t="s">
        <v>7</v>
      </c>
      <c r="R207" s="300" t="s">
        <v>226</v>
      </c>
      <c r="S207" s="300" t="s">
        <v>1981</v>
      </c>
      <c r="T207" s="300" t="s">
        <v>2458</v>
      </c>
      <c r="U207" s="303">
        <v>0.36409999999999998</v>
      </c>
      <c r="V207" s="300" t="s">
        <v>2458</v>
      </c>
      <c r="W207" s="307">
        <v>27</v>
      </c>
      <c r="X207" s="297">
        <f>(1-VLOOKUP(R207,Start!$H$33:$I$40,2,FALSE)/100)*W207</f>
        <v>24.03</v>
      </c>
      <c r="Y207" s="297">
        <f>VLOOKUP(Q207,Start!$C$9:$D$15,2,FALSE)+VLOOKUP(Q207,Start!$C$23:$D$29,2,FALSE)</f>
        <v>23.27</v>
      </c>
      <c r="Z207" s="298">
        <f>(Y207/U207)+Start!$D$19*(VLOOKUP(Q207,Start!$M$33:$N$39,2,FALSE)/U207)+VLOOKUP(R207,Start!$C$33:$D$40,2,FALSE)</f>
        <v>78.991348530623469</v>
      </c>
      <c r="AA207" s="234"/>
      <c r="AB207" s="278"/>
    </row>
    <row r="208" spans="2:28" ht="18.75" customHeight="1" x14ac:dyDescent="0.3">
      <c r="B208" s="229"/>
      <c r="C208" s="289" t="s">
        <v>2485</v>
      </c>
      <c r="D208" s="305" t="s">
        <v>1160</v>
      </c>
      <c r="E208" s="300" t="s">
        <v>1080</v>
      </c>
      <c r="F208" s="300" t="s">
        <v>1161</v>
      </c>
      <c r="G208" s="302">
        <v>51368</v>
      </c>
      <c r="H208" s="300" t="s">
        <v>1156</v>
      </c>
      <c r="I208" s="300" t="s">
        <v>1162</v>
      </c>
      <c r="J208" s="306" t="s">
        <v>19</v>
      </c>
      <c r="K208" s="300"/>
      <c r="L208" s="304" t="s">
        <v>2027</v>
      </c>
      <c r="M208" s="300" t="s">
        <v>47</v>
      </c>
      <c r="N208" s="300" t="s">
        <v>3</v>
      </c>
      <c r="O208" s="300" t="s">
        <v>1163</v>
      </c>
      <c r="P208" s="132" t="s">
        <v>3</v>
      </c>
      <c r="Q208" s="300" t="s">
        <v>3</v>
      </c>
      <c r="R208" s="300" t="s">
        <v>3</v>
      </c>
      <c r="S208" s="300" t="s">
        <v>1981</v>
      </c>
      <c r="T208" s="300" t="s">
        <v>2458</v>
      </c>
      <c r="U208" s="303">
        <v>0.33</v>
      </c>
      <c r="V208" s="300" t="s">
        <v>2458</v>
      </c>
      <c r="W208" s="307">
        <v>103</v>
      </c>
      <c r="X208" s="297">
        <f>(1-VLOOKUP(R208,Start!$H$33:$I$40,2,FALSE)/100)*W208</f>
        <v>80.34</v>
      </c>
      <c r="Y208" s="297">
        <f>VLOOKUP(Q208,Start!$C$9:$D$15,2,FALSE)+VLOOKUP(Q208,Start!$C$23:$D$29,2,FALSE)</f>
        <v>12.53</v>
      </c>
      <c r="Z208" s="298">
        <f>(Y208/U208)+Start!$D$19*(VLOOKUP(Q208,Start!$M$33:$N$39,2,FALSE)/U208)+VLOOKUP(R208,Start!$C$33:$D$40,2,FALSE)</f>
        <v>64.391515151515151</v>
      </c>
      <c r="AA208" s="234"/>
      <c r="AB208" s="278"/>
    </row>
    <row r="209" spans="2:28" ht="18.75" customHeight="1" x14ac:dyDescent="0.3">
      <c r="B209" s="229"/>
      <c r="C209" s="289" t="s">
        <v>2485</v>
      </c>
      <c r="D209" s="299" t="s">
        <v>1164</v>
      </c>
      <c r="E209" s="300" t="s">
        <v>160</v>
      </c>
      <c r="F209" s="132" t="s">
        <v>1165</v>
      </c>
      <c r="G209" s="311">
        <v>49811</v>
      </c>
      <c r="H209" s="312" t="s">
        <v>1166</v>
      </c>
      <c r="I209" s="132"/>
      <c r="J209" s="301" t="s">
        <v>22</v>
      </c>
      <c r="K209" s="300" t="s">
        <v>1167</v>
      </c>
      <c r="L209" s="304" t="s">
        <v>1788</v>
      </c>
      <c r="M209" s="300" t="s">
        <v>7</v>
      </c>
      <c r="N209" s="132"/>
      <c r="O209" s="300"/>
      <c r="P209" s="314" t="s">
        <v>7</v>
      </c>
      <c r="Q209" s="300" t="s">
        <v>7</v>
      </c>
      <c r="R209" s="300" t="s">
        <v>226</v>
      </c>
      <c r="S209" s="300" t="s">
        <v>1996</v>
      </c>
      <c r="T209" s="300" t="s">
        <v>2458</v>
      </c>
      <c r="U209" s="303">
        <v>0.42299999999999999</v>
      </c>
      <c r="V209" s="300" t="s">
        <v>2458</v>
      </c>
      <c r="W209" s="315">
        <v>116</v>
      </c>
      <c r="X209" s="297">
        <f>(1-VLOOKUP(R209,Start!$H$33:$I$40,2,FALSE)/100)*W209</f>
        <v>103.24</v>
      </c>
      <c r="Y209" s="297">
        <f>VLOOKUP(Q209,Start!$C$9:$D$15,2,FALSE)+VLOOKUP(Q209,Start!$C$23:$D$29,2,FALSE)</f>
        <v>23.27</v>
      </c>
      <c r="Z209" s="298">
        <f>(Y209/U209)+Start!$D$19*(VLOOKUP(Q209,Start!$M$33:$N$39,2,FALSE)/U209)+VLOOKUP(R209,Start!$C$33:$D$40,2,FALSE)</f>
        <v>68.201182033096927</v>
      </c>
      <c r="AA209" s="234"/>
      <c r="AB209" s="278"/>
    </row>
    <row r="210" spans="2:28" ht="18.75" customHeight="1" x14ac:dyDescent="0.3">
      <c r="B210" s="229"/>
      <c r="C210" s="289" t="s">
        <v>2485</v>
      </c>
      <c r="D210" s="299" t="s">
        <v>1168</v>
      </c>
      <c r="E210" s="300" t="s">
        <v>160</v>
      </c>
      <c r="F210" s="300" t="s">
        <v>1165</v>
      </c>
      <c r="G210" s="311">
        <v>49811</v>
      </c>
      <c r="H210" s="312" t="s">
        <v>1166</v>
      </c>
      <c r="I210" s="132"/>
      <c r="J210" s="301" t="s">
        <v>22</v>
      </c>
      <c r="K210" s="300" t="s">
        <v>1169</v>
      </c>
      <c r="L210" s="304" t="s">
        <v>2117</v>
      </c>
      <c r="M210" s="300" t="s">
        <v>7</v>
      </c>
      <c r="N210" s="132"/>
      <c r="O210" s="300"/>
      <c r="P210" s="314" t="s">
        <v>7</v>
      </c>
      <c r="Q210" s="300" t="s">
        <v>7</v>
      </c>
      <c r="R210" s="300" t="s">
        <v>226</v>
      </c>
      <c r="S210" s="300" t="s">
        <v>1996</v>
      </c>
      <c r="T210" s="300" t="s">
        <v>2458</v>
      </c>
      <c r="U210" s="303">
        <v>0.41849999999999998</v>
      </c>
      <c r="V210" s="300" t="s">
        <v>2458</v>
      </c>
      <c r="W210" s="315">
        <v>116</v>
      </c>
      <c r="X210" s="297">
        <f>(1-VLOOKUP(R210,Start!$H$33:$I$40,2,FALSE)/100)*W210</f>
        <v>103.24</v>
      </c>
      <c r="Y210" s="297">
        <f>VLOOKUP(Q210,Start!$C$9:$D$15,2,FALSE)+VLOOKUP(Q210,Start!$C$23:$D$29,2,FALSE)</f>
        <v>23.27</v>
      </c>
      <c r="Z210" s="298">
        <f>(Y210/U210)+Start!$D$19*(VLOOKUP(Q210,Start!$M$33:$N$39,2,FALSE)/U210)+VLOOKUP(R210,Start!$C$33:$D$40,2,FALSE)</f>
        <v>68.918399044205501</v>
      </c>
      <c r="AA210" s="234"/>
      <c r="AB210" s="278"/>
    </row>
    <row r="211" spans="2:28" ht="18.75" customHeight="1" x14ac:dyDescent="0.3">
      <c r="B211" s="229"/>
      <c r="C211" s="289" t="s">
        <v>2485</v>
      </c>
      <c r="D211" s="299" t="s">
        <v>1170</v>
      </c>
      <c r="E211" s="300" t="s">
        <v>160</v>
      </c>
      <c r="F211" s="300" t="s">
        <v>1165</v>
      </c>
      <c r="G211" s="311">
        <v>49811</v>
      </c>
      <c r="H211" s="312" t="s">
        <v>1166</v>
      </c>
      <c r="I211" s="132"/>
      <c r="J211" s="301" t="s">
        <v>22</v>
      </c>
      <c r="K211" s="300" t="s">
        <v>1171</v>
      </c>
      <c r="L211" s="304" t="s">
        <v>2117</v>
      </c>
      <c r="M211" s="300" t="s">
        <v>7</v>
      </c>
      <c r="N211" s="132"/>
      <c r="O211" s="300"/>
      <c r="P211" s="314" t="s">
        <v>7</v>
      </c>
      <c r="Q211" s="300" t="s">
        <v>7</v>
      </c>
      <c r="R211" s="300" t="s">
        <v>226</v>
      </c>
      <c r="S211" s="300" t="s">
        <v>1996</v>
      </c>
      <c r="T211" s="300" t="s">
        <v>2458</v>
      </c>
      <c r="U211" s="303">
        <v>0.41849999999999998</v>
      </c>
      <c r="V211" s="300" t="s">
        <v>2458</v>
      </c>
      <c r="W211" s="315">
        <v>359</v>
      </c>
      <c r="X211" s="297">
        <f>(1-VLOOKUP(R211,Start!$H$33:$I$40,2,FALSE)/100)*W211</f>
        <v>319.51</v>
      </c>
      <c r="Y211" s="297">
        <f>VLOOKUP(Q211,Start!$C$9:$D$15,2,FALSE)+VLOOKUP(Q211,Start!$C$23:$D$29,2,FALSE)</f>
        <v>23.27</v>
      </c>
      <c r="Z211" s="298">
        <f>(Y211/U211)+Start!$D$19*(VLOOKUP(Q211,Start!$M$33:$N$39,2,FALSE)/U211)+VLOOKUP(R211,Start!$C$33:$D$40,2,FALSE)</f>
        <v>68.918399044205501</v>
      </c>
      <c r="AA211" s="234"/>
      <c r="AB211" s="278"/>
    </row>
    <row r="212" spans="2:28" ht="18.75" customHeight="1" x14ac:dyDescent="0.3">
      <c r="B212" s="229"/>
      <c r="C212" s="289" t="s">
        <v>2485</v>
      </c>
      <c r="D212" s="299" t="s">
        <v>1172</v>
      </c>
      <c r="E212" s="300" t="s">
        <v>160</v>
      </c>
      <c r="F212" s="300" t="s">
        <v>1165</v>
      </c>
      <c r="G212" s="311">
        <v>49811</v>
      </c>
      <c r="H212" s="312" t="s">
        <v>1166</v>
      </c>
      <c r="I212" s="132"/>
      <c r="J212" s="301" t="s">
        <v>22</v>
      </c>
      <c r="K212" s="300" t="s">
        <v>1173</v>
      </c>
      <c r="L212" s="304" t="s">
        <v>1788</v>
      </c>
      <c r="M212" s="300" t="s">
        <v>7</v>
      </c>
      <c r="N212" s="132"/>
      <c r="O212" s="300"/>
      <c r="P212" s="314" t="s">
        <v>7</v>
      </c>
      <c r="Q212" s="300" t="s">
        <v>7</v>
      </c>
      <c r="R212" s="300" t="s">
        <v>226</v>
      </c>
      <c r="S212" s="300" t="s">
        <v>1996</v>
      </c>
      <c r="T212" s="300" t="s">
        <v>2458</v>
      </c>
      <c r="U212" s="303">
        <v>0.42299999999999999</v>
      </c>
      <c r="V212" s="300" t="s">
        <v>2458</v>
      </c>
      <c r="W212" s="315">
        <v>359</v>
      </c>
      <c r="X212" s="297">
        <f>(1-VLOOKUP(R212,Start!$H$33:$I$40,2,FALSE)/100)*W212</f>
        <v>319.51</v>
      </c>
      <c r="Y212" s="297">
        <f>VLOOKUP(Q212,Start!$C$9:$D$15,2,FALSE)+VLOOKUP(Q212,Start!$C$23:$D$29,2,FALSE)</f>
        <v>23.27</v>
      </c>
      <c r="Z212" s="298">
        <f>(Y212/U212)+Start!$D$19*(VLOOKUP(Q212,Start!$M$33:$N$39,2,FALSE)/U212)+VLOOKUP(R212,Start!$C$33:$D$40,2,FALSE)</f>
        <v>68.201182033096927</v>
      </c>
      <c r="AA212" s="234"/>
      <c r="AB212" s="278"/>
    </row>
    <row r="213" spans="2:28" ht="18.75" customHeight="1" x14ac:dyDescent="0.3">
      <c r="B213" s="229"/>
      <c r="C213" s="289" t="s">
        <v>2485</v>
      </c>
      <c r="D213" s="305" t="s">
        <v>1174</v>
      </c>
      <c r="E213" s="300" t="s">
        <v>160</v>
      </c>
      <c r="F213" s="300" t="s">
        <v>1165</v>
      </c>
      <c r="G213" s="302">
        <v>49811</v>
      </c>
      <c r="H213" s="300" t="s">
        <v>1166</v>
      </c>
      <c r="I213" s="300"/>
      <c r="J213" s="306" t="s">
        <v>22</v>
      </c>
      <c r="K213" s="300" t="s">
        <v>131</v>
      </c>
      <c r="L213" s="304" t="s">
        <v>2213</v>
      </c>
      <c r="M213" s="300" t="s">
        <v>7</v>
      </c>
      <c r="N213" s="300"/>
      <c r="O213" s="300"/>
      <c r="P213" s="300" t="s">
        <v>7</v>
      </c>
      <c r="Q213" s="300" t="s">
        <v>7</v>
      </c>
      <c r="R213" s="300" t="s">
        <v>226</v>
      </c>
      <c r="S213" s="300" t="s">
        <v>1996</v>
      </c>
      <c r="T213" s="300" t="s">
        <v>2458</v>
      </c>
      <c r="U213" s="303">
        <v>0.58499999999999996</v>
      </c>
      <c r="V213" s="300" t="s">
        <v>2458</v>
      </c>
      <c r="W213" s="307">
        <v>887</v>
      </c>
      <c r="X213" s="297">
        <f>(1-VLOOKUP(R213,Start!$H$33:$I$40,2,FALSE)/100)*W213</f>
        <v>789.43000000000006</v>
      </c>
      <c r="Y213" s="297">
        <f>VLOOKUP(Q213,Start!$C$9:$D$15,2,FALSE)+VLOOKUP(Q213,Start!$C$23:$D$29,2,FALSE)</f>
        <v>23.27</v>
      </c>
      <c r="Z213" s="298">
        <f>(Y213/U213)+Start!$D$19*(VLOOKUP(Q213,Start!$M$33:$N$39,2,FALSE)/U213)+VLOOKUP(R213,Start!$C$33:$D$40,2,FALSE)</f>
        <v>49.73008547008547</v>
      </c>
      <c r="AA213" s="234"/>
      <c r="AB213" s="278"/>
    </row>
    <row r="214" spans="2:28" ht="18.75" customHeight="1" x14ac:dyDescent="0.3">
      <c r="B214" s="229"/>
      <c r="C214" s="289" t="s">
        <v>2485</v>
      </c>
      <c r="D214" s="305" t="s">
        <v>1179</v>
      </c>
      <c r="E214" s="317" t="s">
        <v>128</v>
      </c>
      <c r="F214" s="300" t="s">
        <v>1180</v>
      </c>
      <c r="G214" s="302">
        <v>49811</v>
      </c>
      <c r="H214" s="300" t="s">
        <v>1166</v>
      </c>
      <c r="I214" s="300"/>
      <c r="J214" s="306" t="s">
        <v>22</v>
      </c>
      <c r="K214" s="300" t="s">
        <v>1181</v>
      </c>
      <c r="L214" s="304" t="s">
        <v>2288</v>
      </c>
      <c r="M214" s="300" t="s">
        <v>1</v>
      </c>
      <c r="N214" s="300"/>
      <c r="O214" s="300"/>
      <c r="P214" s="300" t="s">
        <v>1</v>
      </c>
      <c r="Q214" s="300" t="s">
        <v>1</v>
      </c>
      <c r="R214" s="303" t="s">
        <v>1</v>
      </c>
      <c r="S214" s="300" t="s">
        <v>1981</v>
      </c>
      <c r="T214" s="300" t="s">
        <v>2458</v>
      </c>
      <c r="U214" s="303">
        <v>0.33</v>
      </c>
      <c r="V214" s="300" t="s">
        <v>2458</v>
      </c>
      <c r="W214" s="307">
        <v>1336</v>
      </c>
      <c r="X214" s="297">
        <f>(1-VLOOKUP(R214,Start!$H$33:$I$40,2,FALSE)/100)*W214</f>
        <v>1189.04</v>
      </c>
      <c r="Y214" s="297">
        <f>VLOOKUP(Q214,Start!$C$9:$D$15,2,FALSE)+VLOOKUP(Q214,Start!$C$23:$D$29,2,FALSE)</f>
        <v>5.5</v>
      </c>
      <c r="Z214" s="298">
        <f>(Y214/U214)+Start!$D$19*(VLOOKUP(Q214,Start!$M$33:$N$39,2,FALSE)/U214)+VLOOKUP(R214,Start!$C$33:$D$40,2,FALSE)</f>
        <v>17.866666666666664</v>
      </c>
      <c r="AA214" s="234"/>
      <c r="AB214" s="278"/>
    </row>
    <row r="215" spans="2:28" ht="18.75" customHeight="1" x14ac:dyDescent="0.3">
      <c r="B215" s="229"/>
      <c r="C215" s="289" t="s">
        <v>2485</v>
      </c>
      <c r="D215" s="299" t="s">
        <v>1192</v>
      </c>
      <c r="E215" s="300" t="s">
        <v>1186</v>
      </c>
      <c r="F215" s="132" t="s">
        <v>1193</v>
      </c>
      <c r="G215" s="311">
        <v>67056</v>
      </c>
      <c r="H215" s="312" t="s">
        <v>1187</v>
      </c>
      <c r="I215" s="132" t="s">
        <v>1194</v>
      </c>
      <c r="J215" s="301" t="s">
        <v>37</v>
      </c>
      <c r="K215" s="300" t="s">
        <v>838</v>
      </c>
      <c r="L215" s="304" t="s">
        <v>2214</v>
      </c>
      <c r="M215" s="300" t="s">
        <v>7</v>
      </c>
      <c r="N215" s="132"/>
      <c r="O215" s="300"/>
      <c r="P215" s="314" t="s">
        <v>7</v>
      </c>
      <c r="Q215" s="300" t="s">
        <v>7</v>
      </c>
      <c r="R215" s="300" t="s">
        <v>96</v>
      </c>
      <c r="S215" s="300" t="s">
        <v>2115</v>
      </c>
      <c r="T215" s="300" t="s">
        <v>2458</v>
      </c>
      <c r="U215" s="303">
        <v>0.35920000000000002</v>
      </c>
      <c r="V215" s="300" t="s">
        <v>2458</v>
      </c>
      <c r="W215" s="315">
        <v>47</v>
      </c>
      <c r="X215" s="297">
        <f>(1-VLOOKUP(R215,Start!$H$33:$I$40,2,FALSE)/100)*W215</f>
        <v>41.83</v>
      </c>
      <c r="Y215" s="297">
        <f>VLOOKUP(Q215,Start!$C$9:$D$15,2,FALSE)+VLOOKUP(Q215,Start!$C$23:$D$29,2,FALSE)</f>
        <v>23.27</v>
      </c>
      <c r="Z215" s="298">
        <f>(Y215/U215)+Start!$D$19*(VLOOKUP(Q215,Start!$M$33:$N$39,2,FALSE)/U215)+VLOOKUP(R215,Start!$C$33:$D$40,2,FALSE)</f>
        <v>79.548440979955444</v>
      </c>
      <c r="AA215" s="234"/>
      <c r="AB215" s="278"/>
    </row>
    <row r="216" spans="2:28" ht="18.75" customHeight="1" x14ac:dyDescent="0.3">
      <c r="B216" s="229"/>
      <c r="C216" s="289" t="s">
        <v>2485</v>
      </c>
      <c r="D216" s="305" t="s">
        <v>1199</v>
      </c>
      <c r="E216" s="300" t="s">
        <v>1186</v>
      </c>
      <c r="F216" s="300" t="s">
        <v>1200</v>
      </c>
      <c r="G216" s="302">
        <v>67056</v>
      </c>
      <c r="H216" s="300" t="s">
        <v>1187</v>
      </c>
      <c r="I216" s="300" t="s">
        <v>1201</v>
      </c>
      <c r="J216" s="306" t="s">
        <v>37</v>
      </c>
      <c r="K216" s="300" t="s">
        <v>1202</v>
      </c>
      <c r="L216" s="304" t="s">
        <v>2216</v>
      </c>
      <c r="M216" s="300" t="s">
        <v>7</v>
      </c>
      <c r="N216" s="300"/>
      <c r="O216" s="300"/>
      <c r="P216" s="300" t="s">
        <v>7</v>
      </c>
      <c r="Q216" s="300" t="s">
        <v>7</v>
      </c>
      <c r="R216" s="300" t="s">
        <v>226</v>
      </c>
      <c r="S216" s="300" t="s">
        <v>1996</v>
      </c>
      <c r="T216" s="300" t="s">
        <v>2458</v>
      </c>
      <c r="U216" s="303">
        <v>0.5625</v>
      </c>
      <c r="V216" s="300" t="s">
        <v>2458</v>
      </c>
      <c r="W216" s="307">
        <v>497.5</v>
      </c>
      <c r="X216" s="297">
        <f>(1-VLOOKUP(R216,Start!$H$33:$I$40,2,FALSE)/100)*W216</f>
        <v>442.77500000000003</v>
      </c>
      <c r="Y216" s="297">
        <f>VLOOKUP(Q216,Start!$C$9:$D$15,2,FALSE)+VLOOKUP(Q216,Start!$C$23:$D$29,2,FALSE)</f>
        <v>23.27</v>
      </c>
      <c r="Z216" s="298">
        <f>(Y216/U216)+Start!$D$19*(VLOOKUP(Q216,Start!$M$33:$N$39,2,FALSE)/U216)+VLOOKUP(R216,Start!$C$33:$D$40,2,FALSE)</f>
        <v>51.659288888888888</v>
      </c>
      <c r="AA216" s="234"/>
      <c r="AB216" s="278"/>
    </row>
    <row r="217" spans="2:28" ht="18.75" customHeight="1" x14ac:dyDescent="0.3">
      <c r="B217" s="229"/>
      <c r="C217" s="289" t="s">
        <v>2485</v>
      </c>
      <c r="D217" s="299" t="s">
        <v>1195</v>
      </c>
      <c r="E217" s="300" t="s">
        <v>1186</v>
      </c>
      <c r="F217" s="132" t="s">
        <v>1196</v>
      </c>
      <c r="G217" s="311">
        <v>67056</v>
      </c>
      <c r="H217" s="312" t="s">
        <v>1187</v>
      </c>
      <c r="I217" s="132" t="s">
        <v>1197</v>
      </c>
      <c r="J217" s="301" t="s">
        <v>37</v>
      </c>
      <c r="K217" s="300" t="s">
        <v>1198</v>
      </c>
      <c r="L217" s="304" t="s">
        <v>2215</v>
      </c>
      <c r="M217" s="300" t="s">
        <v>7</v>
      </c>
      <c r="N217" s="132"/>
      <c r="O217" s="300"/>
      <c r="P217" s="314" t="s">
        <v>7</v>
      </c>
      <c r="Q217" s="300" t="s">
        <v>7</v>
      </c>
      <c r="R217" s="300" t="s">
        <v>226</v>
      </c>
      <c r="S217" s="300" t="s">
        <v>1996</v>
      </c>
      <c r="T217" s="300" t="s">
        <v>2458</v>
      </c>
      <c r="U217" s="303">
        <v>0.52649999999999997</v>
      </c>
      <c r="V217" s="300" t="s">
        <v>2458</v>
      </c>
      <c r="W217" s="315">
        <v>410</v>
      </c>
      <c r="X217" s="297">
        <f>(1-VLOOKUP(R217,Start!$H$33:$I$40,2,FALSE)/100)*W217</f>
        <v>364.9</v>
      </c>
      <c r="Y217" s="297">
        <f>VLOOKUP(Q217,Start!$C$9:$D$15,2,FALSE)+VLOOKUP(Q217,Start!$C$23:$D$29,2,FALSE)</f>
        <v>23.27</v>
      </c>
      <c r="Z217" s="298">
        <f>(Y217/U217)+Start!$D$19*(VLOOKUP(Q217,Start!$M$33:$N$39,2,FALSE)/U217)+VLOOKUP(R217,Start!$C$33:$D$40,2,FALSE)</f>
        <v>55.088983855650525</v>
      </c>
      <c r="AA217" s="234"/>
      <c r="AB217" s="278"/>
    </row>
    <row r="218" spans="2:28" ht="18.75" customHeight="1" x14ac:dyDescent="0.3">
      <c r="B218" s="229"/>
      <c r="C218" s="289" t="s">
        <v>2485</v>
      </c>
      <c r="D218" s="305" t="s">
        <v>1210</v>
      </c>
      <c r="E218" s="300" t="s">
        <v>1186</v>
      </c>
      <c r="F218" s="300" t="s">
        <v>1211</v>
      </c>
      <c r="G218" s="302">
        <v>67056</v>
      </c>
      <c r="H218" s="300" t="s">
        <v>1187</v>
      </c>
      <c r="I218" s="300" t="s">
        <v>1212</v>
      </c>
      <c r="J218" s="306" t="s">
        <v>37</v>
      </c>
      <c r="K218" s="132" t="s">
        <v>1213</v>
      </c>
      <c r="L218" s="304" t="s">
        <v>2324</v>
      </c>
      <c r="M218" s="300" t="s">
        <v>47</v>
      </c>
      <c r="N218" s="300" t="s">
        <v>1214</v>
      </c>
      <c r="O218" s="300" t="s">
        <v>1215</v>
      </c>
      <c r="P218" s="300" t="s">
        <v>214</v>
      </c>
      <c r="Q218" s="300" t="s">
        <v>7</v>
      </c>
      <c r="R218" s="300" t="s">
        <v>226</v>
      </c>
      <c r="S218" s="300" t="s">
        <v>1996</v>
      </c>
      <c r="T218" s="300" t="s">
        <v>2458</v>
      </c>
      <c r="U218" s="303">
        <v>0.45</v>
      </c>
      <c r="V218" s="303" t="s">
        <v>2461</v>
      </c>
      <c r="W218" s="307">
        <v>87.5</v>
      </c>
      <c r="X218" s="297">
        <f>(1-VLOOKUP(R218,Start!$H$33:$I$40,2,FALSE)/100)*W218</f>
        <v>77.875</v>
      </c>
      <c r="Y218" s="297">
        <f>VLOOKUP(Q218,Start!$C$9:$D$15,2,FALSE)+VLOOKUP(Q218,Start!$C$23:$D$29,2,FALSE)</f>
        <v>23.27</v>
      </c>
      <c r="Z218" s="298">
        <f>(Y218/U218)+Start!$D$19*(VLOOKUP(Q218,Start!$M$33:$N$39,2,FALSE)/U218)+VLOOKUP(R218,Start!$C$33:$D$40,2,FALSE)</f>
        <v>64.199111111111108</v>
      </c>
      <c r="AA218" s="234"/>
      <c r="AB218" s="278"/>
    </row>
    <row r="219" spans="2:28" ht="18.75" customHeight="1" x14ac:dyDescent="0.3">
      <c r="B219" s="229"/>
      <c r="C219" s="289" t="s">
        <v>2485</v>
      </c>
      <c r="D219" s="299" t="s">
        <v>1226</v>
      </c>
      <c r="E219" s="300" t="s">
        <v>1227</v>
      </c>
      <c r="F219" s="300" t="s">
        <v>1228</v>
      </c>
      <c r="G219" s="302">
        <v>39126</v>
      </c>
      <c r="H219" s="300" t="s">
        <v>1229</v>
      </c>
      <c r="I219" s="300"/>
      <c r="J219" s="306" t="s">
        <v>38</v>
      </c>
      <c r="K219" s="300" t="s">
        <v>653</v>
      </c>
      <c r="L219" s="304" t="s">
        <v>2362</v>
      </c>
      <c r="M219" s="300" t="s">
        <v>6</v>
      </c>
      <c r="N219" s="300" t="s">
        <v>601</v>
      </c>
      <c r="O219" s="300"/>
      <c r="P219" s="300" t="s">
        <v>6</v>
      </c>
      <c r="Q219" s="300" t="s">
        <v>6</v>
      </c>
      <c r="R219" s="300" t="s">
        <v>6</v>
      </c>
      <c r="S219" s="300" t="s">
        <v>1981</v>
      </c>
      <c r="T219" s="300" t="s">
        <v>2458</v>
      </c>
      <c r="U219" s="303">
        <v>0.33</v>
      </c>
      <c r="V219" s="300" t="s">
        <v>2458</v>
      </c>
      <c r="W219" s="307">
        <v>29.2</v>
      </c>
      <c r="X219" s="297">
        <f>(1-VLOOKUP(R219,Start!$H$33:$I$40,2,FALSE)/100)*W219</f>
        <v>24.82</v>
      </c>
      <c r="Y219" s="297">
        <f>VLOOKUP(Q219,Start!$C$9:$D$15,2,FALSE)+VLOOKUP(Q219,Start!$C$23:$D$29,2,FALSE)</f>
        <v>0</v>
      </c>
      <c r="Z219" s="298">
        <f>(Y219/U219)+Start!$D$19*(VLOOKUP(Q219,Start!$M$33:$N$39,2,FALSE)/U219)+VLOOKUP(R219,Start!$C$33:$D$40,2,FALSE)</f>
        <v>1</v>
      </c>
      <c r="AA219" s="234"/>
      <c r="AB219" s="278"/>
    </row>
    <row r="220" spans="2:28" ht="18.75" customHeight="1" x14ac:dyDescent="0.3">
      <c r="B220" s="229"/>
      <c r="C220" s="289" t="s">
        <v>2485</v>
      </c>
      <c r="D220" s="299" t="s">
        <v>1230</v>
      </c>
      <c r="E220" s="300" t="s">
        <v>1227</v>
      </c>
      <c r="F220" s="300" t="s">
        <v>1228</v>
      </c>
      <c r="G220" s="302">
        <v>39126</v>
      </c>
      <c r="H220" s="300" t="s">
        <v>1229</v>
      </c>
      <c r="I220" s="300"/>
      <c r="J220" s="306" t="s">
        <v>38</v>
      </c>
      <c r="K220" s="300" t="s">
        <v>469</v>
      </c>
      <c r="L220" s="304" t="s">
        <v>2363</v>
      </c>
      <c r="M220" s="300" t="s">
        <v>6</v>
      </c>
      <c r="N220" s="300" t="s">
        <v>601</v>
      </c>
      <c r="O220" s="300"/>
      <c r="P220" s="300" t="s">
        <v>6</v>
      </c>
      <c r="Q220" s="301" t="s">
        <v>6</v>
      </c>
      <c r="R220" s="300" t="s">
        <v>6</v>
      </c>
      <c r="S220" s="300" t="s">
        <v>1981</v>
      </c>
      <c r="T220" s="300" t="s">
        <v>2458</v>
      </c>
      <c r="U220" s="303">
        <v>0.33</v>
      </c>
      <c r="V220" s="300" t="s">
        <v>2458</v>
      </c>
      <c r="W220" s="307">
        <v>29.2</v>
      </c>
      <c r="X220" s="297">
        <f>(1-VLOOKUP(R220,Start!$H$33:$I$40,2,FALSE)/100)*W220</f>
        <v>24.82</v>
      </c>
      <c r="Y220" s="297">
        <f>VLOOKUP(Q220,Start!$C$9:$D$15,2,FALSE)+VLOOKUP(Q220,Start!$C$23:$D$29,2,FALSE)</f>
        <v>0</v>
      </c>
      <c r="Z220" s="298">
        <f>(Y220/U220)+Start!$D$19*(VLOOKUP(Q220,Start!$M$33:$N$39,2,FALSE)/U220)+VLOOKUP(R220,Start!$C$33:$D$40,2,FALSE)</f>
        <v>1</v>
      </c>
      <c r="AA220" s="234"/>
      <c r="AB220" s="278"/>
    </row>
    <row r="221" spans="2:28" ht="18.75" customHeight="1" x14ac:dyDescent="0.3">
      <c r="B221" s="229"/>
      <c r="C221" s="289" t="s">
        <v>2485</v>
      </c>
      <c r="D221" s="305" t="s">
        <v>1236</v>
      </c>
      <c r="E221" s="300" t="s">
        <v>1237</v>
      </c>
      <c r="F221" s="300" t="s">
        <v>1238</v>
      </c>
      <c r="G221" s="302">
        <v>55120</v>
      </c>
      <c r="H221" s="300" t="s">
        <v>1234</v>
      </c>
      <c r="I221" s="300"/>
      <c r="J221" s="306" t="s">
        <v>37</v>
      </c>
      <c r="K221" s="300" t="s">
        <v>1239</v>
      </c>
      <c r="L221" s="304" t="s">
        <v>2219</v>
      </c>
      <c r="M221" s="300" t="s">
        <v>7</v>
      </c>
      <c r="N221" s="132"/>
      <c r="O221" s="132"/>
      <c r="P221" s="300" t="s">
        <v>7</v>
      </c>
      <c r="Q221" s="300" t="s">
        <v>7</v>
      </c>
      <c r="R221" s="300" t="s">
        <v>226</v>
      </c>
      <c r="S221" s="300" t="s">
        <v>1996</v>
      </c>
      <c r="T221" s="300" t="s">
        <v>2458</v>
      </c>
      <c r="U221" s="303">
        <v>0.54</v>
      </c>
      <c r="V221" s="300" t="s">
        <v>2458</v>
      </c>
      <c r="W221" s="307">
        <v>434.2</v>
      </c>
      <c r="X221" s="297">
        <f>(1-VLOOKUP(R221,Start!$H$33:$I$40,2,FALSE)/100)*W221</f>
        <v>386.43799999999999</v>
      </c>
      <c r="Y221" s="297">
        <f>VLOOKUP(Q221,Start!$C$9:$D$15,2,FALSE)+VLOOKUP(Q221,Start!$C$23:$D$29,2,FALSE)</f>
        <v>23.27</v>
      </c>
      <c r="Z221" s="298">
        <f>(Y221/U221)+Start!$D$19*(VLOOKUP(Q221,Start!$M$33:$N$39,2,FALSE)/U221)+VLOOKUP(R221,Start!$C$33:$D$40,2,FALSE)</f>
        <v>53.749259259259254</v>
      </c>
      <c r="AA221" s="234"/>
      <c r="AB221" s="278"/>
    </row>
    <row r="222" spans="2:28" ht="18.75" customHeight="1" x14ac:dyDescent="0.3">
      <c r="B222" s="229"/>
      <c r="C222" s="289" t="s">
        <v>2485</v>
      </c>
      <c r="D222" s="318" t="s">
        <v>1240</v>
      </c>
      <c r="E222" s="300" t="s">
        <v>641</v>
      </c>
      <c r="F222" s="320" t="s">
        <v>1241</v>
      </c>
      <c r="G222" s="311">
        <v>68169</v>
      </c>
      <c r="H222" s="320" t="s">
        <v>1242</v>
      </c>
      <c r="I222" s="321" t="s">
        <v>1243</v>
      </c>
      <c r="J222" s="320" t="s">
        <v>20</v>
      </c>
      <c r="K222" s="319" t="s">
        <v>1061</v>
      </c>
      <c r="L222" s="304" t="s">
        <v>2365</v>
      </c>
      <c r="M222" s="322" t="s">
        <v>6</v>
      </c>
      <c r="N222" s="321"/>
      <c r="O222" s="319"/>
      <c r="P222" s="314" t="s">
        <v>6</v>
      </c>
      <c r="Q222" s="300" t="s">
        <v>6</v>
      </c>
      <c r="R222" s="300" t="s">
        <v>6</v>
      </c>
      <c r="S222" s="300" t="s">
        <v>1981</v>
      </c>
      <c r="T222" s="300" t="s">
        <v>2458</v>
      </c>
      <c r="U222" s="303">
        <v>0.33</v>
      </c>
      <c r="V222" s="300" t="s">
        <v>2458</v>
      </c>
      <c r="W222" s="315">
        <v>8.65</v>
      </c>
      <c r="X222" s="297">
        <f>(1-VLOOKUP(R222,Start!$H$33:$I$40,2,FALSE)/100)*W222</f>
        <v>7.3525</v>
      </c>
      <c r="Y222" s="297">
        <f>VLOOKUP(Q222,Start!$C$9:$D$15,2,FALSE)+VLOOKUP(Q222,Start!$C$23:$D$29,2,FALSE)</f>
        <v>0</v>
      </c>
      <c r="Z222" s="298">
        <f>(Y222/U222)+Start!$D$19*(VLOOKUP(Q222,Start!$M$33:$N$39,2,FALSE)/U222)+VLOOKUP(R222,Start!$C$33:$D$40,2,FALSE)</f>
        <v>1</v>
      </c>
      <c r="AA222" s="234"/>
      <c r="AB222" s="278"/>
    </row>
    <row r="223" spans="2:28" ht="18.75" customHeight="1" x14ac:dyDescent="0.3">
      <c r="B223" s="229"/>
      <c r="C223" s="289" t="s">
        <v>2485</v>
      </c>
      <c r="D223" s="299" t="s">
        <v>1244</v>
      </c>
      <c r="E223" s="300" t="s">
        <v>641</v>
      </c>
      <c r="F223" s="300" t="s">
        <v>1241</v>
      </c>
      <c r="G223" s="302">
        <v>68169</v>
      </c>
      <c r="H223" s="300" t="s">
        <v>1242</v>
      </c>
      <c r="I223" s="300" t="s">
        <v>1243</v>
      </c>
      <c r="J223" s="306" t="s">
        <v>20</v>
      </c>
      <c r="K223" s="300" t="s">
        <v>1245</v>
      </c>
      <c r="L223" s="304" t="s">
        <v>2366</v>
      </c>
      <c r="M223" s="300" t="s">
        <v>6</v>
      </c>
      <c r="N223" s="300"/>
      <c r="O223" s="300" t="s">
        <v>1246</v>
      </c>
      <c r="P223" s="300" t="s">
        <v>6</v>
      </c>
      <c r="Q223" s="300" t="s">
        <v>6</v>
      </c>
      <c r="R223" s="300" t="s">
        <v>6</v>
      </c>
      <c r="S223" s="300" t="s">
        <v>1981</v>
      </c>
      <c r="T223" s="300" t="s">
        <v>2458</v>
      </c>
      <c r="U223" s="303">
        <v>0.33</v>
      </c>
      <c r="V223" s="300" t="s">
        <v>2458</v>
      </c>
      <c r="W223" s="307">
        <v>22.1</v>
      </c>
      <c r="X223" s="297">
        <f>(1-VLOOKUP(R223,Start!$H$33:$I$40,2,FALSE)/100)*W223</f>
        <v>18.785</v>
      </c>
      <c r="Y223" s="297">
        <f>VLOOKUP(Q223,Start!$C$9:$D$15,2,FALSE)+VLOOKUP(Q223,Start!$C$23:$D$29,2,FALSE)</f>
        <v>0</v>
      </c>
      <c r="Z223" s="298">
        <f>(Y223/U223)+Start!$D$19*(VLOOKUP(Q223,Start!$M$33:$N$39,2,FALSE)/U223)+VLOOKUP(R223,Start!$C$33:$D$40,2,FALSE)</f>
        <v>1</v>
      </c>
      <c r="AA223" s="234"/>
      <c r="AB223" s="278"/>
    </row>
    <row r="224" spans="2:28" ht="18.75" customHeight="1" x14ac:dyDescent="0.3">
      <c r="B224" s="229"/>
      <c r="C224" s="289" t="s">
        <v>2485</v>
      </c>
      <c r="D224" s="305" t="s">
        <v>1247</v>
      </c>
      <c r="E224" s="300" t="s">
        <v>641</v>
      </c>
      <c r="F224" s="300" t="s">
        <v>1241</v>
      </c>
      <c r="G224" s="304">
        <v>68169</v>
      </c>
      <c r="H224" s="300" t="s">
        <v>1242</v>
      </c>
      <c r="I224" s="300" t="s">
        <v>1243</v>
      </c>
      <c r="J224" s="306" t="s">
        <v>20</v>
      </c>
      <c r="K224" s="300" t="s">
        <v>1248</v>
      </c>
      <c r="L224" s="304" t="s">
        <v>2367</v>
      </c>
      <c r="M224" s="300" t="s">
        <v>6</v>
      </c>
      <c r="N224" s="300"/>
      <c r="O224" s="300"/>
      <c r="P224" s="300" t="s">
        <v>6</v>
      </c>
      <c r="Q224" s="300" t="s">
        <v>6</v>
      </c>
      <c r="R224" s="300" t="s">
        <v>6</v>
      </c>
      <c r="S224" s="300" t="s">
        <v>1981</v>
      </c>
      <c r="T224" s="300" t="s">
        <v>2458</v>
      </c>
      <c r="U224" s="303">
        <v>0.33</v>
      </c>
      <c r="V224" s="300" t="s">
        <v>2458</v>
      </c>
      <c r="W224" s="307">
        <v>8.1</v>
      </c>
      <c r="X224" s="297">
        <f>(1-VLOOKUP(R224,Start!$H$33:$I$40,2,FALSE)/100)*W224</f>
        <v>6.8849999999999998</v>
      </c>
      <c r="Y224" s="297">
        <f>VLOOKUP(Q224,Start!$C$9:$D$15,2,FALSE)+VLOOKUP(Q224,Start!$C$23:$D$29,2,FALSE)</f>
        <v>0</v>
      </c>
      <c r="Z224" s="298">
        <f>(Y224/U224)+Start!$D$19*(VLOOKUP(Q224,Start!$M$33:$N$39,2,FALSE)/U224)+VLOOKUP(R224,Start!$C$33:$D$40,2,FALSE)</f>
        <v>1</v>
      </c>
      <c r="AA224" s="234"/>
      <c r="AB224" s="278"/>
    </row>
    <row r="225" spans="2:28" ht="18.75" customHeight="1" x14ac:dyDescent="0.3">
      <c r="B225" s="229"/>
      <c r="C225" s="289" t="s">
        <v>2485</v>
      </c>
      <c r="D225" s="305" t="s">
        <v>1249</v>
      </c>
      <c r="E225" s="300" t="s">
        <v>641</v>
      </c>
      <c r="F225" s="300" t="s">
        <v>1241</v>
      </c>
      <c r="G225" s="304">
        <v>68169</v>
      </c>
      <c r="H225" s="300" t="s">
        <v>1242</v>
      </c>
      <c r="I225" s="300" t="s">
        <v>1243</v>
      </c>
      <c r="J225" s="306" t="s">
        <v>20</v>
      </c>
      <c r="K225" s="300" t="s">
        <v>1250</v>
      </c>
      <c r="L225" s="304" t="s">
        <v>2368</v>
      </c>
      <c r="M225" s="300" t="s">
        <v>6</v>
      </c>
      <c r="N225" s="300"/>
      <c r="O225" s="300"/>
      <c r="P225" s="300" t="s">
        <v>6</v>
      </c>
      <c r="Q225" s="300" t="s">
        <v>6</v>
      </c>
      <c r="R225" s="300" t="s">
        <v>6</v>
      </c>
      <c r="S225" s="300" t="s">
        <v>1981</v>
      </c>
      <c r="T225" s="300" t="s">
        <v>2458</v>
      </c>
      <c r="U225" s="303">
        <v>0.33</v>
      </c>
      <c r="V225" s="300" t="s">
        <v>2458</v>
      </c>
      <c r="W225" s="307">
        <v>5.8</v>
      </c>
      <c r="X225" s="297">
        <f>(1-VLOOKUP(R225,Start!$H$33:$I$40,2,FALSE)/100)*W225</f>
        <v>4.93</v>
      </c>
      <c r="Y225" s="297">
        <f>VLOOKUP(Q225,Start!$C$9:$D$15,2,FALSE)+VLOOKUP(Q225,Start!$C$23:$D$29,2,FALSE)</f>
        <v>0</v>
      </c>
      <c r="Z225" s="298">
        <f>(Y225/U225)+Start!$D$19*(VLOOKUP(Q225,Start!$M$33:$N$39,2,FALSE)/U225)+VLOOKUP(R225,Start!$C$33:$D$40,2,FALSE)</f>
        <v>1</v>
      </c>
      <c r="AA225" s="234"/>
      <c r="AB225" s="278"/>
    </row>
    <row r="226" spans="2:28" ht="18.75" customHeight="1" x14ac:dyDescent="0.3">
      <c r="B226" s="229"/>
      <c r="C226" s="289" t="s">
        <v>2485</v>
      </c>
      <c r="D226" s="299" t="s">
        <v>1251</v>
      </c>
      <c r="E226" s="300" t="s">
        <v>1252</v>
      </c>
      <c r="F226" s="300" t="s">
        <v>1253</v>
      </c>
      <c r="G226" s="302">
        <v>68199</v>
      </c>
      <c r="H226" s="300" t="s">
        <v>1242</v>
      </c>
      <c r="I226" s="300" t="s">
        <v>1254</v>
      </c>
      <c r="J226" s="306" t="s">
        <v>20</v>
      </c>
      <c r="K226" s="300" t="s">
        <v>327</v>
      </c>
      <c r="L226" s="304" t="s">
        <v>2029</v>
      </c>
      <c r="M226" s="300" t="s">
        <v>3</v>
      </c>
      <c r="N226" s="300"/>
      <c r="O226" s="300"/>
      <c r="P226" s="300" t="s">
        <v>3</v>
      </c>
      <c r="Q226" s="300" t="s">
        <v>3</v>
      </c>
      <c r="R226" s="300" t="s">
        <v>3</v>
      </c>
      <c r="S226" s="300" t="s">
        <v>1981</v>
      </c>
      <c r="T226" s="300" t="s">
        <v>2458</v>
      </c>
      <c r="U226" s="303">
        <v>0.4375</v>
      </c>
      <c r="V226" s="300" t="s">
        <v>2458</v>
      </c>
      <c r="W226" s="307">
        <v>255</v>
      </c>
      <c r="X226" s="297">
        <f>(1-VLOOKUP(R226,Start!$H$33:$I$40,2,FALSE)/100)*W226</f>
        <v>198.9</v>
      </c>
      <c r="Y226" s="297">
        <f>VLOOKUP(Q226,Start!$C$9:$D$15,2,FALSE)+VLOOKUP(Q226,Start!$C$23:$D$29,2,FALSE)</f>
        <v>12.53</v>
      </c>
      <c r="Z226" s="298">
        <f>(Y226/U226)+Start!$D$19*(VLOOKUP(Q226,Start!$M$33:$N$39,2,FALSE)/U226)+VLOOKUP(R226,Start!$C$33:$D$40,2,FALSE)</f>
        <v>48.889028571428568</v>
      </c>
      <c r="AA226" s="234"/>
      <c r="AB226" s="278"/>
    </row>
    <row r="227" spans="2:28" ht="18.75" customHeight="1" x14ac:dyDescent="0.3">
      <c r="B227" s="229"/>
      <c r="C227" s="289" t="s">
        <v>2485</v>
      </c>
      <c r="D227" s="299" t="s">
        <v>1255</v>
      </c>
      <c r="E227" s="300" t="s">
        <v>1252</v>
      </c>
      <c r="F227" s="300" t="s">
        <v>1253</v>
      </c>
      <c r="G227" s="302">
        <v>68199</v>
      </c>
      <c r="H227" s="300" t="s">
        <v>1242</v>
      </c>
      <c r="I227" s="300" t="s">
        <v>1254</v>
      </c>
      <c r="J227" s="306" t="s">
        <v>20</v>
      </c>
      <c r="K227" s="300" t="s">
        <v>549</v>
      </c>
      <c r="L227" s="304" t="s">
        <v>2030</v>
      </c>
      <c r="M227" s="300" t="s">
        <v>3</v>
      </c>
      <c r="N227" s="300"/>
      <c r="O227" s="300"/>
      <c r="P227" s="300" t="s">
        <v>3</v>
      </c>
      <c r="Q227" s="300" t="s">
        <v>3</v>
      </c>
      <c r="R227" s="300" t="s">
        <v>3</v>
      </c>
      <c r="S227" s="300" t="s">
        <v>1981</v>
      </c>
      <c r="T227" s="300" t="s">
        <v>2458</v>
      </c>
      <c r="U227" s="303">
        <v>0.38</v>
      </c>
      <c r="V227" s="300" t="s">
        <v>2458</v>
      </c>
      <c r="W227" s="307">
        <v>425</v>
      </c>
      <c r="X227" s="297">
        <f>(1-VLOOKUP(R227,Start!$H$33:$I$40,2,FALSE)/100)*W227</f>
        <v>331.5</v>
      </c>
      <c r="Y227" s="297">
        <f>VLOOKUP(Q227,Start!$C$9:$D$15,2,FALSE)+VLOOKUP(Q227,Start!$C$23:$D$29,2,FALSE)</f>
        <v>12.53</v>
      </c>
      <c r="Z227" s="298">
        <f>(Y227/U227)+Start!$D$19*(VLOOKUP(Q227,Start!$M$33:$N$39,2,FALSE)/U227)+VLOOKUP(R227,Start!$C$33:$D$40,2,FALSE)</f>
        <v>56.09</v>
      </c>
      <c r="AA227" s="234"/>
      <c r="AB227" s="278"/>
    </row>
    <row r="228" spans="2:28" ht="18.75" customHeight="1" x14ac:dyDescent="0.3">
      <c r="B228" s="229"/>
      <c r="C228" s="289" t="s">
        <v>2485</v>
      </c>
      <c r="D228" s="299" t="s">
        <v>1256</v>
      </c>
      <c r="E228" s="300" t="s">
        <v>1252</v>
      </c>
      <c r="F228" s="300" t="s">
        <v>1253</v>
      </c>
      <c r="G228" s="302">
        <v>68199</v>
      </c>
      <c r="H228" s="300" t="s">
        <v>1242</v>
      </c>
      <c r="I228" s="300" t="s">
        <v>1254</v>
      </c>
      <c r="J228" s="306" t="s">
        <v>20</v>
      </c>
      <c r="K228" s="300" t="s">
        <v>1257</v>
      </c>
      <c r="L228" s="304" t="s">
        <v>2031</v>
      </c>
      <c r="M228" s="300" t="s">
        <v>3</v>
      </c>
      <c r="N228" s="300"/>
      <c r="O228" s="300"/>
      <c r="P228" s="300" t="s">
        <v>3</v>
      </c>
      <c r="Q228" s="300" t="s">
        <v>3</v>
      </c>
      <c r="R228" s="300" t="s">
        <v>3</v>
      </c>
      <c r="S228" s="300" t="s">
        <v>1981</v>
      </c>
      <c r="T228" s="300" t="s">
        <v>2458</v>
      </c>
      <c r="U228" s="303">
        <v>0.40749999999999997</v>
      </c>
      <c r="V228" s="300" t="s">
        <v>2458</v>
      </c>
      <c r="W228" s="307">
        <v>435</v>
      </c>
      <c r="X228" s="297">
        <f>(1-VLOOKUP(R228,Start!$H$33:$I$40,2,FALSE)/100)*W228</f>
        <v>339.3</v>
      </c>
      <c r="Y228" s="297">
        <f>VLOOKUP(Q228,Start!$C$9:$D$15,2,FALSE)+VLOOKUP(Q228,Start!$C$23:$D$29,2,FALSE)</f>
        <v>12.53</v>
      </c>
      <c r="Z228" s="298">
        <f>(Y228/U228)+Start!$D$19*(VLOOKUP(Q228,Start!$M$33:$N$39,2,FALSE)/U228)+VLOOKUP(R228,Start!$C$33:$D$40,2,FALSE)</f>
        <v>52.392515337423319</v>
      </c>
      <c r="AA228" s="234"/>
      <c r="AB228" s="278"/>
    </row>
    <row r="229" spans="2:28" ht="18.75" customHeight="1" x14ac:dyDescent="0.3">
      <c r="B229" s="229"/>
      <c r="C229" s="289" t="s">
        <v>2485</v>
      </c>
      <c r="D229" s="299" t="s">
        <v>1258</v>
      </c>
      <c r="E229" s="300" t="s">
        <v>1252</v>
      </c>
      <c r="F229" s="300" t="s">
        <v>1253</v>
      </c>
      <c r="G229" s="302">
        <v>68199</v>
      </c>
      <c r="H229" s="300" t="s">
        <v>1242</v>
      </c>
      <c r="I229" s="300" t="s">
        <v>1254</v>
      </c>
      <c r="J229" s="306" t="s">
        <v>20</v>
      </c>
      <c r="K229" s="300" t="s">
        <v>640</v>
      </c>
      <c r="L229" s="304" t="s">
        <v>2032</v>
      </c>
      <c r="M229" s="300" t="s">
        <v>3</v>
      </c>
      <c r="N229" s="300"/>
      <c r="O229" s="300"/>
      <c r="P229" s="300" t="s">
        <v>3</v>
      </c>
      <c r="Q229" s="300" t="s">
        <v>3</v>
      </c>
      <c r="R229" s="300" t="s">
        <v>3</v>
      </c>
      <c r="S229" s="300" t="s">
        <v>1981</v>
      </c>
      <c r="T229" s="300" t="s">
        <v>2458</v>
      </c>
      <c r="U229" s="303">
        <v>0.46250000000000002</v>
      </c>
      <c r="V229" s="300" t="s">
        <v>2458</v>
      </c>
      <c r="W229" s="307">
        <v>843</v>
      </c>
      <c r="X229" s="297">
        <f>(1-VLOOKUP(R229,Start!$H$33:$I$40,2,FALSE)/100)*W229</f>
        <v>657.54000000000008</v>
      </c>
      <c r="Y229" s="297">
        <f>VLOOKUP(Q229,Start!$C$9:$D$15,2,FALSE)+VLOOKUP(Q229,Start!$C$23:$D$29,2,FALSE)</f>
        <v>12.53</v>
      </c>
      <c r="Z229" s="298">
        <f>(Y229/U229)+Start!$D$19*(VLOOKUP(Q229,Start!$M$33:$N$39,2,FALSE)/U229)+VLOOKUP(R229,Start!$C$33:$D$40,2,FALSE)</f>
        <v>46.316648648648645</v>
      </c>
      <c r="AA229" s="234"/>
      <c r="AB229" s="278"/>
    </row>
    <row r="230" spans="2:28" ht="18.75" customHeight="1" x14ac:dyDescent="0.3">
      <c r="B230" s="229"/>
      <c r="C230" s="289" t="s">
        <v>2485</v>
      </c>
      <c r="D230" s="305" t="s">
        <v>1259</v>
      </c>
      <c r="E230" s="300" t="s">
        <v>1260</v>
      </c>
      <c r="F230" s="300" t="s">
        <v>1261</v>
      </c>
      <c r="G230" s="302">
        <v>45772</v>
      </c>
      <c r="H230" s="300" t="s">
        <v>1262</v>
      </c>
      <c r="I230" s="300" t="s">
        <v>1263</v>
      </c>
      <c r="J230" s="306" t="s">
        <v>19</v>
      </c>
      <c r="K230" s="300" t="s">
        <v>1264</v>
      </c>
      <c r="L230" s="304" t="s">
        <v>2220</v>
      </c>
      <c r="M230" s="300" t="s">
        <v>7</v>
      </c>
      <c r="N230" s="300"/>
      <c r="O230" s="300"/>
      <c r="P230" s="300" t="s">
        <v>7</v>
      </c>
      <c r="Q230" s="300" t="s">
        <v>7</v>
      </c>
      <c r="R230" s="300" t="s">
        <v>226</v>
      </c>
      <c r="S230" s="300" t="s">
        <v>1996</v>
      </c>
      <c r="T230" s="300" t="s">
        <v>2458</v>
      </c>
      <c r="U230" s="303">
        <v>0.55349999999999999</v>
      </c>
      <c r="V230" s="300" t="s">
        <v>2458</v>
      </c>
      <c r="W230" s="307">
        <v>61.13</v>
      </c>
      <c r="X230" s="297">
        <f>(1-VLOOKUP(R230,Start!$H$33:$I$40,2,FALSE)/100)*W230</f>
        <v>54.405700000000003</v>
      </c>
      <c r="Y230" s="297">
        <f>VLOOKUP(Q230,Start!$C$9:$D$15,2,FALSE)+VLOOKUP(Q230,Start!$C$23:$D$29,2,FALSE)</f>
        <v>23.27</v>
      </c>
      <c r="Z230" s="298">
        <f>(Y230/U230)+Start!$D$19*(VLOOKUP(Q230,Start!$M$33:$N$39,2,FALSE)/U230)+VLOOKUP(R230,Start!$C$33:$D$40,2,FALSE)</f>
        <v>52.474887082204162</v>
      </c>
      <c r="AA230" s="234"/>
      <c r="AB230" s="278"/>
    </row>
    <row r="231" spans="2:28" ht="18.75" customHeight="1" x14ac:dyDescent="0.3">
      <c r="B231" s="229"/>
      <c r="C231" s="289" t="s">
        <v>2485</v>
      </c>
      <c r="D231" s="305" t="s">
        <v>1265</v>
      </c>
      <c r="E231" s="300" t="s">
        <v>1260</v>
      </c>
      <c r="F231" s="300" t="s">
        <v>1261</v>
      </c>
      <c r="G231" s="302">
        <v>45772</v>
      </c>
      <c r="H231" s="300" t="s">
        <v>1262</v>
      </c>
      <c r="I231" s="300" t="s">
        <v>1263</v>
      </c>
      <c r="J231" s="306" t="s">
        <v>19</v>
      </c>
      <c r="K231" s="300" t="s">
        <v>1266</v>
      </c>
      <c r="L231" s="304" t="s">
        <v>1788</v>
      </c>
      <c r="M231" s="300" t="s">
        <v>7</v>
      </c>
      <c r="N231" s="300"/>
      <c r="O231" s="300"/>
      <c r="P231" s="300" t="s">
        <v>7</v>
      </c>
      <c r="Q231" s="300" t="s">
        <v>7</v>
      </c>
      <c r="R231" s="300" t="s">
        <v>226</v>
      </c>
      <c r="S231" s="300" t="s">
        <v>1996</v>
      </c>
      <c r="T231" s="300" t="s">
        <v>2458</v>
      </c>
      <c r="U231" s="303">
        <v>0.55349999999999999</v>
      </c>
      <c r="V231" s="300" t="s">
        <v>2458</v>
      </c>
      <c r="W231" s="307">
        <v>77.569999999999993</v>
      </c>
      <c r="X231" s="297">
        <f>(1-VLOOKUP(R231,Start!$H$33:$I$40,2,FALSE)/100)*W231</f>
        <v>69.037300000000002</v>
      </c>
      <c r="Y231" s="297">
        <f>VLOOKUP(Q231,Start!$C$9:$D$15,2,FALSE)+VLOOKUP(Q231,Start!$C$23:$D$29,2,FALSE)</f>
        <v>23.27</v>
      </c>
      <c r="Z231" s="298">
        <f>(Y231/U231)+Start!$D$19*(VLOOKUP(Q231,Start!$M$33:$N$39,2,FALSE)/U231)+VLOOKUP(R231,Start!$C$33:$D$40,2,FALSE)</f>
        <v>52.474887082204162</v>
      </c>
      <c r="AA231" s="234"/>
      <c r="AB231" s="278"/>
    </row>
    <row r="232" spans="2:28" ht="18.75" customHeight="1" x14ac:dyDescent="0.3">
      <c r="B232" s="229"/>
      <c r="C232" s="289" t="s">
        <v>2485</v>
      </c>
      <c r="D232" s="305" t="s">
        <v>1273</v>
      </c>
      <c r="E232" s="300" t="s">
        <v>1260</v>
      </c>
      <c r="F232" s="300" t="s">
        <v>1274</v>
      </c>
      <c r="G232" s="303">
        <v>45772</v>
      </c>
      <c r="H232" s="303" t="s">
        <v>1262</v>
      </c>
      <c r="I232" s="303" t="s">
        <v>1263</v>
      </c>
      <c r="J232" s="306" t="s">
        <v>19</v>
      </c>
      <c r="K232" s="303" t="s">
        <v>1275</v>
      </c>
      <c r="L232" s="304" t="s">
        <v>2034</v>
      </c>
      <c r="M232" s="303" t="s">
        <v>47</v>
      </c>
      <c r="N232" s="303" t="s">
        <v>3</v>
      </c>
      <c r="O232" s="303" t="s">
        <v>1276</v>
      </c>
      <c r="P232" s="314" t="s">
        <v>3</v>
      </c>
      <c r="Q232" s="303" t="s">
        <v>3</v>
      </c>
      <c r="R232" s="300" t="s">
        <v>3</v>
      </c>
      <c r="S232" s="300" t="s">
        <v>1996</v>
      </c>
      <c r="T232" s="300" t="s">
        <v>2458</v>
      </c>
      <c r="U232" s="303">
        <v>0.40949999999999998</v>
      </c>
      <c r="V232" s="300" t="s">
        <v>2458</v>
      </c>
      <c r="W232" s="307">
        <v>55.56</v>
      </c>
      <c r="X232" s="297">
        <f>(1-VLOOKUP(R232,Start!$H$33:$I$40,2,FALSE)/100)*W232</f>
        <v>43.336800000000004</v>
      </c>
      <c r="Y232" s="297">
        <f>VLOOKUP(Q232,Start!$C$9:$D$15,2,FALSE)+VLOOKUP(Q232,Start!$C$23:$D$29,2,FALSE)</f>
        <v>12.53</v>
      </c>
      <c r="Z232" s="298">
        <f>(Y232/U232)+Start!$D$19*(VLOOKUP(Q232,Start!$M$33:$N$39,2,FALSE)/U232)+VLOOKUP(R232,Start!$C$33:$D$40,2,FALSE)</f>
        <v>52.142979242979244</v>
      </c>
      <c r="AA232" s="234"/>
      <c r="AB232" s="278"/>
    </row>
    <row r="233" spans="2:28" ht="18.75" customHeight="1" x14ac:dyDescent="0.3">
      <c r="B233" s="229"/>
      <c r="C233" s="289" t="s">
        <v>2485</v>
      </c>
      <c r="D233" s="299" t="s">
        <v>1277</v>
      </c>
      <c r="E233" s="300" t="s">
        <v>1260</v>
      </c>
      <c r="F233" s="132" t="s">
        <v>1278</v>
      </c>
      <c r="G233" s="311">
        <v>45772</v>
      </c>
      <c r="H233" s="312" t="s">
        <v>1262</v>
      </c>
      <c r="I233" s="132" t="s">
        <v>1263</v>
      </c>
      <c r="J233" s="301" t="s">
        <v>19</v>
      </c>
      <c r="K233" s="300" t="s">
        <v>1279</v>
      </c>
      <c r="L233" s="304" t="s">
        <v>2035</v>
      </c>
      <c r="M233" s="300" t="s">
        <v>47</v>
      </c>
      <c r="N233" s="132" t="s">
        <v>3</v>
      </c>
      <c r="O233" s="300" t="s">
        <v>1280</v>
      </c>
      <c r="P233" s="314" t="s">
        <v>3</v>
      </c>
      <c r="Q233" s="300" t="s">
        <v>3</v>
      </c>
      <c r="R233" s="300" t="s">
        <v>3</v>
      </c>
      <c r="S233" s="300" t="s">
        <v>1996</v>
      </c>
      <c r="T233" s="300" t="s">
        <v>2458</v>
      </c>
      <c r="U233" s="303">
        <v>0.46350000000000002</v>
      </c>
      <c r="V233" s="300" t="s">
        <v>2458</v>
      </c>
      <c r="W233" s="315">
        <v>68.400000000000006</v>
      </c>
      <c r="X233" s="297">
        <f>(1-VLOOKUP(R233,Start!$H$33:$I$40,2,FALSE)/100)*W233</f>
        <v>53.352000000000004</v>
      </c>
      <c r="Y233" s="297">
        <f>VLOOKUP(Q233,Start!$C$9:$D$15,2,FALSE)+VLOOKUP(Q233,Start!$C$23:$D$29,2,FALSE)</f>
        <v>12.53</v>
      </c>
      <c r="Z233" s="298">
        <f>(Y233/U233)+Start!$D$19*(VLOOKUP(Q233,Start!$M$33:$N$39,2,FALSE)/U233)+VLOOKUP(R233,Start!$C$33:$D$40,2,FALSE)</f>
        <v>46.219525350593301</v>
      </c>
      <c r="AA233" s="234"/>
      <c r="AB233" s="278"/>
    </row>
    <row r="234" spans="2:28" ht="18.75" customHeight="1" x14ac:dyDescent="0.3">
      <c r="B234" s="229"/>
      <c r="C234" s="289" t="s">
        <v>2485</v>
      </c>
      <c r="D234" s="305" t="s">
        <v>1269</v>
      </c>
      <c r="E234" s="300" t="s">
        <v>1260</v>
      </c>
      <c r="F234" s="300" t="s">
        <v>1270</v>
      </c>
      <c r="G234" s="302">
        <v>45772</v>
      </c>
      <c r="H234" s="300" t="s">
        <v>1262</v>
      </c>
      <c r="I234" s="303" t="s">
        <v>1263</v>
      </c>
      <c r="J234" s="303" t="s">
        <v>19</v>
      </c>
      <c r="K234" s="303" t="s">
        <v>1271</v>
      </c>
      <c r="L234" s="304" t="s">
        <v>2033</v>
      </c>
      <c r="M234" s="300" t="s">
        <v>47</v>
      </c>
      <c r="N234" s="303"/>
      <c r="O234" s="303"/>
      <c r="P234" s="314" t="s">
        <v>1272</v>
      </c>
      <c r="Q234" s="300" t="s">
        <v>5</v>
      </c>
      <c r="R234" s="300" t="s">
        <v>5</v>
      </c>
      <c r="S234" s="300" t="s">
        <v>1996</v>
      </c>
      <c r="T234" s="300" t="s">
        <v>2458</v>
      </c>
      <c r="U234" s="303">
        <v>0.27</v>
      </c>
      <c r="V234" s="300" t="s">
        <v>2458</v>
      </c>
      <c r="W234" s="303">
        <v>169.32</v>
      </c>
      <c r="X234" s="297">
        <f>(1-VLOOKUP(R234,Start!$H$33:$I$40,2,FALSE)/100)*W234</f>
        <v>143.922</v>
      </c>
      <c r="Y234" s="297">
        <f>VLOOKUP(Q234,Start!$C$9:$D$15,2,FALSE)+VLOOKUP(Q234,Start!$C$23:$D$29,2,FALSE)</f>
        <v>32.923832923832919</v>
      </c>
      <c r="Z234" s="298">
        <f>(Y234/U234)+Start!$D$19*(VLOOKUP(Q234,Start!$M$33:$N$39,2,FALSE)/U234)+VLOOKUP(R234,Start!$C$33:$D$40,2,FALSE)</f>
        <v>142.43789971789968</v>
      </c>
      <c r="AA234" s="234"/>
      <c r="AB234" s="278"/>
    </row>
    <row r="235" spans="2:28" ht="18.75" customHeight="1" x14ac:dyDescent="0.3">
      <c r="B235" s="229"/>
      <c r="C235" s="289" t="s">
        <v>2485</v>
      </c>
      <c r="D235" s="305" t="s">
        <v>1312</v>
      </c>
      <c r="E235" s="300" t="s">
        <v>1313</v>
      </c>
      <c r="F235" s="303" t="s">
        <v>1314</v>
      </c>
      <c r="G235" s="308">
        <v>81371</v>
      </c>
      <c r="H235" s="303" t="s">
        <v>1315</v>
      </c>
      <c r="I235" s="303"/>
      <c r="J235" s="301" t="s">
        <v>55</v>
      </c>
      <c r="K235" s="303">
        <v>1</v>
      </c>
      <c r="L235" s="304" t="s">
        <v>2223</v>
      </c>
      <c r="M235" s="309" t="s">
        <v>7</v>
      </c>
      <c r="N235" s="132"/>
      <c r="O235" s="132"/>
      <c r="P235" s="309" t="s">
        <v>7</v>
      </c>
      <c r="Q235" s="300" t="s">
        <v>7</v>
      </c>
      <c r="R235" s="300" t="s">
        <v>226</v>
      </c>
      <c r="S235" s="300" t="s">
        <v>1996</v>
      </c>
      <c r="T235" s="300" t="s">
        <v>2458</v>
      </c>
      <c r="U235" s="303">
        <v>0.45</v>
      </c>
      <c r="V235" s="300" t="s">
        <v>2458</v>
      </c>
      <c r="W235" s="297">
        <v>79.7</v>
      </c>
      <c r="X235" s="297">
        <f>(1-VLOOKUP(R235,Start!$H$33:$I$40,2,FALSE)/100)*W235</f>
        <v>70.933000000000007</v>
      </c>
      <c r="Y235" s="297">
        <f>VLOOKUP(Q235,Start!$C$9:$D$15,2,FALSE)+VLOOKUP(Q235,Start!$C$23:$D$29,2,FALSE)</f>
        <v>23.27</v>
      </c>
      <c r="Z235" s="298">
        <f>(Y235/U235)+Start!$D$19*(VLOOKUP(Q235,Start!$M$33:$N$39,2,FALSE)/U235)+VLOOKUP(R235,Start!$C$33:$D$40,2,FALSE)</f>
        <v>64.199111111111108</v>
      </c>
      <c r="AA235" s="234"/>
      <c r="AB235" s="278"/>
    </row>
    <row r="236" spans="2:28" ht="18.75" customHeight="1" x14ac:dyDescent="0.3">
      <c r="B236" s="229"/>
      <c r="C236" s="289" t="s">
        <v>2485</v>
      </c>
      <c r="D236" s="299" t="s">
        <v>1316</v>
      </c>
      <c r="E236" s="300" t="s">
        <v>1313</v>
      </c>
      <c r="F236" s="132" t="s">
        <v>1317</v>
      </c>
      <c r="G236" s="311">
        <v>81371</v>
      </c>
      <c r="H236" s="312" t="s">
        <v>1315</v>
      </c>
      <c r="I236" s="132"/>
      <c r="J236" s="301" t="s">
        <v>55</v>
      </c>
      <c r="K236" s="300">
        <v>1</v>
      </c>
      <c r="L236" s="304" t="s">
        <v>2224</v>
      </c>
      <c r="M236" s="300" t="s">
        <v>7</v>
      </c>
      <c r="N236" s="132"/>
      <c r="O236" s="300"/>
      <c r="P236" s="314" t="s">
        <v>7</v>
      </c>
      <c r="Q236" s="300" t="s">
        <v>7</v>
      </c>
      <c r="R236" s="300" t="s">
        <v>226</v>
      </c>
      <c r="S236" s="300" t="s">
        <v>1996</v>
      </c>
      <c r="T236" s="300" t="s">
        <v>2458</v>
      </c>
      <c r="U236" s="303">
        <v>0.45</v>
      </c>
      <c r="V236" s="300" t="s">
        <v>2458</v>
      </c>
      <c r="W236" s="315">
        <v>97.9</v>
      </c>
      <c r="X236" s="297">
        <f>(1-VLOOKUP(R236,Start!$H$33:$I$40,2,FALSE)/100)*W236</f>
        <v>87.131</v>
      </c>
      <c r="Y236" s="297">
        <f>VLOOKUP(Q236,Start!$C$9:$D$15,2,FALSE)+VLOOKUP(Q236,Start!$C$23:$D$29,2,FALSE)</f>
        <v>23.27</v>
      </c>
      <c r="Z236" s="298">
        <f>(Y236/U236)+Start!$D$19*(VLOOKUP(Q236,Start!$M$33:$N$39,2,FALSE)/U236)+VLOOKUP(R236,Start!$C$33:$D$40,2,FALSE)</f>
        <v>64.199111111111108</v>
      </c>
      <c r="AA236" s="234"/>
      <c r="AB236" s="278"/>
    </row>
    <row r="237" spans="2:28" ht="18.75" customHeight="1" x14ac:dyDescent="0.3">
      <c r="B237" s="229"/>
      <c r="C237" s="289" t="s">
        <v>2485</v>
      </c>
      <c r="D237" s="305" t="s">
        <v>1318</v>
      </c>
      <c r="E237" s="300" t="s">
        <v>1313</v>
      </c>
      <c r="F237" s="301" t="s">
        <v>1319</v>
      </c>
      <c r="G237" s="302">
        <v>81371</v>
      </c>
      <c r="H237" s="303" t="s">
        <v>1315</v>
      </c>
      <c r="I237" s="303"/>
      <c r="J237" s="301" t="s">
        <v>55</v>
      </c>
      <c r="K237" s="301">
        <v>1</v>
      </c>
      <c r="L237" s="304" t="s">
        <v>2225</v>
      </c>
      <c r="M237" s="300" t="s">
        <v>7</v>
      </c>
      <c r="N237" s="132"/>
      <c r="O237" s="303"/>
      <c r="P237" s="314" t="s">
        <v>7</v>
      </c>
      <c r="Q237" s="300" t="s">
        <v>7</v>
      </c>
      <c r="R237" s="300" t="s">
        <v>226</v>
      </c>
      <c r="S237" s="300" t="s">
        <v>1996</v>
      </c>
      <c r="T237" s="300" t="s">
        <v>2458</v>
      </c>
      <c r="U237" s="303">
        <v>0.45</v>
      </c>
      <c r="V237" s="300" t="s">
        <v>2458</v>
      </c>
      <c r="W237" s="297">
        <v>97.9</v>
      </c>
      <c r="X237" s="297">
        <f>(1-VLOOKUP(R237,Start!$H$33:$I$40,2,FALSE)/100)*W237</f>
        <v>87.131</v>
      </c>
      <c r="Y237" s="297">
        <f>VLOOKUP(Q237,Start!$C$9:$D$15,2,FALSE)+VLOOKUP(Q237,Start!$C$23:$D$29,2,FALSE)</f>
        <v>23.27</v>
      </c>
      <c r="Z237" s="298">
        <f>(Y237/U237)+Start!$D$19*(VLOOKUP(Q237,Start!$M$33:$N$39,2,FALSE)/U237)+VLOOKUP(R237,Start!$C$33:$D$40,2,FALSE)</f>
        <v>64.199111111111108</v>
      </c>
      <c r="AA237" s="234"/>
      <c r="AB237" s="278"/>
    </row>
    <row r="238" spans="2:28" ht="18.75" customHeight="1" x14ac:dyDescent="0.3">
      <c r="B238" s="229"/>
      <c r="C238" s="289" t="s">
        <v>2485</v>
      </c>
      <c r="D238" s="299" t="s">
        <v>1320</v>
      </c>
      <c r="E238" s="300" t="s">
        <v>1313</v>
      </c>
      <c r="F238" s="331" t="s">
        <v>1321</v>
      </c>
      <c r="G238" s="332">
        <v>81371</v>
      </c>
      <c r="H238" s="300" t="s">
        <v>1315</v>
      </c>
      <c r="I238" s="300"/>
      <c r="J238" s="306" t="s">
        <v>55</v>
      </c>
      <c r="K238" s="300">
        <v>2</v>
      </c>
      <c r="L238" s="304" t="s">
        <v>2226</v>
      </c>
      <c r="M238" s="300" t="s">
        <v>7</v>
      </c>
      <c r="N238" s="300"/>
      <c r="O238" s="300"/>
      <c r="P238" s="300" t="s">
        <v>7</v>
      </c>
      <c r="Q238" s="300" t="s">
        <v>7</v>
      </c>
      <c r="R238" s="300" t="s">
        <v>226</v>
      </c>
      <c r="S238" s="300" t="s">
        <v>1996</v>
      </c>
      <c r="T238" s="300" t="s">
        <v>2458</v>
      </c>
      <c r="U238" s="303">
        <v>0.55800000000000005</v>
      </c>
      <c r="V238" s="300" t="s">
        <v>2458</v>
      </c>
      <c r="W238" s="307">
        <v>124.9</v>
      </c>
      <c r="X238" s="297">
        <f>(1-VLOOKUP(R238,Start!$H$33:$I$40,2,FALSE)/100)*W238</f>
        <v>111.161</v>
      </c>
      <c r="Y238" s="297">
        <f>VLOOKUP(Q238,Start!$C$9:$D$15,2,FALSE)+VLOOKUP(Q238,Start!$C$23:$D$29,2,FALSE)</f>
        <v>23.27</v>
      </c>
      <c r="Z238" s="298">
        <f>(Y238/U238)+Start!$D$19*(VLOOKUP(Q238,Start!$M$33:$N$39,2,FALSE)/U238)+VLOOKUP(R238,Start!$C$33:$D$40,2,FALSE)</f>
        <v>52.063799283154118</v>
      </c>
      <c r="AA238" s="234"/>
      <c r="AB238" s="278"/>
    </row>
    <row r="239" spans="2:28" ht="18.75" customHeight="1" x14ac:dyDescent="0.3">
      <c r="B239" s="229"/>
      <c r="C239" s="289" t="s">
        <v>2485</v>
      </c>
      <c r="D239" s="305" t="s">
        <v>1322</v>
      </c>
      <c r="E239" s="300" t="s">
        <v>1313</v>
      </c>
      <c r="F239" s="300" t="s">
        <v>1323</v>
      </c>
      <c r="G239" s="308">
        <v>81371</v>
      </c>
      <c r="H239" s="301" t="s">
        <v>1315</v>
      </c>
      <c r="I239" s="301"/>
      <c r="J239" s="306" t="s">
        <v>55</v>
      </c>
      <c r="K239" s="301">
        <v>2</v>
      </c>
      <c r="L239" s="304" t="s">
        <v>2226</v>
      </c>
      <c r="M239" s="301" t="s">
        <v>7</v>
      </c>
      <c r="N239" s="301"/>
      <c r="O239" s="301"/>
      <c r="P239" s="314" t="s">
        <v>7</v>
      </c>
      <c r="Q239" s="300" t="s">
        <v>7</v>
      </c>
      <c r="R239" s="300" t="s">
        <v>226</v>
      </c>
      <c r="S239" s="300" t="s">
        <v>1996</v>
      </c>
      <c r="T239" s="300" t="s">
        <v>2458</v>
      </c>
      <c r="U239" s="303">
        <v>0.55800000000000005</v>
      </c>
      <c r="V239" s="300" t="s">
        <v>2458</v>
      </c>
      <c r="W239" s="301">
        <v>123.9</v>
      </c>
      <c r="X239" s="297">
        <f>(1-VLOOKUP(R239,Start!$H$33:$I$40,2,FALSE)/100)*W239</f>
        <v>110.271</v>
      </c>
      <c r="Y239" s="297">
        <f>VLOOKUP(Q239,Start!$C$9:$D$15,2,FALSE)+VLOOKUP(Q239,Start!$C$23:$D$29,2,FALSE)</f>
        <v>23.27</v>
      </c>
      <c r="Z239" s="298">
        <f>(Y239/U239)+Start!$D$19*(VLOOKUP(Q239,Start!$M$33:$N$39,2,FALSE)/U239)+VLOOKUP(R239,Start!$C$33:$D$40,2,FALSE)</f>
        <v>52.063799283154118</v>
      </c>
      <c r="AA239" s="234"/>
      <c r="AB239" s="278"/>
    </row>
    <row r="240" spans="2:28" ht="18.75" customHeight="1" x14ac:dyDescent="0.3">
      <c r="B240" s="229"/>
      <c r="C240" s="289" t="s">
        <v>2485</v>
      </c>
      <c r="D240" s="305" t="s">
        <v>1324</v>
      </c>
      <c r="E240" s="300" t="s">
        <v>1313</v>
      </c>
      <c r="F240" s="301" t="s">
        <v>1325</v>
      </c>
      <c r="G240" s="302">
        <v>81371</v>
      </c>
      <c r="H240" s="303" t="s">
        <v>1315</v>
      </c>
      <c r="I240" s="303"/>
      <c r="J240" s="301" t="s">
        <v>55</v>
      </c>
      <c r="K240" s="301">
        <v>2</v>
      </c>
      <c r="L240" s="304" t="s">
        <v>2226</v>
      </c>
      <c r="M240" s="300" t="s">
        <v>7</v>
      </c>
      <c r="N240" s="132"/>
      <c r="O240" s="132"/>
      <c r="P240" s="132" t="s">
        <v>7</v>
      </c>
      <c r="Q240" s="300" t="s">
        <v>7</v>
      </c>
      <c r="R240" s="300" t="s">
        <v>226</v>
      </c>
      <c r="S240" s="300" t="s">
        <v>1996</v>
      </c>
      <c r="T240" s="300" t="s">
        <v>2458</v>
      </c>
      <c r="U240" s="303">
        <v>0.55800000000000005</v>
      </c>
      <c r="V240" s="300" t="s">
        <v>2458</v>
      </c>
      <c r="W240" s="297">
        <v>127.6</v>
      </c>
      <c r="X240" s="297">
        <f>(1-VLOOKUP(R240,Start!$H$33:$I$40,2,FALSE)/100)*W240</f>
        <v>113.56399999999999</v>
      </c>
      <c r="Y240" s="297">
        <f>VLOOKUP(Q240,Start!$C$9:$D$15,2,FALSE)+VLOOKUP(Q240,Start!$C$23:$D$29,2,FALSE)</f>
        <v>23.27</v>
      </c>
      <c r="Z240" s="298">
        <f>(Y240/U240)+Start!$D$19*(VLOOKUP(Q240,Start!$M$33:$N$39,2,FALSE)/U240)+VLOOKUP(R240,Start!$C$33:$D$40,2,FALSE)</f>
        <v>52.063799283154118</v>
      </c>
      <c r="AA240" s="234"/>
      <c r="AB240" s="278"/>
    </row>
    <row r="241" spans="2:28" ht="18.75" customHeight="1" x14ac:dyDescent="0.3">
      <c r="B241" s="229"/>
      <c r="C241" s="289" t="s">
        <v>2485</v>
      </c>
      <c r="D241" s="305" t="s">
        <v>1334</v>
      </c>
      <c r="E241" s="300" t="s">
        <v>1335</v>
      </c>
      <c r="F241" s="300" t="s">
        <v>1336</v>
      </c>
      <c r="G241" s="302">
        <v>48145</v>
      </c>
      <c r="H241" s="300" t="s">
        <v>1337</v>
      </c>
      <c r="I241" s="300"/>
      <c r="J241" s="306" t="s">
        <v>19</v>
      </c>
      <c r="K241" s="300" t="s">
        <v>226</v>
      </c>
      <c r="L241" s="304" t="s">
        <v>2229</v>
      </c>
      <c r="M241" s="300" t="s">
        <v>47</v>
      </c>
      <c r="N241" s="300" t="s">
        <v>7</v>
      </c>
      <c r="O241" s="300" t="s">
        <v>104</v>
      </c>
      <c r="P241" s="300" t="s">
        <v>7</v>
      </c>
      <c r="Q241" s="300" t="s">
        <v>7</v>
      </c>
      <c r="R241" s="300" t="s">
        <v>226</v>
      </c>
      <c r="S241" s="300" t="s">
        <v>1996</v>
      </c>
      <c r="T241" s="300" t="s">
        <v>2458</v>
      </c>
      <c r="U241" s="303">
        <v>0.5625</v>
      </c>
      <c r="V241" s="300" t="s">
        <v>2458</v>
      </c>
      <c r="W241" s="307">
        <v>104.14</v>
      </c>
      <c r="X241" s="297">
        <f>(1-VLOOKUP(R241,Start!$H$33:$I$40,2,FALSE)/100)*W241</f>
        <v>92.684600000000003</v>
      </c>
      <c r="Y241" s="297">
        <f>VLOOKUP(Q241,Start!$C$9:$D$15,2,FALSE)+VLOOKUP(Q241,Start!$C$23:$D$29,2,FALSE)</f>
        <v>23.27</v>
      </c>
      <c r="Z241" s="298">
        <f>(Y241/U241)+Start!$D$19*(VLOOKUP(Q241,Start!$M$33:$N$39,2,FALSE)/U241)+VLOOKUP(R241,Start!$C$33:$D$40,2,FALSE)</f>
        <v>51.659288888888888</v>
      </c>
      <c r="AA241" s="234"/>
      <c r="AB241" s="278"/>
    </row>
    <row r="242" spans="2:28" ht="18.75" customHeight="1" x14ac:dyDescent="0.3">
      <c r="B242" s="229"/>
      <c r="C242" s="289" t="s">
        <v>2485</v>
      </c>
      <c r="D242" s="305" t="s">
        <v>1338</v>
      </c>
      <c r="E242" s="300" t="s">
        <v>40</v>
      </c>
      <c r="F242" s="300" t="s">
        <v>1339</v>
      </c>
      <c r="G242" s="301">
        <v>74382</v>
      </c>
      <c r="H242" s="301" t="s">
        <v>1340</v>
      </c>
      <c r="I242" s="301" t="s">
        <v>1341</v>
      </c>
      <c r="J242" s="306" t="s">
        <v>20</v>
      </c>
      <c r="K242" s="306" t="s">
        <v>1342</v>
      </c>
      <c r="L242" s="304" t="s">
        <v>2289</v>
      </c>
      <c r="M242" s="301" t="s">
        <v>1</v>
      </c>
      <c r="N242" s="301"/>
      <c r="O242" s="301"/>
      <c r="P242" s="301" t="s">
        <v>1</v>
      </c>
      <c r="Q242" s="300" t="s">
        <v>1</v>
      </c>
      <c r="R242" s="303" t="s">
        <v>1</v>
      </c>
      <c r="S242" s="300" t="s">
        <v>1981</v>
      </c>
      <c r="T242" s="300" t="s">
        <v>2458</v>
      </c>
      <c r="U242" s="303">
        <v>0.33</v>
      </c>
      <c r="V242" s="300" t="s">
        <v>2458</v>
      </c>
      <c r="W242" s="301">
        <v>1310</v>
      </c>
      <c r="X242" s="297">
        <f>(1-VLOOKUP(R242,Start!$H$33:$I$40,2,FALSE)/100)*W242</f>
        <v>1165.9000000000001</v>
      </c>
      <c r="Y242" s="297">
        <f>VLOOKUP(Q242,Start!$C$9:$D$15,2,FALSE)+VLOOKUP(Q242,Start!$C$23:$D$29,2,FALSE)</f>
        <v>5.5</v>
      </c>
      <c r="Z242" s="298">
        <f>(Y242/U242)+Start!$D$19*(VLOOKUP(Q242,Start!$M$33:$N$39,2,FALSE)/U242)+VLOOKUP(R242,Start!$C$33:$D$40,2,FALSE)</f>
        <v>17.866666666666664</v>
      </c>
      <c r="AA242" s="234"/>
      <c r="AB242" s="278"/>
    </row>
    <row r="243" spans="2:28" ht="18.75" customHeight="1" x14ac:dyDescent="0.3">
      <c r="B243" s="229"/>
      <c r="C243" s="289" t="s">
        <v>2485</v>
      </c>
      <c r="D243" s="299" t="s">
        <v>1343</v>
      </c>
      <c r="E243" s="300" t="s">
        <v>1344</v>
      </c>
      <c r="F243" s="132" t="s">
        <v>1345</v>
      </c>
      <c r="G243" s="311">
        <v>17034</v>
      </c>
      <c r="H243" s="312" t="s">
        <v>1346</v>
      </c>
      <c r="I243" s="132"/>
      <c r="J243" s="301" t="s">
        <v>66</v>
      </c>
      <c r="K243" s="300"/>
      <c r="L243" s="304" t="s">
        <v>2230</v>
      </c>
      <c r="M243" s="300" t="s">
        <v>47</v>
      </c>
      <c r="N243" s="132" t="s">
        <v>7</v>
      </c>
      <c r="O243" s="300" t="s">
        <v>115</v>
      </c>
      <c r="P243" s="314" t="s">
        <v>7</v>
      </c>
      <c r="Q243" s="300" t="s">
        <v>7</v>
      </c>
      <c r="R243" s="300" t="s">
        <v>226</v>
      </c>
      <c r="S243" s="300" t="s">
        <v>1996</v>
      </c>
      <c r="T243" s="300" t="s">
        <v>2458</v>
      </c>
      <c r="U243" s="303">
        <v>0.52649999999999997</v>
      </c>
      <c r="V243" s="300" t="s">
        <v>2458</v>
      </c>
      <c r="W243" s="315">
        <v>75</v>
      </c>
      <c r="X243" s="297">
        <f>(1-VLOOKUP(R243,Start!$H$33:$I$40,2,FALSE)/100)*W243</f>
        <v>66.75</v>
      </c>
      <c r="Y243" s="297">
        <f>VLOOKUP(Q243,Start!$C$9:$D$15,2,FALSE)+VLOOKUP(Q243,Start!$C$23:$D$29,2,FALSE)</f>
        <v>23.27</v>
      </c>
      <c r="Z243" s="298">
        <f>(Y243/U243)+Start!$D$19*(VLOOKUP(Q243,Start!$M$33:$N$39,2,FALSE)/U243)+VLOOKUP(R243,Start!$C$33:$D$40,2,FALSE)</f>
        <v>55.088983855650525</v>
      </c>
      <c r="AA243" s="234"/>
      <c r="AB243" s="278"/>
    </row>
    <row r="244" spans="2:28" ht="18.75" customHeight="1" x14ac:dyDescent="0.3">
      <c r="B244" s="229"/>
      <c r="C244" s="289" t="s">
        <v>2485</v>
      </c>
      <c r="D244" s="305" t="s">
        <v>1347</v>
      </c>
      <c r="E244" s="300" t="s">
        <v>1348</v>
      </c>
      <c r="F244" s="301" t="s">
        <v>1349</v>
      </c>
      <c r="G244" s="302">
        <v>24534</v>
      </c>
      <c r="H244" s="303" t="s">
        <v>1350</v>
      </c>
      <c r="I244" s="303"/>
      <c r="J244" s="301" t="s">
        <v>27</v>
      </c>
      <c r="K244" s="301"/>
      <c r="L244" s="304" t="s">
        <v>2325</v>
      </c>
      <c r="M244" s="300" t="s">
        <v>47</v>
      </c>
      <c r="N244" s="132" t="s">
        <v>1351</v>
      </c>
      <c r="O244" s="303" t="s">
        <v>1352</v>
      </c>
      <c r="P244" s="303" t="s">
        <v>214</v>
      </c>
      <c r="Q244" s="300" t="s">
        <v>6</v>
      </c>
      <c r="R244" s="300" t="s">
        <v>6</v>
      </c>
      <c r="S244" s="300" t="s">
        <v>1981</v>
      </c>
      <c r="T244" s="300" t="s">
        <v>2458</v>
      </c>
      <c r="U244" s="303">
        <v>0.33</v>
      </c>
      <c r="V244" s="300" t="s">
        <v>2460</v>
      </c>
      <c r="W244" s="297">
        <v>53.6</v>
      </c>
      <c r="X244" s="297">
        <f>(1-VLOOKUP(R244,Start!$H$33:$I$40,2,FALSE)/100)*W244</f>
        <v>45.56</v>
      </c>
      <c r="Y244" s="297">
        <f>VLOOKUP(Q244,Start!$C$9:$D$15,2,FALSE)+VLOOKUP(Q244,Start!$C$23:$D$29,2,FALSE)</f>
        <v>0</v>
      </c>
      <c r="Z244" s="298">
        <f>(Y244/U244)+Start!$D$19*(VLOOKUP(Q244,Start!$M$33:$N$39,2,FALSE)/U244)+VLOOKUP(R244,Start!$C$33:$D$40,2,FALSE)</f>
        <v>1</v>
      </c>
      <c r="AA244" s="234"/>
      <c r="AB244" s="278"/>
    </row>
    <row r="245" spans="2:28" ht="18.75" customHeight="1" x14ac:dyDescent="0.3">
      <c r="B245" s="229"/>
      <c r="C245" s="289" t="s">
        <v>2485</v>
      </c>
      <c r="D245" s="305" t="s">
        <v>736</v>
      </c>
      <c r="E245" s="300" t="s">
        <v>128</v>
      </c>
      <c r="F245" s="300" t="s">
        <v>734</v>
      </c>
      <c r="G245" s="302">
        <v>41517</v>
      </c>
      <c r="H245" s="300" t="s">
        <v>735</v>
      </c>
      <c r="I245" s="300"/>
      <c r="J245" s="306" t="s">
        <v>19</v>
      </c>
      <c r="K245" s="300" t="s">
        <v>140</v>
      </c>
      <c r="L245" s="304" t="s">
        <v>2095</v>
      </c>
      <c r="M245" s="300" t="s">
        <v>2</v>
      </c>
      <c r="N245" s="300"/>
      <c r="O245" s="300"/>
      <c r="P245" s="300" t="s">
        <v>2</v>
      </c>
      <c r="Q245" s="300" t="s">
        <v>2</v>
      </c>
      <c r="R245" s="300" t="s">
        <v>2</v>
      </c>
      <c r="S245" s="300" t="s">
        <v>1981</v>
      </c>
      <c r="T245" s="300" t="s">
        <v>2458</v>
      </c>
      <c r="U245" s="303">
        <v>0.33279999999999998</v>
      </c>
      <c r="V245" s="300" t="s">
        <v>2458</v>
      </c>
      <c r="W245" s="307">
        <v>294</v>
      </c>
      <c r="X245" s="297">
        <f>(1-VLOOKUP(R245,Start!$H$33:$I$40,2,FALSE)/100)*W245</f>
        <v>255.78</v>
      </c>
      <c r="Y245" s="297">
        <f>VLOOKUP(Q245,Start!$C$9:$D$15,2,FALSE)+VLOOKUP(Q245,Start!$C$23:$D$29,2,FALSE)</f>
        <v>3.1</v>
      </c>
      <c r="Z245" s="298">
        <f>(Y245/U245)+Start!$D$19*(VLOOKUP(Q245,Start!$M$33:$N$39,2,FALSE)/U245)+VLOOKUP(R245,Start!$C$33:$D$40,2,FALSE)</f>
        <v>40.87788461538463</v>
      </c>
      <c r="AA245" s="234"/>
      <c r="AB245" s="278"/>
    </row>
    <row r="246" spans="2:28" ht="18.75" customHeight="1" x14ac:dyDescent="0.3">
      <c r="B246" s="229"/>
      <c r="C246" s="289" t="s">
        <v>2485</v>
      </c>
      <c r="D246" s="305" t="s">
        <v>737</v>
      </c>
      <c r="E246" s="300" t="s">
        <v>128</v>
      </c>
      <c r="F246" s="300" t="s">
        <v>734</v>
      </c>
      <c r="G246" s="302">
        <v>41517</v>
      </c>
      <c r="H246" s="300" t="s">
        <v>735</v>
      </c>
      <c r="I246" s="300"/>
      <c r="J246" s="306" t="s">
        <v>19</v>
      </c>
      <c r="K246" s="300" t="s">
        <v>139</v>
      </c>
      <c r="L246" s="304" t="s">
        <v>2096</v>
      </c>
      <c r="M246" s="300" t="s">
        <v>2</v>
      </c>
      <c r="N246" s="300"/>
      <c r="O246" s="300"/>
      <c r="P246" s="300" t="s">
        <v>2</v>
      </c>
      <c r="Q246" s="300" t="s">
        <v>2</v>
      </c>
      <c r="R246" s="300" t="s">
        <v>2</v>
      </c>
      <c r="S246" s="300" t="s">
        <v>1981</v>
      </c>
      <c r="T246" s="300" t="s">
        <v>2458</v>
      </c>
      <c r="U246" s="303">
        <v>0.33279999999999998</v>
      </c>
      <c r="V246" s="300" t="s">
        <v>2458</v>
      </c>
      <c r="W246" s="307">
        <v>294</v>
      </c>
      <c r="X246" s="297">
        <f>(1-VLOOKUP(R246,Start!$H$33:$I$40,2,FALSE)/100)*W246</f>
        <v>255.78</v>
      </c>
      <c r="Y246" s="297">
        <f>VLOOKUP(Q246,Start!$C$9:$D$15,2,FALSE)+VLOOKUP(Q246,Start!$C$23:$D$29,2,FALSE)</f>
        <v>3.1</v>
      </c>
      <c r="Z246" s="298">
        <f>(Y246/U246)+Start!$D$19*(VLOOKUP(Q246,Start!$M$33:$N$39,2,FALSE)/U246)+VLOOKUP(R246,Start!$C$33:$D$40,2,FALSE)</f>
        <v>40.87788461538463</v>
      </c>
      <c r="AA246" s="234"/>
      <c r="AB246" s="278"/>
    </row>
    <row r="247" spans="2:28" ht="18.75" customHeight="1" x14ac:dyDescent="0.3">
      <c r="B247" s="229"/>
      <c r="C247" s="289" t="s">
        <v>2485</v>
      </c>
      <c r="D247" s="305" t="s">
        <v>733</v>
      </c>
      <c r="E247" s="300" t="s">
        <v>128</v>
      </c>
      <c r="F247" s="300" t="s">
        <v>734</v>
      </c>
      <c r="G247" s="302">
        <v>41517</v>
      </c>
      <c r="H247" s="300" t="s">
        <v>735</v>
      </c>
      <c r="I247" s="300"/>
      <c r="J247" s="306" t="s">
        <v>19</v>
      </c>
      <c r="K247" s="300" t="s">
        <v>142</v>
      </c>
      <c r="L247" s="304" t="s">
        <v>2094</v>
      </c>
      <c r="M247" s="300" t="s">
        <v>2</v>
      </c>
      <c r="N247" s="300"/>
      <c r="O247" s="300"/>
      <c r="P247" s="300" t="s">
        <v>2</v>
      </c>
      <c r="Q247" s="300" t="s">
        <v>2</v>
      </c>
      <c r="R247" s="300" t="s">
        <v>2</v>
      </c>
      <c r="S247" s="300" t="s">
        <v>1981</v>
      </c>
      <c r="T247" s="300" t="s">
        <v>2458</v>
      </c>
      <c r="U247" s="303">
        <v>0.3352</v>
      </c>
      <c r="V247" s="300" t="s">
        <v>2458</v>
      </c>
      <c r="W247" s="307">
        <v>292</v>
      </c>
      <c r="X247" s="297">
        <f>(1-VLOOKUP(R247,Start!$H$33:$I$40,2,FALSE)/100)*W247</f>
        <v>254.04</v>
      </c>
      <c r="Y247" s="297">
        <f>VLOOKUP(Q247,Start!$C$9:$D$15,2,FALSE)+VLOOKUP(Q247,Start!$C$23:$D$29,2,FALSE)</f>
        <v>3.1</v>
      </c>
      <c r="Z247" s="298">
        <f>(Y247/U247)+Start!$D$19*(VLOOKUP(Q247,Start!$M$33:$N$39,2,FALSE)/U247)+VLOOKUP(R247,Start!$C$33:$D$40,2,FALSE)</f>
        <v>40.597374701670645</v>
      </c>
      <c r="AA247" s="234"/>
      <c r="AB247" s="278"/>
    </row>
    <row r="248" spans="2:28" ht="18.75" customHeight="1" x14ac:dyDescent="0.3">
      <c r="B248" s="229"/>
      <c r="C248" s="289" t="s">
        <v>2485</v>
      </c>
      <c r="D248" s="305" t="s">
        <v>738</v>
      </c>
      <c r="E248" s="300" t="s">
        <v>128</v>
      </c>
      <c r="F248" s="300" t="s">
        <v>734</v>
      </c>
      <c r="G248" s="302">
        <v>41517</v>
      </c>
      <c r="H248" s="300" t="s">
        <v>735</v>
      </c>
      <c r="I248" s="300"/>
      <c r="J248" s="306" t="s">
        <v>19</v>
      </c>
      <c r="K248" s="300" t="s">
        <v>131</v>
      </c>
      <c r="L248" s="304" t="s">
        <v>2097</v>
      </c>
      <c r="M248" s="300" t="s">
        <v>2</v>
      </c>
      <c r="N248" s="300"/>
      <c r="O248" s="300"/>
      <c r="P248" s="300" t="s">
        <v>2</v>
      </c>
      <c r="Q248" s="300" t="s">
        <v>2</v>
      </c>
      <c r="R248" s="300" t="s">
        <v>2</v>
      </c>
      <c r="S248" s="300" t="s">
        <v>1981</v>
      </c>
      <c r="T248" s="300" t="s">
        <v>2458</v>
      </c>
      <c r="U248" s="303">
        <v>0.34</v>
      </c>
      <c r="V248" s="300" t="s">
        <v>2458</v>
      </c>
      <c r="W248" s="307">
        <v>607</v>
      </c>
      <c r="X248" s="297">
        <f>(1-VLOOKUP(R248,Start!$H$33:$I$40,2,FALSE)/100)*W248</f>
        <v>528.09</v>
      </c>
      <c r="Y248" s="297">
        <f>VLOOKUP(Q248,Start!$C$9:$D$15,2,FALSE)+VLOOKUP(Q248,Start!$C$23:$D$29,2,FALSE)</f>
        <v>3.1</v>
      </c>
      <c r="Z248" s="298">
        <f>(Y248/U248)+Start!$D$19*(VLOOKUP(Q248,Start!$M$33:$N$39,2,FALSE)/U248)+VLOOKUP(R248,Start!$C$33:$D$40,2,FALSE)</f>
        <v>40.048235294117646</v>
      </c>
      <c r="AA248" s="234"/>
      <c r="AB248" s="278"/>
    </row>
    <row r="249" spans="2:28" ht="18.75" customHeight="1" x14ac:dyDescent="0.3">
      <c r="B249" s="229"/>
      <c r="C249" s="289" t="s">
        <v>2485</v>
      </c>
      <c r="D249" s="305" t="s">
        <v>739</v>
      </c>
      <c r="E249" s="300" t="s">
        <v>128</v>
      </c>
      <c r="F249" s="300" t="s">
        <v>734</v>
      </c>
      <c r="G249" s="302">
        <v>41517</v>
      </c>
      <c r="H249" s="300" t="s">
        <v>735</v>
      </c>
      <c r="I249" s="300"/>
      <c r="J249" s="306" t="s">
        <v>19</v>
      </c>
      <c r="K249" s="300" t="s">
        <v>143</v>
      </c>
      <c r="L249" s="304" t="s">
        <v>2098</v>
      </c>
      <c r="M249" s="300" t="s">
        <v>2</v>
      </c>
      <c r="N249" s="300"/>
      <c r="O249" s="300"/>
      <c r="P249" s="300" t="s">
        <v>2</v>
      </c>
      <c r="Q249" s="300" t="s">
        <v>2</v>
      </c>
      <c r="R249" s="300" t="s">
        <v>2</v>
      </c>
      <c r="S249" s="300" t="s">
        <v>1981</v>
      </c>
      <c r="T249" s="300" t="s">
        <v>2458</v>
      </c>
      <c r="U249" s="303">
        <v>0.34239999999999998</v>
      </c>
      <c r="V249" s="300" t="s">
        <v>2458</v>
      </c>
      <c r="W249" s="307">
        <v>604</v>
      </c>
      <c r="X249" s="297">
        <f>(1-VLOOKUP(R249,Start!$H$33:$I$40,2,FALSE)/100)*W249</f>
        <v>525.48</v>
      </c>
      <c r="Y249" s="297">
        <f>VLOOKUP(Q249,Start!$C$9:$D$15,2,FALSE)+VLOOKUP(Q249,Start!$C$23:$D$29,2,FALSE)</f>
        <v>3.1</v>
      </c>
      <c r="Z249" s="298">
        <f>(Y249/U249)+Start!$D$19*(VLOOKUP(Q249,Start!$M$33:$N$39,2,FALSE)/U249)+VLOOKUP(R249,Start!$C$33:$D$40,2,FALSE)</f>
        <v>39.779439252336459</v>
      </c>
      <c r="AA249" s="234"/>
      <c r="AB249" s="278"/>
    </row>
    <row r="250" spans="2:28" ht="18.75" customHeight="1" x14ac:dyDescent="0.3">
      <c r="B250" s="229"/>
      <c r="C250" s="289" t="s">
        <v>2485</v>
      </c>
      <c r="D250" s="299" t="s">
        <v>127</v>
      </c>
      <c r="E250" s="313" t="s">
        <v>128</v>
      </c>
      <c r="F250" s="300" t="s">
        <v>129</v>
      </c>
      <c r="G250" s="311">
        <v>50129</v>
      </c>
      <c r="H250" s="312" t="s">
        <v>130</v>
      </c>
      <c r="I250" s="313"/>
      <c r="J250" s="306" t="s">
        <v>19</v>
      </c>
      <c r="K250" s="313" t="s">
        <v>131</v>
      </c>
      <c r="L250" s="304" t="s">
        <v>2068</v>
      </c>
      <c r="M250" s="300" t="s">
        <v>2</v>
      </c>
      <c r="N250" s="300"/>
      <c r="O250" s="313"/>
      <c r="P250" s="314" t="s">
        <v>2</v>
      </c>
      <c r="Q250" s="300" t="s">
        <v>2</v>
      </c>
      <c r="R250" s="300" t="s">
        <v>2</v>
      </c>
      <c r="S250" s="300" t="s">
        <v>1981</v>
      </c>
      <c r="T250" s="300" t="s">
        <v>2458</v>
      </c>
      <c r="U250" s="303">
        <v>0.32319999999999999</v>
      </c>
      <c r="V250" s="300" t="s">
        <v>2458</v>
      </c>
      <c r="W250" s="315">
        <v>297</v>
      </c>
      <c r="X250" s="297">
        <f>(1-VLOOKUP(R250,Start!$H$33:$I$40,2,FALSE)/100)*W250</f>
        <v>258.39</v>
      </c>
      <c r="Y250" s="297">
        <f>VLOOKUP(Q250,Start!$C$9:$D$15,2,FALSE)+VLOOKUP(Q250,Start!$C$23:$D$29,2,FALSE)</f>
        <v>3.1</v>
      </c>
      <c r="Z250" s="298">
        <f>(Y250/U250)+Start!$D$19*(VLOOKUP(Q250,Start!$M$33:$N$39,2,FALSE)/U250)+VLOOKUP(R250,Start!$C$33:$D$40,2,FALSE)</f>
        <v>42.041584158415851</v>
      </c>
      <c r="AA250" s="234"/>
      <c r="AB250" s="278"/>
    </row>
    <row r="251" spans="2:28" ht="18.75" customHeight="1" x14ac:dyDescent="0.3">
      <c r="B251" s="229"/>
      <c r="C251" s="289" t="s">
        <v>2485</v>
      </c>
      <c r="D251" s="305" t="s">
        <v>133</v>
      </c>
      <c r="E251" s="300" t="s">
        <v>128</v>
      </c>
      <c r="F251" s="300" t="s">
        <v>129</v>
      </c>
      <c r="G251" s="302">
        <v>50129</v>
      </c>
      <c r="H251" s="300" t="s">
        <v>130</v>
      </c>
      <c r="I251" s="300"/>
      <c r="J251" s="306" t="s">
        <v>19</v>
      </c>
      <c r="K251" s="300" t="s">
        <v>134</v>
      </c>
      <c r="L251" s="304" t="s">
        <v>2069</v>
      </c>
      <c r="M251" s="300" t="s">
        <v>2</v>
      </c>
      <c r="N251" s="300"/>
      <c r="O251" s="300"/>
      <c r="P251" s="300" t="s">
        <v>2</v>
      </c>
      <c r="Q251" s="300" t="s">
        <v>2</v>
      </c>
      <c r="R251" s="300" t="s">
        <v>2</v>
      </c>
      <c r="S251" s="300" t="s">
        <v>1981</v>
      </c>
      <c r="T251" s="300" t="s">
        <v>2458</v>
      </c>
      <c r="U251" s="303">
        <v>0.42159999999999997</v>
      </c>
      <c r="V251" s="300" t="s">
        <v>2458</v>
      </c>
      <c r="W251" s="307">
        <v>648</v>
      </c>
      <c r="X251" s="297">
        <f>(1-VLOOKUP(R251,Start!$H$33:$I$40,2,FALSE)/100)*W251</f>
        <v>563.76</v>
      </c>
      <c r="Y251" s="297">
        <f>VLOOKUP(Q251,Start!$C$9:$D$15,2,FALSE)+VLOOKUP(Q251,Start!$C$23:$D$29,2,FALSE)</f>
        <v>3.1</v>
      </c>
      <c r="Z251" s="298">
        <f>(Y251/U251)+Start!$D$19*(VLOOKUP(Q251,Start!$M$33:$N$39,2,FALSE)/U251)+VLOOKUP(R251,Start!$C$33:$D$40,2,FALSE)</f>
        <v>32.625996204933593</v>
      </c>
      <c r="AA251" s="234"/>
      <c r="AB251" s="278"/>
    </row>
    <row r="252" spans="2:28" ht="18.75" customHeight="1" x14ac:dyDescent="0.3">
      <c r="B252" s="229"/>
      <c r="C252" s="289" t="s">
        <v>2485</v>
      </c>
      <c r="D252" s="305" t="s">
        <v>135</v>
      </c>
      <c r="E252" s="300" t="s">
        <v>128</v>
      </c>
      <c r="F252" s="300" t="s">
        <v>129</v>
      </c>
      <c r="G252" s="302">
        <v>50129</v>
      </c>
      <c r="H252" s="300" t="s">
        <v>130</v>
      </c>
      <c r="I252" s="300"/>
      <c r="J252" s="306" t="s">
        <v>19</v>
      </c>
      <c r="K252" s="300" t="s">
        <v>136</v>
      </c>
      <c r="L252" s="304" t="s">
        <v>2070</v>
      </c>
      <c r="M252" s="300" t="s">
        <v>2</v>
      </c>
      <c r="N252" s="300"/>
      <c r="O252" s="300"/>
      <c r="P252" s="300" t="s">
        <v>2</v>
      </c>
      <c r="Q252" s="300" t="s">
        <v>2</v>
      </c>
      <c r="R252" s="300" t="s">
        <v>2</v>
      </c>
      <c r="S252" s="300" t="s">
        <v>1981</v>
      </c>
      <c r="T252" s="300" t="s">
        <v>2458</v>
      </c>
      <c r="U252" s="303">
        <v>0.41920000000000002</v>
      </c>
      <c r="V252" s="300" t="s">
        <v>2458</v>
      </c>
      <c r="W252" s="307">
        <v>628</v>
      </c>
      <c r="X252" s="297">
        <f>(1-VLOOKUP(R252,Start!$H$33:$I$40,2,FALSE)/100)*W252</f>
        <v>546.36</v>
      </c>
      <c r="Y252" s="297">
        <f>VLOOKUP(Q252,Start!$C$9:$D$15,2,FALSE)+VLOOKUP(Q252,Start!$C$23:$D$29,2,FALSE)</f>
        <v>3.1</v>
      </c>
      <c r="Z252" s="298">
        <f>(Y252/U252)+Start!$D$19*(VLOOKUP(Q252,Start!$M$33:$N$39,2,FALSE)/U252)+VLOOKUP(R252,Start!$C$33:$D$40,2,FALSE)</f>
        <v>32.803053435114506</v>
      </c>
      <c r="AA252" s="234"/>
      <c r="AB252" s="278"/>
    </row>
    <row r="253" spans="2:28" ht="18.75" customHeight="1" x14ac:dyDescent="0.3">
      <c r="B253" s="229"/>
      <c r="C253" s="289" t="s">
        <v>2485</v>
      </c>
      <c r="D253" s="305" t="s">
        <v>137</v>
      </c>
      <c r="E253" s="300" t="s">
        <v>128</v>
      </c>
      <c r="F253" s="300" t="s">
        <v>129</v>
      </c>
      <c r="G253" s="302">
        <v>50129</v>
      </c>
      <c r="H253" s="300" t="s">
        <v>130</v>
      </c>
      <c r="I253" s="300"/>
      <c r="J253" s="306" t="s">
        <v>19</v>
      </c>
      <c r="K253" s="300" t="s">
        <v>138</v>
      </c>
      <c r="L253" s="304" t="s">
        <v>2071</v>
      </c>
      <c r="M253" s="300" t="s">
        <v>2</v>
      </c>
      <c r="N253" s="300"/>
      <c r="O253" s="300"/>
      <c r="P253" s="300" t="s">
        <v>2</v>
      </c>
      <c r="Q253" s="300" t="s">
        <v>2</v>
      </c>
      <c r="R253" s="300" t="s">
        <v>2</v>
      </c>
      <c r="S253" s="300" t="s">
        <v>1981</v>
      </c>
      <c r="T253" s="300" t="s">
        <v>2458</v>
      </c>
      <c r="U253" s="303">
        <v>0.40479999999999999</v>
      </c>
      <c r="V253" s="300" t="s">
        <v>2458</v>
      </c>
      <c r="W253" s="307">
        <v>944</v>
      </c>
      <c r="X253" s="297">
        <f>(1-VLOOKUP(R253,Start!$H$33:$I$40,2,FALSE)/100)*W253</f>
        <v>821.28</v>
      </c>
      <c r="Y253" s="297">
        <f>VLOOKUP(Q253,Start!$C$9:$D$15,2,FALSE)+VLOOKUP(Q253,Start!$C$23:$D$29,2,FALSE)</f>
        <v>3.1</v>
      </c>
      <c r="Z253" s="298">
        <f>(Y253/U253)+Start!$D$19*(VLOOKUP(Q253,Start!$M$33:$N$39,2,FALSE)/U253)+VLOOKUP(R253,Start!$C$33:$D$40,2,FALSE)</f>
        <v>33.909486166007916</v>
      </c>
      <c r="AA253" s="234"/>
      <c r="AB253" s="278"/>
    </row>
    <row r="254" spans="2:28" ht="18.75" customHeight="1" x14ac:dyDescent="0.3">
      <c r="B254" s="229"/>
      <c r="C254" s="289" t="s">
        <v>2485</v>
      </c>
      <c r="D254" s="305" t="s">
        <v>141</v>
      </c>
      <c r="E254" s="300" t="s">
        <v>128</v>
      </c>
      <c r="F254" s="300" t="s">
        <v>129</v>
      </c>
      <c r="G254" s="302">
        <v>50129</v>
      </c>
      <c r="H254" s="300" t="s">
        <v>130</v>
      </c>
      <c r="I254" s="300"/>
      <c r="J254" s="306" t="s">
        <v>19</v>
      </c>
      <c r="K254" s="300" t="s">
        <v>142</v>
      </c>
      <c r="L254" s="304" t="s">
        <v>2072</v>
      </c>
      <c r="M254" s="300" t="s">
        <v>2</v>
      </c>
      <c r="N254" s="300"/>
      <c r="O254" s="300"/>
      <c r="P254" s="300" t="s">
        <v>2</v>
      </c>
      <c r="Q254" s="300" t="s">
        <v>2</v>
      </c>
      <c r="R254" s="300" t="s">
        <v>2</v>
      </c>
      <c r="S254" s="300" t="s">
        <v>1981</v>
      </c>
      <c r="T254" s="300" t="s">
        <v>2458</v>
      </c>
      <c r="U254" s="303">
        <v>0.316</v>
      </c>
      <c r="V254" s="300" t="s">
        <v>2458</v>
      </c>
      <c r="W254" s="307">
        <v>295</v>
      </c>
      <c r="X254" s="297">
        <f>(1-VLOOKUP(R254,Start!$H$33:$I$40,2,FALSE)/100)*W254</f>
        <v>256.64999999999998</v>
      </c>
      <c r="Y254" s="297">
        <f>VLOOKUP(Q254,Start!$C$9:$D$15,2,FALSE)+VLOOKUP(Q254,Start!$C$23:$D$29,2,FALSE)</f>
        <v>3.1</v>
      </c>
      <c r="Z254" s="298">
        <f>(Y254/U254)+Start!$D$19*(VLOOKUP(Q254,Start!$M$33:$N$39,2,FALSE)/U254)+VLOOKUP(R254,Start!$C$33:$D$40,2,FALSE)</f>
        <v>42.960759493670892</v>
      </c>
      <c r="AA254" s="234"/>
      <c r="AB254" s="278"/>
    </row>
    <row r="255" spans="2:28" ht="18.75" customHeight="1" x14ac:dyDescent="0.3">
      <c r="B255" s="229"/>
      <c r="C255" s="289" t="s">
        <v>2485</v>
      </c>
      <c r="D255" s="305" t="s">
        <v>144</v>
      </c>
      <c r="E255" s="300" t="s">
        <v>128</v>
      </c>
      <c r="F255" s="300" t="s">
        <v>145</v>
      </c>
      <c r="G255" s="302">
        <v>50129</v>
      </c>
      <c r="H255" s="300" t="s">
        <v>130</v>
      </c>
      <c r="I255" s="300"/>
      <c r="J255" s="306" t="s">
        <v>19</v>
      </c>
      <c r="K255" s="300" t="s">
        <v>145</v>
      </c>
      <c r="L255" s="304" t="s">
        <v>2073</v>
      </c>
      <c r="M255" s="300" t="s">
        <v>2</v>
      </c>
      <c r="N255" s="300"/>
      <c r="O255" s="300"/>
      <c r="P255" s="300" t="s">
        <v>2</v>
      </c>
      <c r="Q255" s="300" t="s">
        <v>2</v>
      </c>
      <c r="R255" s="300" t="s">
        <v>2</v>
      </c>
      <c r="S255" s="300" t="s">
        <v>1981</v>
      </c>
      <c r="T255" s="300" t="s">
        <v>2458</v>
      </c>
      <c r="U255" s="303">
        <v>0.25359999999999999</v>
      </c>
      <c r="V255" s="300" t="s">
        <v>2458</v>
      </c>
      <c r="W255" s="307">
        <v>15</v>
      </c>
      <c r="X255" s="297">
        <f>(1-VLOOKUP(R255,Start!$H$33:$I$40,2,FALSE)/100)*W255</f>
        <v>13.05</v>
      </c>
      <c r="Y255" s="297">
        <f>VLOOKUP(Q255,Start!$C$9:$D$15,2,FALSE)+VLOOKUP(Q255,Start!$C$23:$D$29,2,FALSE)</f>
        <v>3.1</v>
      </c>
      <c r="Z255" s="298">
        <f>(Y255/U255)+Start!$D$19*(VLOOKUP(Q255,Start!$M$33:$N$39,2,FALSE)/U255)+VLOOKUP(R255,Start!$C$33:$D$40,2,FALSE)</f>
        <v>53.113249211356475</v>
      </c>
      <c r="AA255" s="234"/>
      <c r="AB255" s="278"/>
    </row>
    <row r="256" spans="2:28" ht="18.75" customHeight="1" x14ac:dyDescent="0.3">
      <c r="B256" s="229"/>
      <c r="C256" s="289" t="s">
        <v>2485</v>
      </c>
      <c r="D256" s="299" t="s">
        <v>1376</v>
      </c>
      <c r="E256" s="300" t="s">
        <v>1370</v>
      </c>
      <c r="F256" s="300" t="s">
        <v>1371</v>
      </c>
      <c r="G256" s="311">
        <v>90441</v>
      </c>
      <c r="H256" s="312" t="s">
        <v>1372</v>
      </c>
      <c r="I256" s="300" t="s">
        <v>1373</v>
      </c>
      <c r="J256" s="306" t="s">
        <v>55</v>
      </c>
      <c r="K256" s="300" t="s">
        <v>1377</v>
      </c>
      <c r="L256" s="304" t="s">
        <v>2233</v>
      </c>
      <c r="M256" s="300" t="s">
        <v>7</v>
      </c>
      <c r="N256" s="300"/>
      <c r="O256" s="300"/>
      <c r="P256" s="314" t="s">
        <v>7</v>
      </c>
      <c r="Q256" s="300" t="s">
        <v>7</v>
      </c>
      <c r="R256" s="300" t="s">
        <v>226</v>
      </c>
      <c r="S256" s="300" t="s">
        <v>1996</v>
      </c>
      <c r="T256" s="300" t="s">
        <v>2458</v>
      </c>
      <c r="U256" s="303">
        <v>0.5625</v>
      </c>
      <c r="V256" s="300" t="s">
        <v>2458</v>
      </c>
      <c r="W256" s="315">
        <v>75</v>
      </c>
      <c r="X256" s="297">
        <f>(1-VLOOKUP(R256,Start!$H$33:$I$40,2,FALSE)/100)*W256</f>
        <v>66.75</v>
      </c>
      <c r="Y256" s="297">
        <f>VLOOKUP(Q256,Start!$C$9:$D$15,2,FALSE)+VLOOKUP(Q256,Start!$C$23:$D$29,2,FALSE)</f>
        <v>23.27</v>
      </c>
      <c r="Z256" s="298">
        <f>(Y256/U256)+Start!$D$19*(VLOOKUP(Q256,Start!$M$33:$N$39,2,FALSE)/U256)+VLOOKUP(R256,Start!$C$33:$D$40,2,FALSE)</f>
        <v>51.659288888888888</v>
      </c>
      <c r="AA256" s="234"/>
      <c r="AB256" s="278"/>
    </row>
    <row r="257" spans="2:28" ht="18.75" customHeight="1" x14ac:dyDescent="0.3">
      <c r="B257" s="229"/>
      <c r="C257" s="289" t="s">
        <v>2485</v>
      </c>
      <c r="D257" s="299" t="s">
        <v>1378</v>
      </c>
      <c r="E257" s="300" t="s">
        <v>1370</v>
      </c>
      <c r="F257" s="300" t="s">
        <v>1371</v>
      </c>
      <c r="G257" s="311">
        <v>90441</v>
      </c>
      <c r="H257" s="312" t="s">
        <v>1372</v>
      </c>
      <c r="I257" s="300" t="s">
        <v>1373</v>
      </c>
      <c r="J257" s="306" t="s">
        <v>55</v>
      </c>
      <c r="K257" s="300" t="s">
        <v>592</v>
      </c>
      <c r="L257" s="304" t="s">
        <v>2233</v>
      </c>
      <c r="M257" s="300" t="s">
        <v>7</v>
      </c>
      <c r="N257" s="300"/>
      <c r="O257" s="300"/>
      <c r="P257" s="314" t="s">
        <v>7</v>
      </c>
      <c r="Q257" s="300" t="s">
        <v>7</v>
      </c>
      <c r="R257" s="300" t="s">
        <v>226</v>
      </c>
      <c r="S257" s="300" t="s">
        <v>1996</v>
      </c>
      <c r="T257" s="300" t="s">
        <v>2458</v>
      </c>
      <c r="U257" s="303">
        <v>0.5625</v>
      </c>
      <c r="V257" s="300" t="s">
        <v>2458</v>
      </c>
      <c r="W257" s="315">
        <v>75</v>
      </c>
      <c r="X257" s="297">
        <f>(1-VLOOKUP(R257,Start!$H$33:$I$40,2,FALSE)/100)*W257</f>
        <v>66.75</v>
      </c>
      <c r="Y257" s="297">
        <f>VLOOKUP(Q257,Start!$C$9:$D$15,2,FALSE)+VLOOKUP(Q257,Start!$C$23:$D$29,2,FALSE)</f>
        <v>23.27</v>
      </c>
      <c r="Z257" s="298">
        <f>(Y257/U257)+Start!$D$19*(VLOOKUP(Q257,Start!$M$33:$N$39,2,FALSE)/U257)+VLOOKUP(R257,Start!$C$33:$D$40,2,FALSE)</f>
        <v>51.659288888888888</v>
      </c>
      <c r="AA257" s="234"/>
      <c r="AB257" s="278"/>
    </row>
    <row r="258" spans="2:28" ht="18.75" customHeight="1" x14ac:dyDescent="0.3">
      <c r="B258" s="229"/>
      <c r="C258" s="289" t="s">
        <v>2485</v>
      </c>
      <c r="D258" s="305" t="s">
        <v>1379</v>
      </c>
      <c r="E258" s="300" t="s">
        <v>278</v>
      </c>
      <c r="F258" s="300" t="s">
        <v>1380</v>
      </c>
      <c r="G258" s="302">
        <v>90449</v>
      </c>
      <c r="H258" s="300" t="s">
        <v>1372</v>
      </c>
      <c r="I258" s="300"/>
      <c r="J258" s="306" t="s">
        <v>55</v>
      </c>
      <c r="K258" s="300">
        <v>1</v>
      </c>
      <c r="L258" s="304" t="s">
        <v>2117</v>
      </c>
      <c r="M258" s="300" t="s">
        <v>47</v>
      </c>
      <c r="N258" s="300" t="s">
        <v>979</v>
      </c>
      <c r="O258" s="300"/>
      <c r="P258" s="300" t="s">
        <v>7</v>
      </c>
      <c r="Q258" s="300" t="s">
        <v>7</v>
      </c>
      <c r="R258" s="300" t="s">
        <v>226</v>
      </c>
      <c r="S258" s="300" t="s">
        <v>1996</v>
      </c>
      <c r="T258" s="300" t="s">
        <v>2458</v>
      </c>
      <c r="U258" s="303">
        <v>0.41849999999999998</v>
      </c>
      <c r="V258" s="300" t="s">
        <v>2458</v>
      </c>
      <c r="W258" s="307">
        <v>383</v>
      </c>
      <c r="X258" s="297">
        <f>(1-VLOOKUP(R258,Start!$H$33:$I$40,2,FALSE)/100)*W258</f>
        <v>340.87</v>
      </c>
      <c r="Y258" s="297">
        <f>VLOOKUP(Q258,Start!$C$9:$D$15,2,FALSE)+VLOOKUP(Q258,Start!$C$23:$D$29,2,FALSE)</f>
        <v>23.27</v>
      </c>
      <c r="Z258" s="298">
        <f>(Y258/U258)+Start!$D$19*(VLOOKUP(Q258,Start!$M$33:$N$39,2,FALSE)/U258)+VLOOKUP(R258,Start!$C$33:$D$40,2,FALSE)</f>
        <v>68.918399044205501</v>
      </c>
      <c r="AA258" s="234"/>
      <c r="AB258" s="278"/>
    </row>
    <row r="259" spans="2:28" ht="18.75" customHeight="1" x14ac:dyDescent="0.3">
      <c r="B259" s="229"/>
      <c r="C259" s="289" t="s">
        <v>2485</v>
      </c>
      <c r="D259" s="305" t="s">
        <v>1381</v>
      </c>
      <c r="E259" s="300" t="s">
        <v>278</v>
      </c>
      <c r="F259" s="300" t="s">
        <v>1380</v>
      </c>
      <c r="G259" s="302">
        <v>90449</v>
      </c>
      <c r="H259" s="300" t="s">
        <v>1372</v>
      </c>
      <c r="I259" s="300"/>
      <c r="J259" s="306" t="s">
        <v>55</v>
      </c>
      <c r="K259" s="300">
        <v>2</v>
      </c>
      <c r="L259" s="304" t="s">
        <v>2053</v>
      </c>
      <c r="M259" s="300" t="s">
        <v>47</v>
      </c>
      <c r="N259" s="300" t="s">
        <v>979</v>
      </c>
      <c r="O259" s="300"/>
      <c r="P259" s="300" t="s">
        <v>7</v>
      </c>
      <c r="Q259" s="300" t="s">
        <v>7</v>
      </c>
      <c r="R259" s="300" t="s">
        <v>226</v>
      </c>
      <c r="S259" s="300" t="s">
        <v>1996</v>
      </c>
      <c r="T259" s="300" t="s">
        <v>2458</v>
      </c>
      <c r="U259" s="303">
        <v>0.432</v>
      </c>
      <c r="V259" s="300" t="s">
        <v>2458</v>
      </c>
      <c r="W259" s="307">
        <v>440</v>
      </c>
      <c r="X259" s="297">
        <f>(1-VLOOKUP(R259,Start!$H$33:$I$40,2,FALSE)/100)*W259</f>
        <v>391.6</v>
      </c>
      <c r="Y259" s="297">
        <f>VLOOKUP(Q259,Start!$C$9:$D$15,2,FALSE)+VLOOKUP(Q259,Start!$C$23:$D$29,2,FALSE)</f>
        <v>23.27</v>
      </c>
      <c r="Z259" s="298">
        <f>(Y259/U259)+Start!$D$19*(VLOOKUP(Q259,Start!$M$33:$N$39,2,FALSE)/U259)+VLOOKUP(R259,Start!$C$33:$D$40,2,FALSE)</f>
        <v>66.811574074074073</v>
      </c>
      <c r="AA259" s="234"/>
      <c r="AB259" s="278"/>
    </row>
    <row r="260" spans="2:28" ht="18.75" customHeight="1" x14ac:dyDescent="0.3">
      <c r="B260" s="229"/>
      <c r="C260" s="289" t="s">
        <v>2485</v>
      </c>
      <c r="D260" s="305" t="s">
        <v>1369</v>
      </c>
      <c r="E260" s="317" t="s">
        <v>1370</v>
      </c>
      <c r="F260" s="303" t="s">
        <v>1371</v>
      </c>
      <c r="G260" s="308">
        <v>90441</v>
      </c>
      <c r="H260" s="303" t="s">
        <v>1372</v>
      </c>
      <c r="I260" s="303" t="s">
        <v>1373</v>
      </c>
      <c r="J260" s="301" t="s">
        <v>55</v>
      </c>
      <c r="K260" s="303"/>
      <c r="L260" s="304" t="s">
        <v>2370</v>
      </c>
      <c r="M260" s="303" t="s">
        <v>6</v>
      </c>
      <c r="N260" s="132" t="s">
        <v>1374</v>
      </c>
      <c r="O260" s="132" t="s">
        <v>1375</v>
      </c>
      <c r="P260" s="303" t="s">
        <v>6</v>
      </c>
      <c r="Q260" s="300" t="s">
        <v>6</v>
      </c>
      <c r="R260" s="300" t="s">
        <v>6</v>
      </c>
      <c r="S260" s="300" t="s">
        <v>1996</v>
      </c>
      <c r="T260" s="300" t="s">
        <v>2458</v>
      </c>
      <c r="U260" s="303">
        <v>0.33</v>
      </c>
      <c r="V260" s="300" t="s">
        <v>2458</v>
      </c>
      <c r="W260" s="297">
        <v>18</v>
      </c>
      <c r="X260" s="297">
        <f>(1-VLOOKUP(R260,Start!$H$33:$I$40,2,FALSE)/100)*W260</f>
        <v>15.299999999999999</v>
      </c>
      <c r="Y260" s="297">
        <f>VLOOKUP(Q260,Start!$C$9:$D$15,2,FALSE)+VLOOKUP(Q260,Start!$C$23:$D$29,2,FALSE)</f>
        <v>0</v>
      </c>
      <c r="Z260" s="298">
        <f>(Y260/U260)+Start!$D$19*(VLOOKUP(Q260,Start!$M$33:$N$39,2,FALSE)/U260)+VLOOKUP(R260,Start!$C$33:$D$40,2,FALSE)</f>
        <v>1</v>
      </c>
      <c r="AA260" s="234"/>
      <c r="AB260" s="278"/>
    </row>
    <row r="261" spans="2:28" ht="18.75" customHeight="1" x14ac:dyDescent="0.3">
      <c r="B261" s="229"/>
      <c r="C261" s="289" t="s">
        <v>2485</v>
      </c>
      <c r="D261" s="305" t="s">
        <v>1392</v>
      </c>
      <c r="E261" s="317" t="s">
        <v>1393</v>
      </c>
      <c r="F261" s="301" t="s">
        <v>1394</v>
      </c>
      <c r="G261" s="302">
        <v>46049</v>
      </c>
      <c r="H261" s="303" t="s">
        <v>1395</v>
      </c>
      <c r="I261" s="303" t="s">
        <v>1396</v>
      </c>
      <c r="J261" s="301" t="s">
        <v>19</v>
      </c>
      <c r="K261" s="301" t="s">
        <v>1397</v>
      </c>
      <c r="L261" s="304" t="s">
        <v>2371</v>
      </c>
      <c r="M261" s="300" t="s">
        <v>6</v>
      </c>
      <c r="N261" s="132" t="s">
        <v>6</v>
      </c>
      <c r="O261" s="303" t="s">
        <v>104</v>
      </c>
      <c r="P261" s="300" t="s">
        <v>6</v>
      </c>
      <c r="Q261" s="300" t="s">
        <v>6</v>
      </c>
      <c r="R261" s="300" t="s">
        <v>6</v>
      </c>
      <c r="S261" s="300" t="s">
        <v>1981</v>
      </c>
      <c r="T261" s="300" t="s">
        <v>2458</v>
      </c>
      <c r="U261" s="303">
        <v>0.33</v>
      </c>
      <c r="V261" s="300" t="s">
        <v>2458</v>
      </c>
      <c r="W261" s="297">
        <v>40.4</v>
      </c>
      <c r="X261" s="297">
        <f>(1-VLOOKUP(R261,Start!$H$33:$I$40,2,FALSE)/100)*W261</f>
        <v>34.339999999999996</v>
      </c>
      <c r="Y261" s="297">
        <f>VLOOKUP(Q261,Start!$C$9:$D$15,2,FALSE)+VLOOKUP(Q261,Start!$C$23:$D$29,2,FALSE)</f>
        <v>0</v>
      </c>
      <c r="Z261" s="298">
        <f>(Y261/U261)+Start!$D$19*(VLOOKUP(Q261,Start!$M$33:$N$39,2,FALSE)/U261)+VLOOKUP(R261,Start!$C$33:$D$40,2,FALSE)</f>
        <v>1</v>
      </c>
      <c r="AA261" s="234"/>
      <c r="AB261" s="278"/>
    </row>
    <row r="262" spans="2:28" ht="18.75" customHeight="1" x14ac:dyDescent="0.3">
      <c r="B262" s="229"/>
      <c r="C262" s="289" t="s">
        <v>2485</v>
      </c>
      <c r="D262" s="305" t="s">
        <v>1398</v>
      </c>
      <c r="E262" s="317" t="s">
        <v>1393</v>
      </c>
      <c r="F262" s="301" t="s">
        <v>1394</v>
      </c>
      <c r="G262" s="302">
        <v>46049</v>
      </c>
      <c r="H262" s="303" t="s">
        <v>1395</v>
      </c>
      <c r="I262" s="303" t="s">
        <v>1396</v>
      </c>
      <c r="J262" s="301" t="s">
        <v>19</v>
      </c>
      <c r="K262" s="301" t="s">
        <v>1399</v>
      </c>
      <c r="L262" s="304" t="s">
        <v>2372</v>
      </c>
      <c r="M262" s="300" t="s">
        <v>6</v>
      </c>
      <c r="N262" s="132" t="s">
        <v>6</v>
      </c>
      <c r="O262" s="303" t="s">
        <v>104</v>
      </c>
      <c r="P262" s="300" t="s">
        <v>6</v>
      </c>
      <c r="Q262" s="300" t="s">
        <v>6</v>
      </c>
      <c r="R262" s="300" t="s">
        <v>6</v>
      </c>
      <c r="S262" s="300" t="s">
        <v>1981</v>
      </c>
      <c r="T262" s="300" t="s">
        <v>2458</v>
      </c>
      <c r="U262" s="303">
        <v>0.33</v>
      </c>
      <c r="V262" s="300" t="s">
        <v>2458</v>
      </c>
      <c r="W262" s="297">
        <v>21.1</v>
      </c>
      <c r="X262" s="297">
        <f>(1-VLOOKUP(R262,Start!$H$33:$I$40,2,FALSE)/100)*W262</f>
        <v>17.935000000000002</v>
      </c>
      <c r="Y262" s="297">
        <f>VLOOKUP(Q262,Start!$C$9:$D$15,2,FALSE)+VLOOKUP(Q262,Start!$C$23:$D$29,2,FALSE)</f>
        <v>0</v>
      </c>
      <c r="Z262" s="298">
        <f>(Y262/U262)+Start!$D$19*(VLOOKUP(Q262,Start!$M$33:$N$39,2,FALSE)/U262)+VLOOKUP(R262,Start!$C$33:$D$40,2,FALSE)</f>
        <v>1</v>
      </c>
      <c r="AA262" s="234"/>
      <c r="AB262" s="278"/>
    </row>
    <row r="263" spans="2:28" ht="18.75" customHeight="1" x14ac:dyDescent="0.3">
      <c r="B263" s="229"/>
      <c r="C263" s="289" t="s">
        <v>2485</v>
      </c>
      <c r="D263" s="305" t="s">
        <v>1400</v>
      </c>
      <c r="E263" s="317" t="s">
        <v>1401</v>
      </c>
      <c r="F263" s="301" t="s">
        <v>1402</v>
      </c>
      <c r="G263" s="302">
        <v>46045</v>
      </c>
      <c r="H263" s="303" t="s">
        <v>1395</v>
      </c>
      <c r="I263" s="303"/>
      <c r="J263" s="301" t="s">
        <v>19</v>
      </c>
      <c r="K263" s="301" t="s">
        <v>1402</v>
      </c>
      <c r="L263" s="304" t="s">
        <v>2236</v>
      </c>
      <c r="M263" s="300" t="s">
        <v>7</v>
      </c>
      <c r="N263" s="132"/>
      <c r="O263" s="303"/>
      <c r="P263" s="300" t="s">
        <v>7</v>
      </c>
      <c r="Q263" s="300" t="s">
        <v>7</v>
      </c>
      <c r="R263" s="300" t="s">
        <v>226</v>
      </c>
      <c r="S263" s="300" t="s">
        <v>1981</v>
      </c>
      <c r="T263" s="300" t="s">
        <v>2458</v>
      </c>
      <c r="U263" s="303">
        <v>0.35310000000000002</v>
      </c>
      <c r="V263" s="300" t="s">
        <v>2458</v>
      </c>
      <c r="W263" s="297">
        <v>23.1</v>
      </c>
      <c r="X263" s="297">
        <f>(1-VLOOKUP(R263,Start!$H$33:$I$40,2,FALSE)/100)*W263</f>
        <v>20.559000000000001</v>
      </c>
      <c r="Y263" s="297">
        <f>VLOOKUP(Q263,Start!$C$9:$D$15,2,FALSE)+VLOOKUP(Q263,Start!$C$23:$D$29,2,FALSE)</f>
        <v>23.27</v>
      </c>
      <c r="Z263" s="298">
        <f>(Y263/U263)+Start!$D$19*(VLOOKUP(Q263,Start!$M$33:$N$39,2,FALSE)/U263)+VLOOKUP(R263,Start!$C$33:$D$40,2,FALSE)</f>
        <v>81.405409232512042</v>
      </c>
      <c r="AA263" s="234"/>
      <c r="AB263" s="278"/>
    </row>
    <row r="264" spans="2:28" ht="18.75" customHeight="1" x14ac:dyDescent="0.3">
      <c r="B264" s="229"/>
      <c r="C264" s="289" t="s">
        <v>2485</v>
      </c>
      <c r="D264" s="305" t="s">
        <v>1403</v>
      </c>
      <c r="E264" s="317" t="s">
        <v>1401</v>
      </c>
      <c r="F264" s="301" t="s">
        <v>1404</v>
      </c>
      <c r="G264" s="302">
        <v>46147</v>
      </c>
      <c r="H264" s="303" t="s">
        <v>1395</v>
      </c>
      <c r="I264" s="303"/>
      <c r="J264" s="301" t="s">
        <v>19</v>
      </c>
      <c r="K264" s="301" t="s">
        <v>1404</v>
      </c>
      <c r="L264" s="304" t="s">
        <v>2083</v>
      </c>
      <c r="M264" s="300" t="s">
        <v>7</v>
      </c>
      <c r="N264" s="132"/>
      <c r="O264" s="303"/>
      <c r="P264" s="300" t="s">
        <v>7</v>
      </c>
      <c r="Q264" s="300" t="s">
        <v>7</v>
      </c>
      <c r="R264" s="300" t="s">
        <v>226</v>
      </c>
      <c r="S264" s="300" t="s">
        <v>1981</v>
      </c>
      <c r="T264" s="300" t="s">
        <v>2458</v>
      </c>
      <c r="U264" s="303">
        <v>0.38059999999999999</v>
      </c>
      <c r="V264" s="300" t="s">
        <v>2458</v>
      </c>
      <c r="W264" s="297">
        <v>24.5</v>
      </c>
      <c r="X264" s="297">
        <f>(1-VLOOKUP(R264,Start!$H$33:$I$40,2,FALSE)/100)*W264</f>
        <v>21.805</v>
      </c>
      <c r="Y264" s="297">
        <f>VLOOKUP(Q264,Start!$C$9:$D$15,2,FALSE)+VLOOKUP(Q264,Start!$C$23:$D$29,2,FALSE)</f>
        <v>23.27</v>
      </c>
      <c r="Z264" s="298">
        <f>(Y264/U264)+Start!$D$19*(VLOOKUP(Q264,Start!$M$33:$N$39,2,FALSE)/U264)+VLOOKUP(R264,Start!$C$33:$D$40,2,FALSE)</f>
        <v>75.631897004729382</v>
      </c>
      <c r="AA264" s="234"/>
      <c r="AB264" s="278"/>
    </row>
    <row r="265" spans="2:28" ht="18.75" customHeight="1" x14ac:dyDescent="0.3">
      <c r="B265" s="229"/>
      <c r="C265" s="289" t="s">
        <v>2485</v>
      </c>
      <c r="D265" s="299" t="s">
        <v>1415</v>
      </c>
      <c r="E265" s="317" t="s">
        <v>1416</v>
      </c>
      <c r="F265" s="300" t="s">
        <v>1417</v>
      </c>
      <c r="G265" s="302">
        <v>63784</v>
      </c>
      <c r="H265" s="300" t="s">
        <v>1417</v>
      </c>
      <c r="I265" s="300"/>
      <c r="J265" s="306" t="s">
        <v>55</v>
      </c>
      <c r="K265" s="300">
        <v>2</v>
      </c>
      <c r="L265" s="304" t="s">
        <v>2237</v>
      </c>
      <c r="M265" s="300" t="s">
        <v>7</v>
      </c>
      <c r="N265" s="300"/>
      <c r="O265" s="300"/>
      <c r="P265" s="300" t="s">
        <v>7</v>
      </c>
      <c r="Q265" s="300" t="s">
        <v>7</v>
      </c>
      <c r="R265" s="300" t="s">
        <v>226</v>
      </c>
      <c r="S265" s="300" t="s">
        <v>1996</v>
      </c>
      <c r="T265" s="300" t="s">
        <v>2458</v>
      </c>
      <c r="U265" s="303">
        <v>0.18</v>
      </c>
      <c r="V265" s="300" t="s">
        <v>2458</v>
      </c>
      <c r="W265" s="307">
        <v>36</v>
      </c>
      <c r="X265" s="297">
        <f>(1-VLOOKUP(R265,Start!$H$33:$I$40,2,FALSE)/100)*W265</f>
        <v>32.04</v>
      </c>
      <c r="Y265" s="297">
        <f>VLOOKUP(Q265,Start!$C$9:$D$15,2,FALSE)+VLOOKUP(Q265,Start!$C$23:$D$29,2,FALSE)</f>
        <v>23.27</v>
      </c>
      <c r="Z265" s="298">
        <f>(Y265/U265)+Start!$D$19*(VLOOKUP(Q265,Start!$M$33:$N$39,2,FALSE)/U265)+VLOOKUP(R265,Start!$C$33:$D$40,2,FALSE)</f>
        <v>158.24777777777777</v>
      </c>
      <c r="AA265" s="234"/>
      <c r="AB265" s="278"/>
    </row>
    <row r="266" spans="2:28" ht="18.75" customHeight="1" x14ac:dyDescent="0.3">
      <c r="B266" s="229"/>
      <c r="C266" s="289" t="s">
        <v>2485</v>
      </c>
      <c r="D266" s="299" t="s">
        <v>1418</v>
      </c>
      <c r="E266" s="300" t="s">
        <v>1416</v>
      </c>
      <c r="F266" s="300" t="s">
        <v>1417</v>
      </c>
      <c r="G266" s="311">
        <v>63784</v>
      </c>
      <c r="H266" s="312" t="s">
        <v>1417</v>
      </c>
      <c r="I266" s="300"/>
      <c r="J266" s="306" t="s">
        <v>55</v>
      </c>
      <c r="K266" s="300">
        <v>1</v>
      </c>
      <c r="L266" s="304" t="s">
        <v>2235</v>
      </c>
      <c r="M266" s="300" t="s">
        <v>7</v>
      </c>
      <c r="N266" s="300"/>
      <c r="O266" s="300"/>
      <c r="P266" s="314" t="s">
        <v>7</v>
      </c>
      <c r="Q266" s="300" t="s">
        <v>7</v>
      </c>
      <c r="R266" s="300" t="s">
        <v>226</v>
      </c>
      <c r="S266" s="300" t="s">
        <v>1996</v>
      </c>
      <c r="T266" s="300" t="s">
        <v>2458</v>
      </c>
      <c r="U266" s="303">
        <v>0.51749999999999996</v>
      </c>
      <c r="V266" s="300" t="s">
        <v>2458</v>
      </c>
      <c r="W266" s="315">
        <v>64</v>
      </c>
      <c r="X266" s="297">
        <f>(1-VLOOKUP(R266,Start!$H$33:$I$40,2,FALSE)/100)*W266</f>
        <v>56.96</v>
      </c>
      <c r="Y266" s="297">
        <f>VLOOKUP(Q266,Start!$C$9:$D$15,2,FALSE)+VLOOKUP(Q266,Start!$C$23:$D$29,2,FALSE)</f>
        <v>23.27</v>
      </c>
      <c r="Z266" s="298">
        <f>(Y266/U266)+Start!$D$19*(VLOOKUP(Q266,Start!$M$33:$N$39,2,FALSE)/U266)+VLOOKUP(R266,Start!$C$33:$D$40,2,FALSE)</f>
        <v>56.020966183574885</v>
      </c>
      <c r="AA266" s="234"/>
      <c r="AB266" s="278"/>
    </row>
    <row r="267" spans="2:28" ht="18.75" customHeight="1" x14ac:dyDescent="0.3">
      <c r="B267" s="229"/>
      <c r="C267" s="289" t="s">
        <v>2485</v>
      </c>
      <c r="D267" s="305" t="s">
        <v>1429</v>
      </c>
      <c r="E267" s="300" t="s">
        <v>1426</v>
      </c>
      <c r="F267" s="300" t="s">
        <v>1430</v>
      </c>
      <c r="G267" s="302">
        <v>63067</v>
      </c>
      <c r="H267" s="300" t="s">
        <v>1428</v>
      </c>
      <c r="I267" s="300"/>
      <c r="J267" s="306" t="s">
        <v>105</v>
      </c>
      <c r="K267" s="300"/>
      <c r="L267" s="304" t="s">
        <v>2036</v>
      </c>
      <c r="M267" s="300" t="s">
        <v>47</v>
      </c>
      <c r="N267" s="300" t="s">
        <v>3</v>
      </c>
      <c r="O267" s="300" t="s">
        <v>34</v>
      </c>
      <c r="P267" s="300" t="s">
        <v>3</v>
      </c>
      <c r="Q267" s="300" t="s">
        <v>3</v>
      </c>
      <c r="R267" s="300" t="s">
        <v>3</v>
      </c>
      <c r="S267" s="300" t="s">
        <v>1981</v>
      </c>
      <c r="T267" s="300" t="s">
        <v>2458</v>
      </c>
      <c r="U267" s="303">
        <v>0.4</v>
      </c>
      <c r="V267" s="300" t="s">
        <v>2458</v>
      </c>
      <c r="W267" s="307">
        <v>54</v>
      </c>
      <c r="X267" s="297">
        <f>(1-VLOOKUP(R267,Start!$H$33:$I$40,2,FALSE)/100)*W267</f>
        <v>42.120000000000005</v>
      </c>
      <c r="Y267" s="297">
        <f>VLOOKUP(Q267,Start!$C$9:$D$15,2,FALSE)+VLOOKUP(Q267,Start!$C$23:$D$29,2,FALSE)</f>
        <v>12.53</v>
      </c>
      <c r="Z267" s="298">
        <f>(Y267/U267)+Start!$D$19*(VLOOKUP(Q267,Start!$M$33:$N$39,2,FALSE)/U267)+VLOOKUP(R267,Start!$C$33:$D$40,2,FALSE)</f>
        <v>53.350499999999997</v>
      </c>
      <c r="AA267" s="234"/>
      <c r="AB267" s="278"/>
    </row>
    <row r="268" spans="2:28" ht="18.75" customHeight="1" x14ac:dyDescent="0.3">
      <c r="B268" s="229"/>
      <c r="C268" s="289" t="s">
        <v>2485</v>
      </c>
      <c r="D268" s="299" t="s">
        <v>1431</v>
      </c>
      <c r="E268" s="300" t="s">
        <v>278</v>
      </c>
      <c r="F268" s="300" t="s">
        <v>1432</v>
      </c>
      <c r="G268" s="311">
        <v>25588</v>
      </c>
      <c r="H268" s="312" t="s">
        <v>1433</v>
      </c>
      <c r="I268" s="132"/>
      <c r="J268" s="301" t="s">
        <v>27</v>
      </c>
      <c r="K268" s="300"/>
      <c r="L268" s="304" t="s">
        <v>2301</v>
      </c>
      <c r="M268" s="300" t="s">
        <v>48</v>
      </c>
      <c r="N268" s="132"/>
      <c r="O268" s="300"/>
      <c r="P268" s="314" t="s">
        <v>48</v>
      </c>
      <c r="Q268" s="300" t="s">
        <v>4</v>
      </c>
      <c r="R268" s="300" t="s">
        <v>4</v>
      </c>
      <c r="S268" s="300" t="s">
        <v>1981</v>
      </c>
      <c r="T268" s="300" t="s">
        <v>2458</v>
      </c>
      <c r="U268" s="303">
        <v>0.35420000000000001</v>
      </c>
      <c r="V268" s="300" t="s">
        <v>2458</v>
      </c>
      <c r="W268" s="315">
        <v>88</v>
      </c>
      <c r="X268" s="297">
        <f>(1-VLOOKUP(R268,Start!$H$33:$I$40,2,FALSE)/100)*W268</f>
        <v>74.8</v>
      </c>
      <c r="Y268" s="297">
        <f>VLOOKUP(Q268,Start!$C$9:$D$15,2,FALSE)+VLOOKUP(Q268,Start!$C$23:$D$29,2,FALSE)</f>
        <v>33.223832923832894</v>
      </c>
      <c r="Z268" s="298">
        <f>(Y268/U268)+Start!$D$19*(VLOOKUP(Q268,Start!$M$33:$N$39,2,FALSE)/U268)+VLOOKUP(R268,Start!$C$33:$D$40,2,FALSE)</f>
        <v>114.24628154667671</v>
      </c>
      <c r="AA268" s="234"/>
      <c r="AB268" s="278"/>
    </row>
    <row r="269" spans="2:28" ht="18.75" customHeight="1" x14ac:dyDescent="0.3">
      <c r="B269" s="229"/>
      <c r="C269" s="289" t="s">
        <v>2485</v>
      </c>
      <c r="D269" s="299" t="s">
        <v>1441</v>
      </c>
      <c r="E269" s="300" t="s">
        <v>278</v>
      </c>
      <c r="F269" s="300" t="s">
        <v>1442</v>
      </c>
      <c r="G269" s="311">
        <v>24783</v>
      </c>
      <c r="H269" s="312" t="s">
        <v>1443</v>
      </c>
      <c r="I269" s="300"/>
      <c r="J269" s="306" t="s">
        <v>27</v>
      </c>
      <c r="K269" s="300"/>
      <c r="L269" s="304" t="s">
        <v>2117</v>
      </c>
      <c r="M269" s="300" t="s">
        <v>48</v>
      </c>
      <c r="N269" s="300"/>
      <c r="O269" s="300"/>
      <c r="P269" s="314" t="s">
        <v>48</v>
      </c>
      <c r="Q269" s="300" t="s">
        <v>4</v>
      </c>
      <c r="R269" s="300" t="s">
        <v>4</v>
      </c>
      <c r="S269" s="300" t="s">
        <v>1981</v>
      </c>
      <c r="T269" s="300" t="s">
        <v>2458</v>
      </c>
      <c r="U269" s="303">
        <v>0.3553</v>
      </c>
      <c r="V269" s="300" t="s">
        <v>2458</v>
      </c>
      <c r="W269" s="315">
        <v>87</v>
      </c>
      <c r="X269" s="297">
        <f>(1-VLOOKUP(R269,Start!$H$33:$I$40,2,FALSE)/100)*W269</f>
        <v>73.95</v>
      </c>
      <c r="Y269" s="297">
        <f>VLOOKUP(Q269,Start!$C$9:$D$15,2,FALSE)+VLOOKUP(Q269,Start!$C$23:$D$29,2,FALSE)</f>
        <v>33.223832923832894</v>
      </c>
      <c r="Z269" s="298">
        <f>(Y269/U269)+Start!$D$19*(VLOOKUP(Q269,Start!$M$33:$N$39,2,FALSE)/U269)+VLOOKUP(R269,Start!$C$33:$D$40,2,FALSE)</f>
        <v>113.89567386386967</v>
      </c>
      <c r="AA269" s="234"/>
      <c r="AB269" s="278"/>
    </row>
    <row r="270" spans="2:28" ht="18.75" customHeight="1" x14ac:dyDescent="0.3">
      <c r="B270" s="229"/>
      <c r="C270" s="289" t="s">
        <v>2485</v>
      </c>
      <c r="D270" s="305" t="s">
        <v>1461</v>
      </c>
      <c r="E270" s="300" t="s">
        <v>23</v>
      </c>
      <c r="F270" s="300" t="s">
        <v>1462</v>
      </c>
      <c r="G270" s="329">
        <v>3185</v>
      </c>
      <c r="H270" s="300" t="s">
        <v>1463</v>
      </c>
      <c r="I270" s="300" t="s">
        <v>1464</v>
      </c>
      <c r="J270" s="306" t="s">
        <v>24</v>
      </c>
      <c r="K270" s="300" t="s">
        <v>140</v>
      </c>
      <c r="L270" s="304" t="s">
        <v>2104</v>
      </c>
      <c r="M270" s="300" t="s">
        <v>2</v>
      </c>
      <c r="N270" s="300"/>
      <c r="O270" s="300"/>
      <c r="P270" s="300" t="s">
        <v>2</v>
      </c>
      <c r="Q270" s="300" t="s">
        <v>2</v>
      </c>
      <c r="R270" s="300" t="s">
        <v>2</v>
      </c>
      <c r="S270" s="300" t="s">
        <v>1981</v>
      </c>
      <c r="T270" s="300" t="s">
        <v>2458</v>
      </c>
      <c r="U270" s="303">
        <v>0.39040000000000002</v>
      </c>
      <c r="V270" s="300" t="s">
        <v>2458</v>
      </c>
      <c r="W270" s="307">
        <v>465</v>
      </c>
      <c r="X270" s="297">
        <f>(1-VLOOKUP(R270,Start!$H$33:$I$40,2,FALSE)/100)*W270</f>
        <v>404.55</v>
      </c>
      <c r="Y270" s="297">
        <f>VLOOKUP(Q270,Start!$C$9:$D$15,2,FALSE)+VLOOKUP(Q270,Start!$C$23:$D$29,2,FALSE)</f>
        <v>3.1</v>
      </c>
      <c r="Z270" s="298">
        <f>(Y270/U270)+Start!$D$19*(VLOOKUP(Q270,Start!$M$33:$N$39,2,FALSE)/U270)+VLOOKUP(R270,Start!$C$33:$D$40,2,FALSE)</f>
        <v>35.097540983606564</v>
      </c>
      <c r="AA270" s="234"/>
      <c r="AB270" s="278"/>
    </row>
    <row r="271" spans="2:28" ht="18.75" customHeight="1" x14ac:dyDescent="0.3">
      <c r="B271" s="229"/>
      <c r="C271" s="289" t="s">
        <v>2485</v>
      </c>
      <c r="D271" s="299" t="s">
        <v>1465</v>
      </c>
      <c r="E271" s="300" t="s">
        <v>23</v>
      </c>
      <c r="F271" s="300" t="s">
        <v>1462</v>
      </c>
      <c r="G271" s="302">
        <v>3185</v>
      </c>
      <c r="H271" s="300" t="s">
        <v>1463</v>
      </c>
      <c r="I271" s="132" t="s">
        <v>1464</v>
      </c>
      <c r="J271" s="306" t="s">
        <v>24</v>
      </c>
      <c r="K271" s="300" t="s">
        <v>139</v>
      </c>
      <c r="L271" s="304" t="s">
        <v>2105</v>
      </c>
      <c r="M271" s="300" t="s">
        <v>2</v>
      </c>
      <c r="N271" s="300"/>
      <c r="O271" s="300"/>
      <c r="P271" s="314" t="s">
        <v>2</v>
      </c>
      <c r="Q271" s="300" t="s">
        <v>2</v>
      </c>
      <c r="R271" s="300" t="s">
        <v>2</v>
      </c>
      <c r="S271" s="300" t="s">
        <v>1981</v>
      </c>
      <c r="T271" s="300" t="s">
        <v>2458</v>
      </c>
      <c r="U271" s="303">
        <v>0.39040000000000002</v>
      </c>
      <c r="V271" s="300" t="s">
        <v>2458</v>
      </c>
      <c r="W271" s="307">
        <v>465</v>
      </c>
      <c r="X271" s="297">
        <f>(1-VLOOKUP(R271,Start!$H$33:$I$40,2,FALSE)/100)*W271</f>
        <v>404.55</v>
      </c>
      <c r="Y271" s="297">
        <f>VLOOKUP(Q271,Start!$C$9:$D$15,2,FALSE)+VLOOKUP(Q271,Start!$C$23:$D$29,2,FALSE)</f>
        <v>3.1</v>
      </c>
      <c r="Z271" s="298">
        <f>(Y271/U271)+Start!$D$19*(VLOOKUP(Q271,Start!$M$33:$N$39,2,FALSE)/U271)+VLOOKUP(R271,Start!$C$33:$D$40,2,FALSE)</f>
        <v>35.097540983606564</v>
      </c>
      <c r="AA271" s="234"/>
      <c r="AB271" s="278"/>
    </row>
    <row r="272" spans="2:28" ht="18.75" customHeight="1" x14ac:dyDescent="0.3">
      <c r="B272" s="229"/>
      <c r="C272" s="289" t="s">
        <v>2485</v>
      </c>
      <c r="D272" s="305" t="s">
        <v>1466</v>
      </c>
      <c r="E272" s="300" t="s">
        <v>23</v>
      </c>
      <c r="F272" s="300" t="s">
        <v>1462</v>
      </c>
      <c r="G272" s="302">
        <v>3185</v>
      </c>
      <c r="H272" s="325" t="s">
        <v>1463</v>
      </c>
      <c r="I272" s="300" t="s">
        <v>1464</v>
      </c>
      <c r="J272" s="306" t="s">
        <v>24</v>
      </c>
      <c r="K272" s="300" t="s">
        <v>142</v>
      </c>
      <c r="L272" s="304" t="s">
        <v>2106</v>
      </c>
      <c r="M272" s="300" t="s">
        <v>2</v>
      </c>
      <c r="N272" s="300"/>
      <c r="O272" s="300"/>
      <c r="P272" s="300" t="s">
        <v>2</v>
      </c>
      <c r="Q272" s="300" t="s">
        <v>2</v>
      </c>
      <c r="R272" s="300" t="s">
        <v>2</v>
      </c>
      <c r="S272" s="300" t="s">
        <v>1981</v>
      </c>
      <c r="T272" s="300" t="s">
        <v>2458</v>
      </c>
      <c r="U272" s="303">
        <v>0.39040000000000002</v>
      </c>
      <c r="V272" s="300" t="s">
        <v>2458</v>
      </c>
      <c r="W272" s="307">
        <v>465</v>
      </c>
      <c r="X272" s="297">
        <f>(1-VLOOKUP(R272,Start!$H$33:$I$40,2,FALSE)/100)*W272</f>
        <v>404.55</v>
      </c>
      <c r="Y272" s="297">
        <f>VLOOKUP(Q272,Start!$C$9:$D$15,2,FALSE)+VLOOKUP(Q272,Start!$C$23:$D$29,2,FALSE)</f>
        <v>3.1</v>
      </c>
      <c r="Z272" s="298">
        <f>(Y272/U272)+Start!$D$19*(VLOOKUP(Q272,Start!$M$33:$N$39,2,FALSE)/U272)+VLOOKUP(R272,Start!$C$33:$D$40,2,FALSE)</f>
        <v>35.097540983606564</v>
      </c>
      <c r="AA272" s="234"/>
      <c r="AB272" s="278"/>
    </row>
    <row r="273" spans="2:28" ht="18.75" customHeight="1" x14ac:dyDescent="0.3">
      <c r="B273" s="229"/>
      <c r="C273" s="289" t="s">
        <v>2485</v>
      </c>
      <c r="D273" s="305" t="s">
        <v>1467</v>
      </c>
      <c r="E273" s="300" t="s">
        <v>23</v>
      </c>
      <c r="F273" s="300" t="s">
        <v>1462</v>
      </c>
      <c r="G273" s="302">
        <v>3185</v>
      </c>
      <c r="H273" s="325" t="s">
        <v>1463</v>
      </c>
      <c r="I273" s="300" t="s">
        <v>1464</v>
      </c>
      <c r="J273" s="306" t="s">
        <v>24</v>
      </c>
      <c r="K273" s="300" t="s">
        <v>131</v>
      </c>
      <c r="L273" s="304" t="s">
        <v>2107</v>
      </c>
      <c r="M273" s="300" t="s">
        <v>2</v>
      </c>
      <c r="N273" s="300"/>
      <c r="O273" s="300"/>
      <c r="P273" s="300" t="s">
        <v>2</v>
      </c>
      <c r="Q273" s="300" t="s">
        <v>2</v>
      </c>
      <c r="R273" s="300" t="s">
        <v>2</v>
      </c>
      <c r="S273" s="300" t="s">
        <v>1981</v>
      </c>
      <c r="T273" s="300" t="s">
        <v>2458</v>
      </c>
      <c r="U273" s="303">
        <v>0.39040000000000002</v>
      </c>
      <c r="V273" s="300" t="s">
        <v>2458</v>
      </c>
      <c r="W273" s="307">
        <v>465</v>
      </c>
      <c r="X273" s="297">
        <f>(1-VLOOKUP(R273,Start!$H$33:$I$40,2,FALSE)/100)*W273</f>
        <v>404.55</v>
      </c>
      <c r="Y273" s="297">
        <f>VLOOKUP(Q273,Start!$C$9:$D$15,2,FALSE)+VLOOKUP(Q273,Start!$C$23:$D$29,2,FALSE)</f>
        <v>3.1</v>
      </c>
      <c r="Z273" s="298">
        <f>(Y273/U273)+Start!$D$19*(VLOOKUP(Q273,Start!$M$33:$N$39,2,FALSE)/U273)+VLOOKUP(R273,Start!$C$33:$D$40,2,FALSE)</f>
        <v>35.097540983606564</v>
      </c>
      <c r="AA273" s="234"/>
      <c r="AB273" s="278"/>
    </row>
    <row r="274" spans="2:28" ht="18.75" customHeight="1" x14ac:dyDescent="0.3">
      <c r="B274" s="229"/>
      <c r="C274" s="289" t="s">
        <v>2485</v>
      </c>
      <c r="D274" s="299" t="s">
        <v>1468</v>
      </c>
      <c r="E274" s="300" t="s">
        <v>23</v>
      </c>
      <c r="F274" s="300" t="s">
        <v>1462</v>
      </c>
      <c r="G274" s="302">
        <v>3185</v>
      </c>
      <c r="H274" s="300" t="s">
        <v>1463</v>
      </c>
      <c r="I274" s="300" t="s">
        <v>1464</v>
      </c>
      <c r="J274" s="306" t="s">
        <v>24</v>
      </c>
      <c r="K274" s="300" t="s">
        <v>143</v>
      </c>
      <c r="L274" s="304" t="s">
        <v>2108</v>
      </c>
      <c r="M274" s="300" t="s">
        <v>2</v>
      </c>
      <c r="N274" s="300"/>
      <c r="O274" s="313"/>
      <c r="P274" s="300" t="s">
        <v>2</v>
      </c>
      <c r="Q274" s="300" t="s">
        <v>2</v>
      </c>
      <c r="R274" s="300" t="s">
        <v>2</v>
      </c>
      <c r="S274" s="300" t="s">
        <v>1981</v>
      </c>
      <c r="T274" s="300" t="s">
        <v>2458</v>
      </c>
      <c r="U274" s="303">
        <v>0.39040000000000002</v>
      </c>
      <c r="V274" s="300" t="s">
        <v>2458</v>
      </c>
      <c r="W274" s="307">
        <v>465</v>
      </c>
      <c r="X274" s="297">
        <f>(1-VLOOKUP(R274,Start!$H$33:$I$40,2,FALSE)/100)*W274</f>
        <v>404.55</v>
      </c>
      <c r="Y274" s="297">
        <f>VLOOKUP(Q274,Start!$C$9:$D$15,2,FALSE)+VLOOKUP(Q274,Start!$C$23:$D$29,2,FALSE)</f>
        <v>3.1</v>
      </c>
      <c r="Z274" s="298">
        <f>(Y274/U274)+Start!$D$19*(VLOOKUP(Q274,Start!$M$33:$N$39,2,FALSE)/U274)+VLOOKUP(R274,Start!$C$33:$D$40,2,FALSE)</f>
        <v>35.097540983606564</v>
      </c>
      <c r="AA274" s="234"/>
      <c r="AB274" s="278"/>
    </row>
    <row r="275" spans="2:28" ht="18.75" customHeight="1" x14ac:dyDescent="0.3">
      <c r="B275" s="229"/>
      <c r="C275" s="289" t="s">
        <v>2485</v>
      </c>
      <c r="D275" s="305" t="s">
        <v>1469</v>
      </c>
      <c r="E275" s="300" t="s">
        <v>278</v>
      </c>
      <c r="F275" s="300" t="s">
        <v>1470</v>
      </c>
      <c r="G275" s="302">
        <v>32469</v>
      </c>
      <c r="H275" s="300" t="s">
        <v>1471</v>
      </c>
      <c r="I275" s="300"/>
      <c r="J275" s="306" t="s">
        <v>19</v>
      </c>
      <c r="K275" s="300">
        <v>4</v>
      </c>
      <c r="L275" s="304" t="s">
        <v>2037</v>
      </c>
      <c r="M275" s="300" t="s">
        <v>3</v>
      </c>
      <c r="N275" s="300"/>
      <c r="O275" s="300"/>
      <c r="P275" s="300" t="s">
        <v>3</v>
      </c>
      <c r="Q275" s="300" t="s">
        <v>3</v>
      </c>
      <c r="R275" s="300" t="s">
        <v>3</v>
      </c>
      <c r="S275" s="300" t="s">
        <v>1981</v>
      </c>
      <c r="T275" s="300" t="s">
        <v>2458</v>
      </c>
      <c r="U275" s="303">
        <v>0.39250000000000002</v>
      </c>
      <c r="V275" s="300" t="s">
        <v>2458</v>
      </c>
      <c r="W275" s="307">
        <v>875</v>
      </c>
      <c r="X275" s="297">
        <f>(1-VLOOKUP(R275,Start!$H$33:$I$40,2,FALSE)/100)*W275</f>
        <v>682.5</v>
      </c>
      <c r="Y275" s="297">
        <f>VLOOKUP(Q275,Start!$C$9:$D$15,2,FALSE)+VLOOKUP(Q275,Start!$C$23:$D$29,2,FALSE)</f>
        <v>12.53</v>
      </c>
      <c r="Z275" s="298">
        <f>(Y275/U275)+Start!$D$19*(VLOOKUP(Q275,Start!$M$33:$N$39,2,FALSE)/U275)+VLOOKUP(R275,Start!$C$33:$D$40,2,FALSE)</f>
        <v>54.345095541401271</v>
      </c>
      <c r="AA275" s="234"/>
      <c r="AB275" s="278"/>
    </row>
    <row r="276" spans="2:28" ht="18.75" customHeight="1" x14ac:dyDescent="0.3">
      <c r="B276" s="229"/>
      <c r="C276" s="289" t="s">
        <v>2485</v>
      </c>
      <c r="D276" s="299" t="s">
        <v>1478</v>
      </c>
      <c r="E276" s="300" t="s">
        <v>1475</v>
      </c>
      <c r="F276" s="300" t="s">
        <v>1475</v>
      </c>
      <c r="G276" s="302">
        <v>75175</v>
      </c>
      <c r="H276" s="300" t="s">
        <v>1476</v>
      </c>
      <c r="I276" s="300" t="s">
        <v>1477</v>
      </c>
      <c r="J276" s="306" t="s">
        <v>20</v>
      </c>
      <c r="K276" s="300" t="s">
        <v>1479</v>
      </c>
      <c r="L276" s="304" t="s">
        <v>2238</v>
      </c>
      <c r="M276" s="300" t="s">
        <v>47</v>
      </c>
      <c r="N276" s="300" t="s">
        <v>7</v>
      </c>
      <c r="O276" s="300" t="s">
        <v>48</v>
      </c>
      <c r="P276" s="300" t="s">
        <v>7</v>
      </c>
      <c r="Q276" s="300" t="s">
        <v>7</v>
      </c>
      <c r="R276" s="300" t="s">
        <v>226</v>
      </c>
      <c r="S276" s="300" t="s">
        <v>1996</v>
      </c>
      <c r="T276" s="300" t="s">
        <v>2458</v>
      </c>
      <c r="U276" s="303">
        <v>0.45</v>
      </c>
      <c r="V276" s="300" t="s">
        <v>2458</v>
      </c>
      <c r="W276" s="307">
        <v>41.2</v>
      </c>
      <c r="X276" s="297">
        <f>(1-VLOOKUP(R276,Start!$H$33:$I$40,2,FALSE)/100)*W276</f>
        <v>36.668000000000006</v>
      </c>
      <c r="Y276" s="297">
        <f>VLOOKUP(Q276,Start!$C$9:$D$15,2,FALSE)+VLOOKUP(Q276,Start!$C$23:$D$29,2,FALSE)</f>
        <v>23.27</v>
      </c>
      <c r="Z276" s="298">
        <f>(Y276/U276)+Start!$D$19*(VLOOKUP(Q276,Start!$M$33:$N$39,2,FALSE)/U276)+VLOOKUP(R276,Start!$C$33:$D$40,2,FALSE)</f>
        <v>64.199111111111108</v>
      </c>
      <c r="AA276" s="234"/>
      <c r="AB276" s="278"/>
    </row>
    <row r="277" spans="2:28" ht="18.75" customHeight="1" x14ac:dyDescent="0.3">
      <c r="B277" s="229"/>
      <c r="C277" s="289" t="s">
        <v>2485</v>
      </c>
      <c r="D277" s="305" t="s">
        <v>1480</v>
      </c>
      <c r="E277" s="300" t="s">
        <v>1475</v>
      </c>
      <c r="F277" s="300" t="s">
        <v>1475</v>
      </c>
      <c r="G277" s="311">
        <v>75175</v>
      </c>
      <c r="H277" s="300" t="s">
        <v>1476</v>
      </c>
      <c r="I277" s="300" t="s">
        <v>1477</v>
      </c>
      <c r="J277" s="301" t="s">
        <v>20</v>
      </c>
      <c r="K277" s="300" t="s">
        <v>1481</v>
      </c>
      <c r="L277" s="304" t="s">
        <v>2038</v>
      </c>
      <c r="M277" s="300" t="s">
        <v>47</v>
      </c>
      <c r="N277" s="132" t="s">
        <v>3</v>
      </c>
      <c r="O277" s="132" t="s">
        <v>1482</v>
      </c>
      <c r="P277" s="132" t="s">
        <v>3</v>
      </c>
      <c r="Q277" s="300" t="s">
        <v>3</v>
      </c>
      <c r="R277" s="300" t="s">
        <v>3</v>
      </c>
      <c r="S277" s="300" t="s">
        <v>1981</v>
      </c>
      <c r="T277" s="300" t="s">
        <v>2458</v>
      </c>
      <c r="U277" s="303">
        <v>0.4</v>
      </c>
      <c r="V277" s="300" t="s">
        <v>2458</v>
      </c>
      <c r="W277" s="307">
        <v>26.9</v>
      </c>
      <c r="X277" s="297">
        <f>(1-VLOOKUP(R277,Start!$H$33:$I$40,2,FALSE)/100)*W277</f>
        <v>20.981999999999999</v>
      </c>
      <c r="Y277" s="297">
        <f>VLOOKUP(Q277,Start!$C$9:$D$15,2,FALSE)+VLOOKUP(Q277,Start!$C$23:$D$29,2,FALSE)</f>
        <v>12.53</v>
      </c>
      <c r="Z277" s="298">
        <f>(Y277/U277)+Start!$D$19*(VLOOKUP(Q277,Start!$M$33:$N$39,2,FALSE)/U277)+VLOOKUP(R277,Start!$C$33:$D$40,2,FALSE)</f>
        <v>53.350499999999997</v>
      </c>
      <c r="AA277" s="234"/>
      <c r="AB277" s="278"/>
    </row>
    <row r="278" spans="2:28" ht="18.75" customHeight="1" x14ac:dyDescent="0.3">
      <c r="B278" s="229"/>
      <c r="C278" s="289" t="s">
        <v>2485</v>
      </c>
      <c r="D278" s="305" t="s">
        <v>1483</v>
      </c>
      <c r="E278" s="300" t="s">
        <v>40</v>
      </c>
      <c r="F278" s="300" t="s">
        <v>1484</v>
      </c>
      <c r="G278" s="301">
        <v>76661</v>
      </c>
      <c r="H278" s="301" t="s">
        <v>1485</v>
      </c>
      <c r="I278" s="301" t="s">
        <v>1486</v>
      </c>
      <c r="J278" s="306" t="s">
        <v>20</v>
      </c>
      <c r="K278" s="301" t="s">
        <v>1487</v>
      </c>
      <c r="L278" s="304" t="s">
        <v>2290</v>
      </c>
      <c r="M278" s="301" t="s">
        <v>1</v>
      </c>
      <c r="N278" s="301"/>
      <c r="O278" s="301"/>
      <c r="P278" s="314" t="s">
        <v>1</v>
      </c>
      <c r="Q278" s="300" t="s">
        <v>1</v>
      </c>
      <c r="R278" s="303" t="s">
        <v>1</v>
      </c>
      <c r="S278" s="300" t="s">
        <v>1981</v>
      </c>
      <c r="T278" s="300" t="s">
        <v>2458</v>
      </c>
      <c r="U278" s="303">
        <v>0.33</v>
      </c>
      <c r="V278" s="300" t="s">
        <v>2458</v>
      </c>
      <c r="W278" s="301">
        <v>1402</v>
      </c>
      <c r="X278" s="297">
        <f>(1-VLOOKUP(R278,Start!$H$33:$I$40,2,FALSE)/100)*W278</f>
        <v>1247.78</v>
      </c>
      <c r="Y278" s="297">
        <f>VLOOKUP(Q278,Start!$C$9:$D$15,2,FALSE)+VLOOKUP(Q278,Start!$C$23:$D$29,2,FALSE)</f>
        <v>5.5</v>
      </c>
      <c r="Z278" s="298">
        <f>(Y278/U278)+Start!$D$19*(VLOOKUP(Q278,Start!$M$33:$N$39,2,FALSE)/U278)+VLOOKUP(R278,Start!$C$33:$D$40,2,FALSE)</f>
        <v>17.866666666666664</v>
      </c>
      <c r="AA278" s="234"/>
      <c r="AB278" s="278"/>
    </row>
    <row r="279" spans="2:28" ht="18.75" customHeight="1" x14ac:dyDescent="0.3">
      <c r="B279" s="229"/>
      <c r="C279" s="289" t="s">
        <v>2485</v>
      </c>
      <c r="D279" s="299" t="s">
        <v>1488</v>
      </c>
      <c r="E279" s="300" t="s">
        <v>875</v>
      </c>
      <c r="F279" s="300" t="s">
        <v>1489</v>
      </c>
      <c r="G279" s="311">
        <v>36269</v>
      </c>
      <c r="H279" s="312" t="s">
        <v>1490</v>
      </c>
      <c r="I279" s="132"/>
      <c r="J279" s="301" t="s">
        <v>105</v>
      </c>
      <c r="K279" s="300" t="s">
        <v>1489</v>
      </c>
      <c r="L279" s="304" t="s">
        <v>2028</v>
      </c>
      <c r="M279" s="300" t="s">
        <v>7</v>
      </c>
      <c r="N279" s="132"/>
      <c r="O279" s="300"/>
      <c r="P279" s="314" t="s">
        <v>7</v>
      </c>
      <c r="Q279" s="300" t="s">
        <v>7</v>
      </c>
      <c r="R279" s="300" t="s">
        <v>226</v>
      </c>
      <c r="S279" s="300" t="s">
        <v>1981</v>
      </c>
      <c r="T279" s="300" t="s">
        <v>2458</v>
      </c>
      <c r="U279" s="303">
        <v>0.39929999999999999</v>
      </c>
      <c r="V279" s="300" t="s">
        <v>2458</v>
      </c>
      <c r="W279" s="315">
        <v>35</v>
      </c>
      <c r="X279" s="297">
        <f>(1-VLOOKUP(R279,Start!$H$33:$I$40,2,FALSE)/100)*W279</f>
        <v>31.150000000000002</v>
      </c>
      <c r="Y279" s="297">
        <f>VLOOKUP(Q279,Start!$C$9:$D$15,2,FALSE)+VLOOKUP(Q279,Start!$C$23:$D$29,2,FALSE)</f>
        <v>23.27</v>
      </c>
      <c r="Z279" s="298">
        <f>(Y279/U279)+Start!$D$19*(VLOOKUP(Q279,Start!$M$33:$N$39,2,FALSE)/U279)+VLOOKUP(R279,Start!$C$33:$D$40,2,FALSE)</f>
        <v>72.160155271725515</v>
      </c>
      <c r="AA279" s="234"/>
      <c r="AB279" s="278"/>
    </row>
    <row r="280" spans="2:28" ht="18.75" customHeight="1" x14ac:dyDescent="0.3">
      <c r="B280" s="229"/>
      <c r="C280" s="289" t="s">
        <v>2485</v>
      </c>
      <c r="D280" s="305" t="s">
        <v>1491</v>
      </c>
      <c r="E280" s="300" t="s">
        <v>875</v>
      </c>
      <c r="F280" s="300" t="s">
        <v>1489</v>
      </c>
      <c r="G280" s="302">
        <v>36269</v>
      </c>
      <c r="H280" s="300" t="s">
        <v>1490</v>
      </c>
      <c r="I280" s="132"/>
      <c r="J280" s="306" t="s">
        <v>105</v>
      </c>
      <c r="K280" s="300" t="s">
        <v>1489</v>
      </c>
      <c r="L280" s="304" t="s">
        <v>2028</v>
      </c>
      <c r="M280" s="300" t="s">
        <v>7</v>
      </c>
      <c r="N280" s="300"/>
      <c r="O280" s="300"/>
      <c r="P280" s="300" t="s">
        <v>7</v>
      </c>
      <c r="Q280" s="300" t="s">
        <v>7</v>
      </c>
      <c r="R280" s="300" t="s">
        <v>226</v>
      </c>
      <c r="S280" s="300" t="s">
        <v>1981</v>
      </c>
      <c r="T280" s="300" t="s">
        <v>2458</v>
      </c>
      <c r="U280" s="332">
        <v>0.39929999999999999</v>
      </c>
      <c r="V280" s="300" t="s">
        <v>2458</v>
      </c>
      <c r="W280" s="307">
        <v>17</v>
      </c>
      <c r="X280" s="297">
        <f>(1-VLOOKUP(R280,Start!$H$33:$I$40,2,FALSE)/100)*W280</f>
        <v>15.13</v>
      </c>
      <c r="Y280" s="297">
        <f>VLOOKUP(Q280,Start!$C$9:$D$15,2,FALSE)+VLOOKUP(Q280,Start!$C$23:$D$29,2,FALSE)</f>
        <v>23.27</v>
      </c>
      <c r="Z280" s="298">
        <f>(Y280/U280)+Start!$D$19*(VLOOKUP(Q280,Start!$M$33:$N$39,2,FALSE)/U280)+VLOOKUP(R280,Start!$C$33:$D$40,2,FALSE)</f>
        <v>72.160155271725515</v>
      </c>
      <c r="AA280" s="234"/>
      <c r="AB280" s="278"/>
    </row>
    <row r="281" spans="2:28" ht="18.75" customHeight="1" x14ac:dyDescent="0.3">
      <c r="B281" s="229"/>
      <c r="C281" s="289" t="s">
        <v>2485</v>
      </c>
      <c r="D281" s="299" t="s">
        <v>1497</v>
      </c>
      <c r="E281" s="300" t="s">
        <v>512</v>
      </c>
      <c r="F281" s="300" t="s">
        <v>1498</v>
      </c>
      <c r="G281" s="302">
        <v>94447</v>
      </c>
      <c r="H281" s="300" t="s">
        <v>1499</v>
      </c>
      <c r="I281" s="300"/>
      <c r="J281" s="306" t="s">
        <v>55</v>
      </c>
      <c r="K281" s="300"/>
      <c r="L281" s="304" t="s">
        <v>2239</v>
      </c>
      <c r="M281" s="300" t="s">
        <v>7</v>
      </c>
      <c r="N281" s="300"/>
      <c r="O281" s="300"/>
      <c r="P281" s="300" t="s">
        <v>7</v>
      </c>
      <c r="Q281" s="300" t="s">
        <v>7</v>
      </c>
      <c r="R281" s="300" t="s">
        <v>226</v>
      </c>
      <c r="S281" s="300" t="s">
        <v>1996</v>
      </c>
      <c r="T281" s="300" t="s">
        <v>2458</v>
      </c>
      <c r="U281" s="303">
        <v>0.58499999999999996</v>
      </c>
      <c r="V281" s="300" t="s">
        <v>2458</v>
      </c>
      <c r="W281" s="307">
        <v>118.5</v>
      </c>
      <c r="X281" s="297">
        <f>(1-VLOOKUP(R281,Start!$H$33:$I$40,2,FALSE)/100)*W281</f>
        <v>105.465</v>
      </c>
      <c r="Y281" s="297">
        <f>VLOOKUP(Q281,Start!$C$9:$D$15,2,FALSE)+VLOOKUP(Q281,Start!$C$23:$D$29,2,FALSE)</f>
        <v>23.27</v>
      </c>
      <c r="Z281" s="298">
        <f>(Y281/U281)+Start!$D$19*(VLOOKUP(Q281,Start!$M$33:$N$39,2,FALSE)/U281)+VLOOKUP(R281,Start!$C$33:$D$40,2,FALSE)</f>
        <v>49.73008547008547</v>
      </c>
      <c r="AA281" s="234"/>
      <c r="AB281" s="278"/>
    </row>
    <row r="282" spans="2:28" ht="18.75" customHeight="1" x14ac:dyDescent="0.3">
      <c r="B282" s="229"/>
      <c r="C282" s="289" t="s">
        <v>2485</v>
      </c>
      <c r="D282" s="299" t="s">
        <v>1500</v>
      </c>
      <c r="E282" s="300" t="s">
        <v>1501</v>
      </c>
      <c r="F282" s="300" t="s">
        <v>1502</v>
      </c>
      <c r="G282" s="302">
        <v>14478</v>
      </c>
      <c r="H282" s="300" t="s">
        <v>1503</v>
      </c>
      <c r="I282" s="300"/>
      <c r="J282" s="306" t="s">
        <v>24</v>
      </c>
      <c r="K282" s="300" t="s">
        <v>1504</v>
      </c>
      <c r="L282" s="304" t="s">
        <v>2083</v>
      </c>
      <c r="M282" s="300" t="s">
        <v>7</v>
      </c>
      <c r="N282" s="132"/>
      <c r="O282" s="132"/>
      <c r="P282" s="300" t="s">
        <v>7</v>
      </c>
      <c r="Q282" s="300" t="s">
        <v>7</v>
      </c>
      <c r="R282" s="300" t="s">
        <v>226</v>
      </c>
      <c r="S282" s="300" t="s">
        <v>1981</v>
      </c>
      <c r="T282" s="300" t="s">
        <v>2458</v>
      </c>
      <c r="U282" s="303">
        <v>0.38059999999999999</v>
      </c>
      <c r="V282" s="300" t="s">
        <v>2458</v>
      </c>
      <c r="W282" s="307">
        <v>81.8</v>
      </c>
      <c r="X282" s="297">
        <f>(1-VLOOKUP(R282,Start!$H$33:$I$40,2,FALSE)/100)*W282</f>
        <v>72.801999999999992</v>
      </c>
      <c r="Y282" s="297">
        <f>VLOOKUP(Q282,Start!$C$9:$D$15,2,FALSE)+VLOOKUP(Q282,Start!$C$23:$D$29,2,FALSE)</f>
        <v>23.27</v>
      </c>
      <c r="Z282" s="298">
        <f>(Y282/U282)+Start!$D$19*(VLOOKUP(Q282,Start!$M$33:$N$39,2,FALSE)/U282)+VLOOKUP(R282,Start!$C$33:$D$40,2,FALSE)</f>
        <v>75.631897004729382</v>
      </c>
      <c r="AA282" s="234"/>
      <c r="AB282" s="278"/>
    </row>
    <row r="283" spans="2:28" ht="18.75" customHeight="1" x14ac:dyDescent="0.3">
      <c r="B283" s="229"/>
      <c r="C283" s="289" t="s">
        <v>2485</v>
      </c>
      <c r="D283" s="299" t="s">
        <v>1527</v>
      </c>
      <c r="E283" s="300" t="s">
        <v>1528</v>
      </c>
      <c r="F283" s="132" t="s">
        <v>1529</v>
      </c>
      <c r="G283" s="311">
        <v>72762</v>
      </c>
      <c r="H283" s="312" t="s">
        <v>1530</v>
      </c>
      <c r="I283" s="333" t="s">
        <v>1531</v>
      </c>
      <c r="J283" s="301" t="s">
        <v>20</v>
      </c>
      <c r="K283" s="300" t="s">
        <v>1532</v>
      </c>
      <c r="L283" s="304" t="s">
        <v>2244</v>
      </c>
      <c r="M283" s="300" t="s">
        <v>7</v>
      </c>
      <c r="N283" s="132"/>
      <c r="O283" s="300"/>
      <c r="P283" s="314" t="s">
        <v>7</v>
      </c>
      <c r="Q283" s="300" t="s">
        <v>7</v>
      </c>
      <c r="R283" s="300" t="s">
        <v>226</v>
      </c>
      <c r="S283" s="300" t="s">
        <v>1986</v>
      </c>
      <c r="T283" s="300" t="s">
        <v>2458</v>
      </c>
      <c r="U283" s="303">
        <v>0.45739999999999997</v>
      </c>
      <c r="V283" s="300" t="s">
        <v>2458</v>
      </c>
      <c r="W283" s="315">
        <v>9.84</v>
      </c>
      <c r="X283" s="297">
        <f>(1-VLOOKUP(R283,Start!$H$33:$I$40,2,FALSE)/100)*W283</f>
        <v>8.7576000000000001</v>
      </c>
      <c r="Y283" s="297">
        <f>VLOOKUP(Q283,Start!$C$9:$D$15,2,FALSE)+VLOOKUP(Q283,Start!$C$23:$D$29,2,FALSE)</f>
        <v>23.27</v>
      </c>
      <c r="Z283" s="298">
        <f>(Y283/U283)+Start!$D$19*(VLOOKUP(Q283,Start!$M$33:$N$39,2,FALSE)/U283)+VLOOKUP(R283,Start!$C$33:$D$40,2,FALSE)</f>
        <v>63.184739833843466</v>
      </c>
      <c r="AA283" s="234"/>
      <c r="AB283" s="278"/>
    </row>
    <row r="284" spans="2:28" ht="18.75" customHeight="1" x14ac:dyDescent="0.3">
      <c r="B284" s="229"/>
      <c r="C284" s="289" t="s">
        <v>2485</v>
      </c>
      <c r="D284" s="299" t="s">
        <v>1533</v>
      </c>
      <c r="E284" s="300" t="s">
        <v>208</v>
      </c>
      <c r="F284" s="132" t="s">
        <v>1534</v>
      </c>
      <c r="G284" s="311">
        <v>47495</v>
      </c>
      <c r="H284" s="312" t="s">
        <v>1535</v>
      </c>
      <c r="I284" s="132"/>
      <c r="J284" s="301" t="s">
        <v>19</v>
      </c>
      <c r="K284" s="300"/>
      <c r="L284" s="304" t="s">
        <v>2245</v>
      </c>
      <c r="M284" s="300" t="s">
        <v>47</v>
      </c>
      <c r="N284" s="132" t="s">
        <v>1536</v>
      </c>
      <c r="O284" s="300" t="s">
        <v>7</v>
      </c>
      <c r="P284" s="314" t="s">
        <v>3</v>
      </c>
      <c r="Q284" s="300" t="s">
        <v>3</v>
      </c>
      <c r="R284" s="300" t="s">
        <v>3</v>
      </c>
      <c r="S284" s="300" t="s">
        <v>1981</v>
      </c>
      <c r="T284" s="300" t="s">
        <v>2458</v>
      </c>
      <c r="U284" s="303">
        <v>0.35749999999999998</v>
      </c>
      <c r="V284" s="300" t="s">
        <v>2458</v>
      </c>
      <c r="W284" s="315">
        <v>79</v>
      </c>
      <c r="X284" s="297">
        <f>(1-VLOOKUP(R284,Start!$H$33:$I$40,2,FALSE)/100)*W284</f>
        <v>61.620000000000005</v>
      </c>
      <c r="Y284" s="297">
        <f>VLOOKUP(Q284,Start!$C$9:$D$15,2,FALSE)+VLOOKUP(Q284,Start!$C$23:$D$29,2,FALSE)</f>
        <v>12.53</v>
      </c>
      <c r="Z284" s="298">
        <f>(Y284/U284)+Start!$D$19*(VLOOKUP(Q284,Start!$M$33:$N$39,2,FALSE)/U284)+VLOOKUP(R284,Start!$C$33:$D$40,2,FALSE)</f>
        <v>59.53832167832168</v>
      </c>
      <c r="AA284" s="234"/>
      <c r="AB284" s="278"/>
    </row>
    <row r="285" spans="2:28" ht="18.75" customHeight="1" x14ac:dyDescent="0.3">
      <c r="B285" s="229"/>
      <c r="C285" s="289" t="s">
        <v>2485</v>
      </c>
      <c r="D285" s="299" t="s">
        <v>1549</v>
      </c>
      <c r="E285" s="313" t="s">
        <v>1544</v>
      </c>
      <c r="F285" s="300" t="s">
        <v>1550</v>
      </c>
      <c r="G285" s="311">
        <v>83022</v>
      </c>
      <c r="H285" s="312" t="s">
        <v>1542</v>
      </c>
      <c r="I285" s="300" t="s">
        <v>1546</v>
      </c>
      <c r="J285" s="306" t="s">
        <v>55</v>
      </c>
      <c r="K285" s="300" t="s">
        <v>1551</v>
      </c>
      <c r="L285" s="304" t="s">
        <v>2247</v>
      </c>
      <c r="M285" s="300" t="s">
        <v>7</v>
      </c>
      <c r="N285" s="300"/>
      <c r="O285" s="300"/>
      <c r="P285" s="314" t="s">
        <v>7</v>
      </c>
      <c r="Q285" s="300" t="s">
        <v>7</v>
      </c>
      <c r="R285" s="300" t="s">
        <v>226</v>
      </c>
      <c r="S285" s="300" t="s">
        <v>1986</v>
      </c>
      <c r="T285" s="300" t="s">
        <v>2458</v>
      </c>
      <c r="U285" s="303">
        <v>0.45739999999999997</v>
      </c>
      <c r="V285" s="300" t="s">
        <v>2458</v>
      </c>
      <c r="W285" s="315">
        <v>9.81</v>
      </c>
      <c r="X285" s="297">
        <f>(1-VLOOKUP(R285,Start!$H$33:$I$40,2,FALSE)/100)*W285</f>
        <v>8.7309000000000001</v>
      </c>
      <c r="Y285" s="297">
        <f>VLOOKUP(Q285,Start!$C$9:$D$15,2,FALSE)+VLOOKUP(Q285,Start!$C$23:$D$29,2,FALSE)</f>
        <v>23.27</v>
      </c>
      <c r="Z285" s="298">
        <f>(Y285/U285)+Start!$D$19*(VLOOKUP(Q285,Start!$M$33:$N$39,2,FALSE)/U285)+VLOOKUP(R285,Start!$C$33:$D$40,2,FALSE)</f>
        <v>63.184739833843466</v>
      </c>
      <c r="AA285" s="234"/>
      <c r="AB285" s="278"/>
    </row>
    <row r="286" spans="2:28" ht="18.75" customHeight="1" x14ac:dyDescent="0.3">
      <c r="B286" s="229"/>
      <c r="C286" s="289" t="s">
        <v>2485</v>
      </c>
      <c r="D286" s="299" t="s">
        <v>1552</v>
      </c>
      <c r="E286" s="300" t="s">
        <v>1544</v>
      </c>
      <c r="F286" s="132" t="s">
        <v>1553</v>
      </c>
      <c r="G286" s="311">
        <v>83022</v>
      </c>
      <c r="H286" s="312" t="s">
        <v>1542</v>
      </c>
      <c r="I286" s="132" t="s">
        <v>1546</v>
      </c>
      <c r="J286" s="301" t="s">
        <v>55</v>
      </c>
      <c r="K286" s="300" t="s">
        <v>1553</v>
      </c>
      <c r="L286" s="304" t="s">
        <v>2248</v>
      </c>
      <c r="M286" s="300" t="s">
        <v>7</v>
      </c>
      <c r="N286" s="132"/>
      <c r="O286" s="300"/>
      <c r="P286" s="314" t="s">
        <v>7</v>
      </c>
      <c r="Q286" s="300" t="s">
        <v>7</v>
      </c>
      <c r="R286" s="300" t="s">
        <v>226</v>
      </c>
      <c r="S286" s="300" t="s">
        <v>1986</v>
      </c>
      <c r="T286" s="300" t="s">
        <v>2458</v>
      </c>
      <c r="U286" s="303">
        <v>0.4602</v>
      </c>
      <c r="V286" s="300" t="s">
        <v>2458</v>
      </c>
      <c r="W286" s="315">
        <v>9.1999999999999993</v>
      </c>
      <c r="X286" s="297">
        <f>(1-VLOOKUP(R286,Start!$H$33:$I$40,2,FALSE)/100)*W286</f>
        <v>8.1879999999999988</v>
      </c>
      <c r="Y286" s="297">
        <f>VLOOKUP(Q286,Start!$C$9:$D$15,2,FALSE)+VLOOKUP(Q286,Start!$C$23:$D$29,2,FALSE)</f>
        <v>23.27</v>
      </c>
      <c r="Z286" s="298">
        <f>(Y286/U286)+Start!$D$19*(VLOOKUP(Q286,Start!$M$33:$N$39,2,FALSE)/U286)+VLOOKUP(R286,Start!$C$33:$D$40,2,FALSE)</f>
        <v>62.809430682312041</v>
      </c>
      <c r="AA286" s="234"/>
      <c r="AB286" s="278"/>
    </row>
    <row r="287" spans="2:28" ht="18.75" customHeight="1" x14ac:dyDescent="0.3">
      <c r="B287" s="229"/>
      <c r="C287" s="289" t="s">
        <v>2485</v>
      </c>
      <c r="D287" s="299" t="s">
        <v>1554</v>
      </c>
      <c r="E287" s="300" t="s">
        <v>1544</v>
      </c>
      <c r="F287" s="132" t="s">
        <v>1555</v>
      </c>
      <c r="G287" s="311">
        <v>83026</v>
      </c>
      <c r="H287" s="312" t="s">
        <v>1542</v>
      </c>
      <c r="I287" s="132" t="s">
        <v>1556</v>
      </c>
      <c r="J287" s="301" t="s">
        <v>55</v>
      </c>
      <c r="K287" s="300" t="s">
        <v>1555</v>
      </c>
      <c r="L287" s="304" t="s">
        <v>2249</v>
      </c>
      <c r="M287" s="300" t="s">
        <v>7</v>
      </c>
      <c r="N287" s="132"/>
      <c r="O287" s="300"/>
      <c r="P287" s="314" t="s">
        <v>7</v>
      </c>
      <c r="Q287" s="300" t="s">
        <v>7</v>
      </c>
      <c r="R287" s="300" t="s">
        <v>226</v>
      </c>
      <c r="S287" s="300" t="s">
        <v>1986</v>
      </c>
      <c r="T287" s="300" t="s">
        <v>2458</v>
      </c>
      <c r="U287" s="303">
        <v>0.45879999999999999</v>
      </c>
      <c r="V287" s="300" t="s">
        <v>2458</v>
      </c>
      <c r="W287" s="315">
        <v>4.3</v>
      </c>
      <c r="X287" s="297">
        <f>(1-VLOOKUP(R287,Start!$H$33:$I$40,2,FALSE)/100)*W287</f>
        <v>3.827</v>
      </c>
      <c r="Y287" s="297">
        <f>VLOOKUP(Q287,Start!$C$9:$D$15,2,FALSE)+VLOOKUP(Q287,Start!$C$23:$D$29,2,FALSE)</f>
        <v>23.27</v>
      </c>
      <c r="Z287" s="298">
        <f>(Y287/U287)+Start!$D$19*(VLOOKUP(Q287,Start!$M$33:$N$39,2,FALSE)/U287)+VLOOKUP(R287,Start!$C$33:$D$40,2,FALSE)</f>
        <v>62.996512641673931</v>
      </c>
      <c r="AA287" s="234"/>
      <c r="AB287" s="278"/>
    </row>
    <row r="288" spans="2:28" ht="18.75" customHeight="1" x14ac:dyDescent="0.3">
      <c r="B288" s="229"/>
      <c r="C288" s="289" t="s">
        <v>2485</v>
      </c>
      <c r="D288" s="305" t="s">
        <v>1543</v>
      </c>
      <c r="E288" s="300" t="s">
        <v>1544</v>
      </c>
      <c r="F288" s="301" t="s">
        <v>1545</v>
      </c>
      <c r="G288" s="302">
        <v>83022</v>
      </c>
      <c r="H288" s="303" t="s">
        <v>1542</v>
      </c>
      <c r="I288" s="303" t="s">
        <v>1546</v>
      </c>
      <c r="J288" s="301" t="s">
        <v>55</v>
      </c>
      <c r="K288" s="301" t="s">
        <v>1547</v>
      </c>
      <c r="L288" s="304" t="s">
        <v>2006</v>
      </c>
      <c r="M288" s="300" t="s">
        <v>47</v>
      </c>
      <c r="N288" s="132" t="s">
        <v>1548</v>
      </c>
      <c r="O288" s="303" t="s">
        <v>1548</v>
      </c>
      <c r="P288" s="314" t="s">
        <v>6</v>
      </c>
      <c r="Q288" s="300" t="s">
        <v>6</v>
      </c>
      <c r="R288" s="300" t="s">
        <v>6</v>
      </c>
      <c r="S288" s="300" t="s">
        <v>1981</v>
      </c>
      <c r="T288" s="300" t="s">
        <v>2458</v>
      </c>
      <c r="U288" s="303">
        <v>0.33</v>
      </c>
      <c r="V288" s="300" t="s">
        <v>2458</v>
      </c>
      <c r="W288" s="297">
        <v>9</v>
      </c>
      <c r="X288" s="297">
        <f>(1-VLOOKUP(R288,Start!$H$33:$I$40,2,FALSE)/100)*W288</f>
        <v>7.6499999999999995</v>
      </c>
      <c r="Y288" s="297">
        <f>VLOOKUP(Q288,Start!$C$9:$D$15,2,FALSE)+VLOOKUP(Q288,Start!$C$23:$D$29,2,FALSE)</f>
        <v>0</v>
      </c>
      <c r="Z288" s="298">
        <f>(Y288/U288)+Start!$D$19*(VLOOKUP(Q288,Start!$M$33:$N$39,2,FALSE)/U288)+VLOOKUP(R288,Start!$C$33:$D$40,2,FALSE)</f>
        <v>1</v>
      </c>
      <c r="AA288" s="234"/>
      <c r="AB288" s="278"/>
    </row>
    <row r="289" spans="2:28" ht="18.75" customHeight="1" x14ac:dyDescent="0.3">
      <c r="B289" s="229"/>
      <c r="C289" s="289" t="s">
        <v>2485</v>
      </c>
      <c r="D289" s="299" t="s">
        <v>1563</v>
      </c>
      <c r="E289" s="300" t="s">
        <v>1564</v>
      </c>
      <c r="F289" s="300" t="s">
        <v>1565</v>
      </c>
      <c r="G289" s="302">
        <v>18069</v>
      </c>
      <c r="H289" s="300" t="s">
        <v>1561</v>
      </c>
      <c r="I289" s="300"/>
      <c r="J289" s="306" t="s">
        <v>66</v>
      </c>
      <c r="K289" s="300"/>
      <c r="L289" s="304" t="s">
        <v>2250</v>
      </c>
      <c r="M289" s="132" t="s">
        <v>7</v>
      </c>
      <c r="N289" s="132"/>
      <c r="O289" s="132"/>
      <c r="P289" s="132" t="s">
        <v>7</v>
      </c>
      <c r="Q289" s="300" t="s">
        <v>7</v>
      </c>
      <c r="R289" s="300" t="s">
        <v>226</v>
      </c>
      <c r="S289" s="300" t="s">
        <v>1996</v>
      </c>
      <c r="T289" s="300" t="s">
        <v>2458</v>
      </c>
      <c r="U289" s="303">
        <v>0.52200000000000002</v>
      </c>
      <c r="V289" s="300" t="s">
        <v>2458</v>
      </c>
      <c r="W289" s="307">
        <v>108</v>
      </c>
      <c r="X289" s="297">
        <f>(1-VLOOKUP(R289,Start!$H$33:$I$40,2,FALSE)/100)*W289</f>
        <v>96.12</v>
      </c>
      <c r="Y289" s="297">
        <f>VLOOKUP(Q289,Start!$C$9:$D$15,2,FALSE)+VLOOKUP(Q289,Start!$C$23:$D$29,2,FALSE)</f>
        <v>23.27</v>
      </c>
      <c r="Z289" s="298">
        <f>(Y289/U289)+Start!$D$19*(VLOOKUP(Q289,Start!$M$33:$N$39,2,FALSE)/U289)+VLOOKUP(R289,Start!$C$33:$D$40,2,FALSE)</f>
        <v>55.550957854406128</v>
      </c>
      <c r="AA289" s="234"/>
      <c r="AB289" s="278"/>
    </row>
    <row r="290" spans="2:28" ht="18.75" customHeight="1" x14ac:dyDescent="0.3">
      <c r="B290" s="229"/>
      <c r="C290" s="289" t="s">
        <v>2485</v>
      </c>
      <c r="D290" s="305" t="s">
        <v>1566</v>
      </c>
      <c r="E290" s="300" t="s">
        <v>40</v>
      </c>
      <c r="F290" s="300" t="s">
        <v>1567</v>
      </c>
      <c r="G290" s="311">
        <v>18147</v>
      </c>
      <c r="H290" s="300" t="s">
        <v>1561</v>
      </c>
      <c r="I290" s="300" t="s">
        <v>1568</v>
      </c>
      <c r="J290" s="301" t="s">
        <v>66</v>
      </c>
      <c r="K290" s="300" t="s">
        <v>1561</v>
      </c>
      <c r="L290" s="304" t="s">
        <v>2039</v>
      </c>
      <c r="M290" s="300" t="s">
        <v>3</v>
      </c>
      <c r="N290" s="132"/>
      <c r="O290" s="132"/>
      <c r="P290" s="132" t="s">
        <v>3</v>
      </c>
      <c r="Q290" s="300" t="s">
        <v>3</v>
      </c>
      <c r="R290" s="300" t="s">
        <v>3</v>
      </c>
      <c r="S290" s="300" t="s">
        <v>1981</v>
      </c>
      <c r="T290" s="300" t="s">
        <v>2458</v>
      </c>
      <c r="U290" s="303">
        <v>0.41</v>
      </c>
      <c r="V290" s="300" t="s">
        <v>2458</v>
      </c>
      <c r="W290" s="307">
        <v>514</v>
      </c>
      <c r="X290" s="297">
        <f>(1-VLOOKUP(R290,Start!$H$33:$I$40,2,FALSE)/100)*W290</f>
        <v>400.92</v>
      </c>
      <c r="Y290" s="297">
        <f>VLOOKUP(Q290,Start!$C$9:$D$15,2,FALSE)+VLOOKUP(Q290,Start!$C$23:$D$29,2,FALSE)</f>
        <v>12.53</v>
      </c>
      <c r="Z290" s="298">
        <f>(Y290/U290)+Start!$D$19*(VLOOKUP(Q290,Start!$M$33:$N$39,2,FALSE)/U290)+VLOOKUP(R290,Start!$C$33:$D$40,2,FALSE)</f>
        <v>52.080975609756095</v>
      </c>
      <c r="AA290" s="234"/>
      <c r="AB290" s="278"/>
    </row>
    <row r="291" spans="2:28" ht="18.75" customHeight="1" x14ac:dyDescent="0.3">
      <c r="B291" s="229"/>
      <c r="C291" s="289" t="s">
        <v>2485</v>
      </c>
      <c r="D291" s="305" t="s">
        <v>1569</v>
      </c>
      <c r="E291" s="300" t="s">
        <v>458</v>
      </c>
      <c r="F291" s="300" t="s">
        <v>1570</v>
      </c>
      <c r="G291" s="302">
        <v>15562</v>
      </c>
      <c r="H291" s="300" t="s">
        <v>1571</v>
      </c>
      <c r="I291" s="300" t="s">
        <v>1572</v>
      </c>
      <c r="J291" s="306" t="s">
        <v>24</v>
      </c>
      <c r="K291" s="300"/>
      <c r="L291" s="304" t="s">
        <v>2375</v>
      </c>
      <c r="M291" s="300" t="s">
        <v>6</v>
      </c>
      <c r="N291" s="300"/>
      <c r="O291" s="300"/>
      <c r="P291" s="300" t="s">
        <v>6</v>
      </c>
      <c r="Q291" s="300" t="s">
        <v>6</v>
      </c>
      <c r="R291" s="300" t="s">
        <v>6</v>
      </c>
      <c r="S291" s="300" t="s">
        <v>1981</v>
      </c>
      <c r="T291" s="300" t="s">
        <v>2458</v>
      </c>
      <c r="U291" s="303">
        <v>0.33</v>
      </c>
      <c r="V291" s="300" t="s">
        <v>2458</v>
      </c>
      <c r="W291" s="307">
        <v>30</v>
      </c>
      <c r="X291" s="297">
        <f>(1-VLOOKUP(R291,Start!$H$33:$I$40,2,FALSE)/100)*W291</f>
        <v>25.5</v>
      </c>
      <c r="Y291" s="297">
        <f>VLOOKUP(Q291,Start!$C$9:$D$15,2,FALSE)+VLOOKUP(Q291,Start!$C$23:$D$29,2,FALSE)</f>
        <v>0</v>
      </c>
      <c r="Z291" s="298">
        <f>(Y291/U291)+Start!$D$19*(VLOOKUP(Q291,Start!$M$33:$N$39,2,FALSE)/U291)+VLOOKUP(R291,Start!$C$33:$D$40,2,FALSE)</f>
        <v>1</v>
      </c>
      <c r="AA291" s="234"/>
      <c r="AB291" s="278"/>
    </row>
    <row r="292" spans="2:28" ht="18.75" customHeight="1" x14ac:dyDescent="0.3">
      <c r="B292" s="229"/>
      <c r="C292" s="289" t="s">
        <v>2485</v>
      </c>
      <c r="D292" s="299" t="s">
        <v>1573</v>
      </c>
      <c r="E292" s="300" t="s">
        <v>1574</v>
      </c>
      <c r="F292" s="300" t="s">
        <v>1575</v>
      </c>
      <c r="G292" s="302">
        <v>7407</v>
      </c>
      <c r="H292" s="300" t="s">
        <v>1576</v>
      </c>
      <c r="I292" s="300"/>
      <c r="J292" s="306" t="s">
        <v>77</v>
      </c>
      <c r="K292" s="300"/>
      <c r="L292" s="304" t="s">
        <v>2251</v>
      </c>
      <c r="M292" s="300" t="s">
        <v>47</v>
      </c>
      <c r="N292" s="300" t="s">
        <v>7</v>
      </c>
      <c r="O292" s="300" t="s">
        <v>1577</v>
      </c>
      <c r="P292" s="300" t="s">
        <v>7</v>
      </c>
      <c r="Q292" s="300" t="s">
        <v>7</v>
      </c>
      <c r="R292" s="300" t="s">
        <v>226</v>
      </c>
      <c r="S292" s="300" t="s">
        <v>1981</v>
      </c>
      <c r="T292" s="300" t="s">
        <v>2458</v>
      </c>
      <c r="U292" s="303">
        <v>0.31459999999999999</v>
      </c>
      <c r="V292" s="300" t="s">
        <v>2458</v>
      </c>
      <c r="W292" s="307">
        <v>26.5</v>
      </c>
      <c r="X292" s="297">
        <f>(1-VLOOKUP(R292,Start!$H$33:$I$40,2,FALSE)/100)*W292</f>
        <v>23.585000000000001</v>
      </c>
      <c r="Y292" s="297">
        <f>VLOOKUP(Q292,Start!$C$9:$D$15,2,FALSE)+VLOOKUP(Q292,Start!$C$23:$D$29,2,FALSE)</f>
        <v>23.27</v>
      </c>
      <c r="Z292" s="298">
        <f>(Y292/U292)+Start!$D$19*(VLOOKUP(Q292,Start!$M$33:$N$39,2,FALSE)/U292)+VLOOKUP(R292,Start!$C$33:$D$40,2,FALSE)</f>
        <v>91.184043229497775</v>
      </c>
      <c r="AA292" s="234"/>
      <c r="AB292" s="278"/>
    </row>
    <row r="293" spans="2:28" ht="18.75" customHeight="1" x14ac:dyDescent="0.3">
      <c r="B293" s="229"/>
      <c r="C293" s="289" t="s">
        <v>2485</v>
      </c>
      <c r="D293" s="305" t="s">
        <v>1578</v>
      </c>
      <c r="E293" s="300" t="s">
        <v>1579</v>
      </c>
      <c r="F293" s="300" t="s">
        <v>1580</v>
      </c>
      <c r="G293" s="302">
        <v>65429</v>
      </c>
      <c r="H293" s="300" t="s">
        <v>1581</v>
      </c>
      <c r="I293" s="300"/>
      <c r="J293" s="306" t="s">
        <v>105</v>
      </c>
      <c r="K293" s="300" t="s">
        <v>1582</v>
      </c>
      <c r="L293" s="304" t="s">
        <v>2252</v>
      </c>
      <c r="M293" s="300" t="s">
        <v>7</v>
      </c>
      <c r="N293" s="300"/>
      <c r="O293" s="300"/>
      <c r="P293" s="300" t="s">
        <v>7</v>
      </c>
      <c r="Q293" s="300" t="s">
        <v>7</v>
      </c>
      <c r="R293" s="300" t="s">
        <v>226</v>
      </c>
      <c r="S293" s="300" t="s">
        <v>1996</v>
      </c>
      <c r="T293" s="300" t="s">
        <v>2458</v>
      </c>
      <c r="U293" s="303">
        <v>0.53549999999999998</v>
      </c>
      <c r="V293" s="300" t="s">
        <v>2458</v>
      </c>
      <c r="W293" s="307">
        <v>112.1</v>
      </c>
      <c r="X293" s="297">
        <f>(1-VLOOKUP(R293,Start!$H$33:$I$40,2,FALSE)/100)*W293</f>
        <v>99.768999999999991</v>
      </c>
      <c r="Y293" s="297">
        <f>VLOOKUP(Q293,Start!$C$9:$D$15,2,FALSE)+VLOOKUP(Q293,Start!$C$23:$D$29,2,FALSE)</f>
        <v>23.27</v>
      </c>
      <c r="Z293" s="298">
        <f>(Y293/U293)+Start!$D$19*(VLOOKUP(Q293,Start!$M$33:$N$39,2,FALSE)/U293)+VLOOKUP(R293,Start!$C$33:$D$40,2,FALSE)</f>
        <v>54.188328664799258</v>
      </c>
      <c r="AA293" s="234"/>
      <c r="AB293" s="278"/>
    </row>
    <row r="294" spans="2:28" ht="18.75" customHeight="1" x14ac:dyDescent="0.3">
      <c r="B294" s="229"/>
      <c r="C294" s="289" t="s">
        <v>2485</v>
      </c>
      <c r="D294" s="299" t="s">
        <v>1583</v>
      </c>
      <c r="E294" s="300" t="s">
        <v>1584</v>
      </c>
      <c r="F294" s="300" t="s">
        <v>1585</v>
      </c>
      <c r="G294" s="311">
        <v>66121</v>
      </c>
      <c r="H294" s="312" t="s">
        <v>1586</v>
      </c>
      <c r="I294" s="313"/>
      <c r="J294" s="306" t="s">
        <v>213</v>
      </c>
      <c r="K294" s="300" t="s">
        <v>84</v>
      </c>
      <c r="L294" s="304" t="s">
        <v>2253</v>
      </c>
      <c r="M294" s="300" t="s">
        <v>47</v>
      </c>
      <c r="N294" s="300" t="s">
        <v>7</v>
      </c>
      <c r="O294" s="313" t="s">
        <v>1587</v>
      </c>
      <c r="P294" s="314" t="s">
        <v>7</v>
      </c>
      <c r="Q294" s="300" t="s">
        <v>7</v>
      </c>
      <c r="R294" s="300" t="s">
        <v>226</v>
      </c>
      <c r="S294" s="300" t="s">
        <v>1996</v>
      </c>
      <c r="T294" s="300" t="s">
        <v>2458</v>
      </c>
      <c r="U294" s="303">
        <v>0.5625</v>
      </c>
      <c r="V294" s="300" t="s">
        <v>2458</v>
      </c>
      <c r="W294" s="315">
        <v>75</v>
      </c>
      <c r="X294" s="297">
        <f>(1-VLOOKUP(R294,Start!$H$33:$I$40,2,FALSE)/100)*W294</f>
        <v>66.75</v>
      </c>
      <c r="Y294" s="297">
        <f>VLOOKUP(Q294,Start!$C$9:$D$15,2,FALSE)+VLOOKUP(Q294,Start!$C$23:$D$29,2,FALSE)</f>
        <v>23.27</v>
      </c>
      <c r="Z294" s="298">
        <f>(Y294/U294)+Start!$D$19*(VLOOKUP(Q294,Start!$M$33:$N$39,2,FALSE)/U294)+VLOOKUP(R294,Start!$C$33:$D$40,2,FALSE)</f>
        <v>51.659288888888888</v>
      </c>
      <c r="AA294" s="234"/>
      <c r="AB294" s="278"/>
    </row>
    <row r="295" spans="2:28" ht="18.75" customHeight="1" x14ac:dyDescent="0.3">
      <c r="B295" s="229"/>
      <c r="C295" s="289" t="s">
        <v>2485</v>
      </c>
      <c r="D295" s="299" t="s">
        <v>1592</v>
      </c>
      <c r="E295" s="300" t="s">
        <v>1584</v>
      </c>
      <c r="F295" s="300" t="s">
        <v>1585</v>
      </c>
      <c r="G295" s="302">
        <v>66121</v>
      </c>
      <c r="H295" s="300" t="s">
        <v>1586</v>
      </c>
      <c r="I295" s="300"/>
      <c r="J295" s="306" t="s">
        <v>213</v>
      </c>
      <c r="K295" s="300" t="s">
        <v>1593</v>
      </c>
      <c r="L295" s="304" t="s">
        <v>2040</v>
      </c>
      <c r="M295" s="300" t="s">
        <v>3</v>
      </c>
      <c r="N295" s="300"/>
      <c r="O295" s="300"/>
      <c r="P295" s="300" t="s">
        <v>3</v>
      </c>
      <c r="Q295" s="300" t="s">
        <v>3</v>
      </c>
      <c r="R295" s="300" t="s">
        <v>3</v>
      </c>
      <c r="S295" s="300" t="s">
        <v>1981</v>
      </c>
      <c r="T295" s="300" t="s">
        <v>2458</v>
      </c>
      <c r="U295" s="303">
        <v>0.4375</v>
      </c>
      <c r="V295" s="300" t="s">
        <v>2458</v>
      </c>
      <c r="W295" s="307">
        <v>50</v>
      </c>
      <c r="X295" s="297">
        <f>(1-VLOOKUP(R295,Start!$H$33:$I$40,2,FALSE)/100)*W295</f>
        <v>39</v>
      </c>
      <c r="Y295" s="297">
        <f>VLOOKUP(Q295,Start!$C$9:$D$15,2,FALSE)+VLOOKUP(Q295,Start!$C$23:$D$29,2,FALSE)</f>
        <v>12.53</v>
      </c>
      <c r="Z295" s="298">
        <f>(Y295/U295)+Start!$D$19*(VLOOKUP(Q295,Start!$M$33:$N$39,2,FALSE)/U295)+VLOOKUP(R295,Start!$C$33:$D$40,2,FALSE)</f>
        <v>48.889028571428568</v>
      </c>
      <c r="AA295" s="234"/>
      <c r="AB295" s="278"/>
    </row>
    <row r="296" spans="2:28" ht="18.75" customHeight="1" x14ac:dyDescent="0.3">
      <c r="B296" s="229"/>
      <c r="C296" s="289" t="s">
        <v>2485</v>
      </c>
      <c r="D296" s="299" t="s">
        <v>1603</v>
      </c>
      <c r="E296" s="300" t="s">
        <v>1604</v>
      </c>
      <c r="F296" s="300" t="s">
        <v>1605</v>
      </c>
      <c r="G296" s="311">
        <v>38239</v>
      </c>
      <c r="H296" s="312" t="s">
        <v>1606</v>
      </c>
      <c r="I296" s="300"/>
      <c r="J296" s="306" t="s">
        <v>22</v>
      </c>
      <c r="K296" s="300" t="s">
        <v>1607</v>
      </c>
      <c r="L296" s="304" t="s">
        <v>2326</v>
      </c>
      <c r="M296" s="300" t="s">
        <v>419</v>
      </c>
      <c r="N296" s="300" t="s">
        <v>1608</v>
      </c>
      <c r="O296" s="300"/>
      <c r="P296" s="314" t="s">
        <v>214</v>
      </c>
      <c r="Q296" s="300" t="s">
        <v>7</v>
      </c>
      <c r="R296" s="300" t="s">
        <v>226</v>
      </c>
      <c r="S296" s="300" t="s">
        <v>1981</v>
      </c>
      <c r="T296" s="300" t="s">
        <v>2458</v>
      </c>
      <c r="U296" s="332">
        <v>0.4</v>
      </c>
      <c r="V296" s="300" t="s">
        <v>2469</v>
      </c>
      <c r="W296" s="315">
        <v>94.5</v>
      </c>
      <c r="X296" s="297">
        <f>(1-VLOOKUP(R296,Start!$H$33:$I$40,2,FALSE)/100)*W296</f>
        <v>84.105000000000004</v>
      </c>
      <c r="Y296" s="297">
        <f>VLOOKUP(Q296,Start!$C$9:$D$15,2,FALSE)+VLOOKUP(Q296,Start!$C$23:$D$29,2,FALSE)</f>
        <v>23.27</v>
      </c>
      <c r="Z296" s="298">
        <f>(Y296/U296)+Start!$D$19*(VLOOKUP(Q296,Start!$M$33:$N$39,2,FALSE)/U296)+VLOOKUP(R296,Start!$C$33:$D$40,2,FALSE)</f>
        <v>72.03649999999999</v>
      </c>
      <c r="AA296" s="234"/>
      <c r="AB296" s="278"/>
    </row>
    <row r="297" spans="2:28" ht="18.75" customHeight="1" x14ac:dyDescent="0.3">
      <c r="B297" s="229"/>
      <c r="C297" s="289" t="s">
        <v>2485</v>
      </c>
      <c r="D297" s="299" t="s">
        <v>1609</v>
      </c>
      <c r="E297" s="300" t="s">
        <v>1604</v>
      </c>
      <c r="F297" s="300" t="s">
        <v>1605</v>
      </c>
      <c r="G297" s="327">
        <v>38239</v>
      </c>
      <c r="H297" s="328" t="s">
        <v>1606</v>
      </c>
      <c r="I297" s="313"/>
      <c r="J297" s="306" t="s">
        <v>22</v>
      </c>
      <c r="K297" s="300" t="s">
        <v>653</v>
      </c>
      <c r="L297" s="304" t="s">
        <v>2327</v>
      </c>
      <c r="M297" s="300" t="s">
        <v>419</v>
      </c>
      <c r="N297" s="300" t="s">
        <v>1608</v>
      </c>
      <c r="O297" s="313"/>
      <c r="P297" s="300" t="s">
        <v>214</v>
      </c>
      <c r="Q297" s="300" t="s">
        <v>7</v>
      </c>
      <c r="R297" s="300" t="s">
        <v>226</v>
      </c>
      <c r="S297" s="300" t="s">
        <v>1981</v>
      </c>
      <c r="T297" s="300" t="s">
        <v>2458</v>
      </c>
      <c r="U297" s="303">
        <v>0.39600000000000002</v>
      </c>
      <c r="V297" s="303" t="s">
        <v>2461</v>
      </c>
      <c r="W297" s="307">
        <v>97</v>
      </c>
      <c r="X297" s="297">
        <f>(1-VLOOKUP(R297,Start!$H$33:$I$40,2,FALSE)/100)*W297</f>
        <v>86.33</v>
      </c>
      <c r="Y297" s="297">
        <f>VLOOKUP(Q297,Start!$C$9:$D$15,2,FALSE)+VLOOKUP(Q297,Start!$C$23:$D$29,2,FALSE)</f>
        <v>23.27</v>
      </c>
      <c r="Z297" s="298">
        <f>(Y297/U297)+Start!$D$19*(VLOOKUP(Q297,Start!$M$33:$N$39,2,FALSE)/U297)+VLOOKUP(R297,Start!$C$33:$D$40,2,FALSE)</f>
        <v>72.74898989898989</v>
      </c>
      <c r="AA297" s="234"/>
      <c r="AB297" s="278"/>
    </row>
    <row r="298" spans="2:28" ht="18.75" customHeight="1" x14ac:dyDescent="0.3">
      <c r="B298" s="229"/>
      <c r="C298" s="289" t="s">
        <v>2485</v>
      </c>
      <c r="D298" s="305" t="s">
        <v>1610</v>
      </c>
      <c r="E298" s="300" t="s">
        <v>1604</v>
      </c>
      <c r="F298" s="300" t="s">
        <v>1605</v>
      </c>
      <c r="G298" s="302">
        <v>38239</v>
      </c>
      <c r="H298" s="300" t="s">
        <v>1606</v>
      </c>
      <c r="I298" s="300"/>
      <c r="J298" s="306" t="s">
        <v>22</v>
      </c>
      <c r="K298" s="300" t="s">
        <v>469</v>
      </c>
      <c r="L298" s="304" t="s">
        <v>2328</v>
      </c>
      <c r="M298" s="300" t="s">
        <v>419</v>
      </c>
      <c r="N298" s="300" t="s">
        <v>1608</v>
      </c>
      <c r="O298" s="300"/>
      <c r="P298" s="300" t="s">
        <v>214</v>
      </c>
      <c r="Q298" s="300" t="s">
        <v>7</v>
      </c>
      <c r="R298" s="300" t="s">
        <v>226</v>
      </c>
      <c r="S298" s="300" t="s">
        <v>1981</v>
      </c>
      <c r="T298" s="300" t="s">
        <v>2458</v>
      </c>
      <c r="U298" s="303">
        <v>0.39600000000000002</v>
      </c>
      <c r="V298" s="303" t="s">
        <v>2461</v>
      </c>
      <c r="W298" s="307">
        <v>97</v>
      </c>
      <c r="X298" s="297">
        <f>(1-VLOOKUP(R298,Start!$H$33:$I$40,2,FALSE)/100)*W298</f>
        <v>86.33</v>
      </c>
      <c r="Y298" s="297">
        <f>VLOOKUP(Q298,Start!$C$9:$D$15,2,FALSE)+VLOOKUP(Q298,Start!$C$23:$D$29,2,FALSE)</f>
        <v>23.27</v>
      </c>
      <c r="Z298" s="298">
        <f>(Y298/U298)+Start!$D$19*(VLOOKUP(Q298,Start!$M$33:$N$39,2,FALSE)/U298)+VLOOKUP(R298,Start!$C$33:$D$40,2,FALSE)</f>
        <v>72.74898989898989</v>
      </c>
      <c r="AA298" s="234"/>
      <c r="AB298" s="278"/>
    </row>
    <row r="299" spans="2:28" ht="18.75" customHeight="1" x14ac:dyDescent="0.3">
      <c r="B299" s="229"/>
      <c r="C299" s="289" t="s">
        <v>2485</v>
      </c>
      <c r="D299" s="299" t="s">
        <v>1611</v>
      </c>
      <c r="E299" s="300" t="s">
        <v>278</v>
      </c>
      <c r="F299" s="300" t="s">
        <v>1612</v>
      </c>
      <c r="G299" s="302">
        <v>6258</v>
      </c>
      <c r="H299" s="300" t="s">
        <v>1612</v>
      </c>
      <c r="I299" s="300"/>
      <c r="J299" s="306" t="s">
        <v>38</v>
      </c>
      <c r="K299" s="300" t="s">
        <v>140</v>
      </c>
      <c r="L299" s="304" t="s">
        <v>2083</v>
      </c>
      <c r="M299" s="300" t="s">
        <v>2</v>
      </c>
      <c r="N299" s="300"/>
      <c r="O299" s="300"/>
      <c r="P299" s="300" t="s">
        <v>2</v>
      </c>
      <c r="Q299" s="300" t="s">
        <v>2</v>
      </c>
      <c r="R299" s="300" t="s">
        <v>2</v>
      </c>
      <c r="S299" s="300" t="s">
        <v>1981</v>
      </c>
      <c r="T299" s="300" t="s">
        <v>2458</v>
      </c>
      <c r="U299" s="303">
        <v>0.39040000000000002</v>
      </c>
      <c r="V299" s="300" t="s">
        <v>2458</v>
      </c>
      <c r="W299" s="307">
        <v>450</v>
      </c>
      <c r="X299" s="297">
        <f>(1-VLOOKUP(R299,Start!$H$33:$I$40,2,FALSE)/100)*W299</f>
        <v>391.5</v>
      </c>
      <c r="Y299" s="297">
        <f>VLOOKUP(Q299,Start!$C$9:$D$15,2,FALSE)+VLOOKUP(Q299,Start!$C$23:$D$29,2,FALSE)</f>
        <v>3.1</v>
      </c>
      <c r="Z299" s="298">
        <f>(Y299/U299)+Start!$D$19*(VLOOKUP(Q299,Start!$M$33:$N$39,2,FALSE)/U299)+VLOOKUP(R299,Start!$C$33:$D$40,2,FALSE)</f>
        <v>35.097540983606564</v>
      </c>
      <c r="AA299" s="234"/>
      <c r="AB299" s="278"/>
    </row>
    <row r="300" spans="2:28" ht="18.75" customHeight="1" x14ac:dyDescent="0.3">
      <c r="B300" s="229"/>
      <c r="C300" s="289" t="s">
        <v>2485</v>
      </c>
      <c r="D300" s="299" t="s">
        <v>1613</v>
      </c>
      <c r="E300" s="300" t="s">
        <v>278</v>
      </c>
      <c r="F300" s="300" t="s">
        <v>1612</v>
      </c>
      <c r="G300" s="311">
        <v>6258</v>
      </c>
      <c r="H300" s="312" t="s">
        <v>1612</v>
      </c>
      <c r="I300" s="300"/>
      <c r="J300" s="306" t="s">
        <v>38</v>
      </c>
      <c r="K300" s="300" t="s">
        <v>139</v>
      </c>
      <c r="L300" s="304" t="s">
        <v>2083</v>
      </c>
      <c r="M300" s="300" t="s">
        <v>2</v>
      </c>
      <c r="N300" s="300"/>
      <c r="O300" s="300"/>
      <c r="P300" s="314" t="s">
        <v>2</v>
      </c>
      <c r="Q300" s="300" t="s">
        <v>2</v>
      </c>
      <c r="R300" s="300" t="s">
        <v>2</v>
      </c>
      <c r="S300" s="300" t="s">
        <v>1981</v>
      </c>
      <c r="T300" s="300" t="s">
        <v>2458</v>
      </c>
      <c r="U300" s="303">
        <v>0.39040000000000002</v>
      </c>
      <c r="V300" s="300" t="s">
        <v>2458</v>
      </c>
      <c r="W300" s="315">
        <v>450</v>
      </c>
      <c r="X300" s="297">
        <f>(1-VLOOKUP(R300,Start!$H$33:$I$40,2,FALSE)/100)*W300</f>
        <v>391.5</v>
      </c>
      <c r="Y300" s="297">
        <f>VLOOKUP(Q300,Start!$C$9:$D$15,2,FALSE)+VLOOKUP(Q300,Start!$C$23:$D$29,2,FALSE)</f>
        <v>3.1</v>
      </c>
      <c r="Z300" s="298">
        <f>(Y300/U300)+Start!$D$19*(VLOOKUP(Q300,Start!$M$33:$N$39,2,FALSE)/U300)+VLOOKUP(R300,Start!$C$33:$D$40,2,FALSE)</f>
        <v>35.097540983606564</v>
      </c>
      <c r="AA300" s="234"/>
      <c r="AB300" s="278"/>
    </row>
    <row r="301" spans="2:28" ht="18.75" customHeight="1" x14ac:dyDescent="0.3">
      <c r="B301" s="229"/>
      <c r="C301" s="289" t="s">
        <v>2485</v>
      </c>
      <c r="D301" s="299" t="s">
        <v>1630</v>
      </c>
      <c r="E301" s="300" t="s">
        <v>1631</v>
      </c>
      <c r="F301" s="300" t="s">
        <v>1632</v>
      </c>
      <c r="G301" s="302">
        <v>1987</v>
      </c>
      <c r="H301" s="300" t="s">
        <v>1633</v>
      </c>
      <c r="I301" s="300" t="s">
        <v>1634</v>
      </c>
      <c r="J301" s="306" t="s">
        <v>24</v>
      </c>
      <c r="K301" s="300"/>
      <c r="L301" s="304" t="s">
        <v>2039</v>
      </c>
      <c r="M301" s="132" t="s">
        <v>47</v>
      </c>
      <c r="N301" s="132" t="s">
        <v>7</v>
      </c>
      <c r="O301" s="132" t="s">
        <v>104</v>
      </c>
      <c r="P301" s="314" t="s">
        <v>7</v>
      </c>
      <c r="Q301" s="300" t="s">
        <v>7</v>
      </c>
      <c r="R301" s="300" t="s">
        <v>226</v>
      </c>
      <c r="S301" s="300" t="s">
        <v>1996</v>
      </c>
      <c r="T301" s="300" t="s">
        <v>2458</v>
      </c>
      <c r="U301" s="303">
        <v>0.51300000000000001</v>
      </c>
      <c r="V301" s="300" t="s">
        <v>2458</v>
      </c>
      <c r="W301" s="307">
        <v>122</v>
      </c>
      <c r="X301" s="297">
        <f>(1-VLOOKUP(R301,Start!$H$33:$I$40,2,FALSE)/100)*W301</f>
        <v>108.58</v>
      </c>
      <c r="Y301" s="297">
        <f>VLOOKUP(Q301,Start!$C$9:$D$15,2,FALSE)+VLOOKUP(Q301,Start!$C$23:$D$29,2,FALSE)</f>
        <v>23.27</v>
      </c>
      <c r="Z301" s="298">
        <f>(Y301/U301)+Start!$D$19*(VLOOKUP(Q301,Start!$M$33:$N$39,2,FALSE)/U301)+VLOOKUP(R301,Start!$C$33:$D$40,2,FALSE)</f>
        <v>56.499220272904481</v>
      </c>
      <c r="AA301" s="234"/>
      <c r="AB301" s="278"/>
    </row>
    <row r="302" spans="2:28" ht="18.75" customHeight="1" x14ac:dyDescent="0.3">
      <c r="B302" s="229"/>
      <c r="C302" s="289" t="s">
        <v>2485</v>
      </c>
      <c r="D302" s="305" t="s">
        <v>1444</v>
      </c>
      <c r="E302" s="300" t="s">
        <v>1445</v>
      </c>
      <c r="F302" s="300" t="s">
        <v>1446</v>
      </c>
      <c r="G302" s="302">
        <v>16303</v>
      </c>
      <c r="H302" s="300" t="s">
        <v>1447</v>
      </c>
      <c r="I302" s="300"/>
      <c r="J302" s="306" t="s">
        <v>24</v>
      </c>
      <c r="K302" s="300" t="s">
        <v>1448</v>
      </c>
      <c r="L302" s="304" t="s">
        <v>2302</v>
      </c>
      <c r="M302" s="300" t="s">
        <v>48</v>
      </c>
      <c r="N302" s="300" t="s">
        <v>1449</v>
      </c>
      <c r="O302" s="300" t="s">
        <v>1056</v>
      </c>
      <c r="P302" s="314" t="s">
        <v>48</v>
      </c>
      <c r="Q302" s="300" t="s">
        <v>4</v>
      </c>
      <c r="R302" s="300" t="s">
        <v>4</v>
      </c>
      <c r="S302" s="300" t="s">
        <v>1981</v>
      </c>
      <c r="T302" s="300" t="s">
        <v>2458</v>
      </c>
      <c r="U302" s="303">
        <v>0.35420000000000001</v>
      </c>
      <c r="V302" s="300" t="s">
        <v>2458</v>
      </c>
      <c r="W302" s="307">
        <v>28</v>
      </c>
      <c r="X302" s="297">
        <f>(1-VLOOKUP(R302,Start!$H$33:$I$40,2,FALSE)/100)*W302</f>
        <v>23.8</v>
      </c>
      <c r="Y302" s="297">
        <f>VLOOKUP(Q302,Start!$C$9:$D$15,2,FALSE)+VLOOKUP(Q302,Start!$C$23:$D$29,2,FALSE)</f>
        <v>33.223832923832894</v>
      </c>
      <c r="Z302" s="298">
        <f>(Y302/U302)+Start!$D$19*(VLOOKUP(Q302,Start!$M$33:$N$39,2,FALSE)/U302)+VLOOKUP(R302,Start!$C$33:$D$40,2,FALSE)</f>
        <v>114.24628154667671</v>
      </c>
      <c r="AA302" s="234"/>
      <c r="AB302" s="278"/>
    </row>
    <row r="303" spans="2:28" ht="18.75" customHeight="1" x14ac:dyDescent="0.3">
      <c r="B303" s="229"/>
      <c r="C303" s="289" t="s">
        <v>2485</v>
      </c>
      <c r="D303" s="305" t="s">
        <v>1450</v>
      </c>
      <c r="E303" s="300" t="s">
        <v>1445</v>
      </c>
      <c r="F303" s="300" t="s">
        <v>1446</v>
      </c>
      <c r="G303" s="302">
        <v>16303</v>
      </c>
      <c r="H303" s="300" t="s">
        <v>1447</v>
      </c>
      <c r="I303" s="300"/>
      <c r="J303" s="306" t="s">
        <v>24</v>
      </c>
      <c r="K303" s="300" t="s">
        <v>1451</v>
      </c>
      <c r="L303" s="304" t="s">
        <v>2303</v>
      </c>
      <c r="M303" s="300" t="s">
        <v>48</v>
      </c>
      <c r="N303" s="300" t="s">
        <v>1452</v>
      </c>
      <c r="O303" s="300" t="s">
        <v>1453</v>
      </c>
      <c r="P303" s="314" t="s">
        <v>48</v>
      </c>
      <c r="Q303" s="300" t="s">
        <v>4</v>
      </c>
      <c r="R303" s="300" t="s">
        <v>4</v>
      </c>
      <c r="S303" s="300" t="s">
        <v>1981</v>
      </c>
      <c r="T303" s="300" t="s">
        <v>2458</v>
      </c>
      <c r="U303" s="303">
        <v>0.37840000000000001</v>
      </c>
      <c r="V303" s="300" t="s">
        <v>2458</v>
      </c>
      <c r="W303" s="307">
        <v>34.5</v>
      </c>
      <c r="X303" s="297">
        <f>(1-VLOOKUP(R303,Start!$H$33:$I$40,2,FALSE)/100)*W303</f>
        <v>29.324999999999999</v>
      </c>
      <c r="Y303" s="297">
        <f>VLOOKUP(Q303,Start!$C$9:$D$15,2,FALSE)+VLOOKUP(Q303,Start!$C$23:$D$29,2,FALSE)</f>
        <v>33.223832923832894</v>
      </c>
      <c r="Z303" s="298">
        <f>(Y303/U303)+Start!$D$19*(VLOOKUP(Q303,Start!$M$33:$N$39,2,FALSE)/U303)+VLOOKUP(R303,Start!$C$33:$D$40,2,FALSE)</f>
        <v>107.00378679659855</v>
      </c>
      <c r="AA303" s="234"/>
      <c r="AB303" s="278"/>
    </row>
    <row r="304" spans="2:28" ht="18.75" customHeight="1" x14ac:dyDescent="0.3">
      <c r="B304" s="229"/>
      <c r="C304" s="289" t="s">
        <v>2485</v>
      </c>
      <c r="D304" s="305" t="s">
        <v>1454</v>
      </c>
      <c r="E304" s="300" t="s">
        <v>1445</v>
      </c>
      <c r="F304" s="300" t="s">
        <v>1446</v>
      </c>
      <c r="G304" s="329">
        <v>16303</v>
      </c>
      <c r="H304" s="300" t="s">
        <v>1447</v>
      </c>
      <c r="I304" s="300"/>
      <c r="J304" s="306" t="s">
        <v>24</v>
      </c>
      <c r="K304" s="300" t="s">
        <v>1455</v>
      </c>
      <c r="L304" s="304" t="s">
        <v>2304</v>
      </c>
      <c r="M304" s="300" t="s">
        <v>48</v>
      </c>
      <c r="N304" s="300" t="s">
        <v>1449</v>
      </c>
      <c r="O304" s="300" t="s">
        <v>1056</v>
      </c>
      <c r="P304" s="300" t="s">
        <v>48</v>
      </c>
      <c r="Q304" s="300" t="s">
        <v>4</v>
      </c>
      <c r="R304" s="300" t="s">
        <v>4</v>
      </c>
      <c r="S304" s="300" t="s">
        <v>1981</v>
      </c>
      <c r="T304" s="300" t="s">
        <v>2458</v>
      </c>
      <c r="U304" s="303">
        <v>0.38279999999999997</v>
      </c>
      <c r="V304" s="300" t="s">
        <v>2458</v>
      </c>
      <c r="W304" s="307">
        <v>106</v>
      </c>
      <c r="X304" s="297">
        <f>(1-VLOOKUP(R304,Start!$H$33:$I$40,2,FALSE)/100)*W304</f>
        <v>90.1</v>
      </c>
      <c r="Y304" s="297">
        <f>VLOOKUP(Q304,Start!$C$9:$D$15,2,FALSE)+VLOOKUP(Q304,Start!$C$23:$D$29,2,FALSE)</f>
        <v>33.223832923832894</v>
      </c>
      <c r="Z304" s="298">
        <f>(Y304/U304)+Start!$D$19*(VLOOKUP(Q304,Start!$M$33:$N$39,2,FALSE)/U304)+VLOOKUP(R304,Start!$C$33:$D$40,2,FALSE)</f>
        <v>105.78535246560318</v>
      </c>
      <c r="AA304" s="234"/>
      <c r="AB304" s="278"/>
    </row>
    <row r="305" spans="2:28" ht="18.75" customHeight="1" x14ac:dyDescent="0.3">
      <c r="B305" s="229"/>
      <c r="C305" s="289" t="s">
        <v>2485</v>
      </c>
      <c r="D305" s="305" t="s">
        <v>1456</v>
      </c>
      <c r="E305" s="300" t="s">
        <v>1445</v>
      </c>
      <c r="F305" s="300" t="s">
        <v>1446</v>
      </c>
      <c r="G305" s="329">
        <v>16303</v>
      </c>
      <c r="H305" s="300" t="s">
        <v>1447</v>
      </c>
      <c r="I305" s="300"/>
      <c r="J305" s="306" t="s">
        <v>24</v>
      </c>
      <c r="K305" s="300" t="s">
        <v>1457</v>
      </c>
      <c r="L305" s="304" t="s">
        <v>2305</v>
      </c>
      <c r="M305" s="300" t="s">
        <v>48</v>
      </c>
      <c r="N305" s="300" t="s">
        <v>1449</v>
      </c>
      <c r="O305" s="300" t="s">
        <v>1458</v>
      </c>
      <c r="P305" s="300" t="s">
        <v>48</v>
      </c>
      <c r="Q305" s="300" t="s">
        <v>4</v>
      </c>
      <c r="R305" s="300" t="s">
        <v>4</v>
      </c>
      <c r="S305" s="300" t="s">
        <v>1981</v>
      </c>
      <c r="T305" s="300" t="s">
        <v>2458</v>
      </c>
      <c r="U305" s="303">
        <v>0.38279999999999997</v>
      </c>
      <c r="V305" s="300" t="s">
        <v>2458</v>
      </c>
      <c r="W305" s="307">
        <v>106</v>
      </c>
      <c r="X305" s="297">
        <f>(1-VLOOKUP(R305,Start!$H$33:$I$40,2,FALSE)/100)*W305</f>
        <v>90.1</v>
      </c>
      <c r="Y305" s="297">
        <f>VLOOKUP(Q305,Start!$C$9:$D$15,2,FALSE)+VLOOKUP(Q305,Start!$C$23:$D$29,2,FALSE)</f>
        <v>33.223832923832894</v>
      </c>
      <c r="Z305" s="298">
        <f>(Y305/U305)+Start!$D$19*(VLOOKUP(Q305,Start!$M$33:$N$39,2,FALSE)/U305)+VLOOKUP(R305,Start!$C$33:$D$40,2,FALSE)</f>
        <v>105.78535246560318</v>
      </c>
      <c r="AA305" s="234"/>
      <c r="AB305" s="278"/>
    </row>
    <row r="306" spans="2:28" ht="18.75" customHeight="1" x14ac:dyDescent="0.3">
      <c r="B306" s="229"/>
      <c r="C306" s="289" t="s">
        <v>2485</v>
      </c>
      <c r="D306" s="305" t="s">
        <v>1459</v>
      </c>
      <c r="E306" s="300" t="s">
        <v>1445</v>
      </c>
      <c r="F306" s="300" t="s">
        <v>1446</v>
      </c>
      <c r="G306" s="329">
        <v>16303</v>
      </c>
      <c r="H306" s="300" t="s">
        <v>1447</v>
      </c>
      <c r="I306" s="300"/>
      <c r="J306" s="306" t="s">
        <v>24</v>
      </c>
      <c r="K306" s="300" t="s">
        <v>1460</v>
      </c>
      <c r="L306" s="304" t="s">
        <v>2306</v>
      </c>
      <c r="M306" s="300" t="s">
        <v>48</v>
      </c>
      <c r="N306" s="300"/>
      <c r="O306" s="300"/>
      <c r="P306" s="300" t="s">
        <v>48</v>
      </c>
      <c r="Q306" s="300" t="s">
        <v>4</v>
      </c>
      <c r="R306" s="300" t="s">
        <v>4</v>
      </c>
      <c r="S306" s="300" t="s">
        <v>1981</v>
      </c>
      <c r="T306" s="300" t="s">
        <v>2458</v>
      </c>
      <c r="U306" s="303">
        <v>0.39710000000000001</v>
      </c>
      <c r="V306" s="300" t="s">
        <v>2458</v>
      </c>
      <c r="W306" s="307">
        <v>59</v>
      </c>
      <c r="X306" s="297">
        <f>(1-VLOOKUP(R306,Start!$H$33:$I$40,2,FALSE)/100)*W306</f>
        <v>50.15</v>
      </c>
      <c r="Y306" s="297">
        <f>VLOOKUP(Q306,Start!$C$9:$D$15,2,FALSE)+VLOOKUP(Q306,Start!$C$23:$D$29,2,FALSE)</f>
        <v>33.223832923832894</v>
      </c>
      <c r="Z306" s="298">
        <f>(Y306/U306)+Start!$D$19*(VLOOKUP(Q306,Start!$M$33:$N$39,2,FALSE)/U306)+VLOOKUP(R306,Start!$C$33:$D$40,2,FALSE)</f>
        <v>102.01191872030445</v>
      </c>
      <c r="AA306" s="234"/>
      <c r="AB306" s="278"/>
    </row>
    <row r="307" spans="2:28" ht="18.75" customHeight="1" x14ac:dyDescent="0.3">
      <c r="B307" s="229"/>
      <c r="C307" s="289" t="s">
        <v>2485</v>
      </c>
      <c r="D307" s="299" t="s">
        <v>1640</v>
      </c>
      <c r="E307" s="334" t="s">
        <v>1641</v>
      </c>
      <c r="F307" s="300" t="s">
        <v>1642</v>
      </c>
      <c r="G307" s="311">
        <v>97424</v>
      </c>
      <c r="H307" s="312" t="s">
        <v>1643</v>
      </c>
      <c r="I307" s="313" t="s">
        <v>1644</v>
      </c>
      <c r="J307" s="306" t="s">
        <v>55</v>
      </c>
      <c r="K307" s="300" t="s">
        <v>155</v>
      </c>
      <c r="L307" s="304" t="s">
        <v>2379</v>
      </c>
      <c r="M307" s="300" t="s">
        <v>47</v>
      </c>
      <c r="N307" s="300" t="s">
        <v>6</v>
      </c>
      <c r="O307" s="313" t="s">
        <v>1645</v>
      </c>
      <c r="P307" s="314" t="s">
        <v>6</v>
      </c>
      <c r="Q307" s="300" t="s">
        <v>6</v>
      </c>
      <c r="R307" s="300" t="s">
        <v>6</v>
      </c>
      <c r="S307" s="300" t="s">
        <v>1981</v>
      </c>
      <c r="T307" s="300" t="s">
        <v>2458</v>
      </c>
      <c r="U307" s="303">
        <v>0.33</v>
      </c>
      <c r="V307" s="300" t="s">
        <v>2458</v>
      </c>
      <c r="W307" s="315">
        <v>24.4</v>
      </c>
      <c r="X307" s="297">
        <f>(1-VLOOKUP(R307,Start!$H$33:$I$40,2,FALSE)/100)*W307</f>
        <v>20.74</v>
      </c>
      <c r="Y307" s="297">
        <f>VLOOKUP(Q307,Start!$C$9:$D$15,2,FALSE)+VLOOKUP(Q307,Start!$C$23:$D$29,2,FALSE)</f>
        <v>0</v>
      </c>
      <c r="Z307" s="298">
        <f>(Y307/U307)+Start!$D$19*(VLOOKUP(Q307,Start!$M$33:$N$39,2,FALSE)/U307)+VLOOKUP(R307,Start!$C$33:$D$40,2,FALSE)</f>
        <v>1</v>
      </c>
      <c r="AA307" s="234"/>
      <c r="AB307" s="278"/>
    </row>
    <row r="308" spans="2:28" ht="18.75" customHeight="1" x14ac:dyDescent="0.3">
      <c r="B308" s="229"/>
      <c r="C308" s="289" t="s">
        <v>2485</v>
      </c>
      <c r="D308" s="299" t="s">
        <v>1646</v>
      </c>
      <c r="E308" s="300" t="s">
        <v>1647</v>
      </c>
      <c r="F308" s="132" t="s">
        <v>1648</v>
      </c>
      <c r="G308" s="311">
        <v>19061</v>
      </c>
      <c r="H308" s="312" t="s">
        <v>1649</v>
      </c>
      <c r="I308" s="132"/>
      <c r="J308" s="301" t="s">
        <v>66</v>
      </c>
      <c r="K308" s="300"/>
      <c r="L308" s="304" t="s">
        <v>2257</v>
      </c>
      <c r="M308" s="300" t="s">
        <v>47</v>
      </c>
      <c r="N308" s="132" t="s">
        <v>7</v>
      </c>
      <c r="O308" s="300" t="s">
        <v>115</v>
      </c>
      <c r="P308" s="314" t="s">
        <v>7</v>
      </c>
      <c r="Q308" s="300" t="s">
        <v>7</v>
      </c>
      <c r="R308" s="300" t="s">
        <v>226</v>
      </c>
      <c r="S308" s="300" t="s">
        <v>1981</v>
      </c>
      <c r="T308" s="300" t="s">
        <v>2458</v>
      </c>
      <c r="U308" s="303">
        <v>0.37840000000000001</v>
      </c>
      <c r="V308" s="300" t="s">
        <v>2458</v>
      </c>
      <c r="W308" s="315">
        <v>44.9</v>
      </c>
      <c r="X308" s="297">
        <f>(1-VLOOKUP(R308,Start!$H$33:$I$40,2,FALSE)/100)*W308</f>
        <v>39.960999999999999</v>
      </c>
      <c r="Y308" s="297">
        <f>VLOOKUP(Q308,Start!$C$9:$D$15,2,FALSE)+VLOOKUP(Q308,Start!$C$23:$D$29,2,FALSE)</f>
        <v>23.27</v>
      </c>
      <c r="Z308" s="298">
        <f>(Y308/U308)+Start!$D$19*(VLOOKUP(Q308,Start!$M$33:$N$39,2,FALSE)/U308)+VLOOKUP(R308,Start!$C$33:$D$40,2,FALSE)</f>
        <v>76.062896405919659</v>
      </c>
      <c r="AA308" s="234"/>
      <c r="AB308" s="278"/>
    </row>
    <row r="309" spans="2:28" ht="18.75" customHeight="1" x14ac:dyDescent="0.3">
      <c r="B309" s="229"/>
      <c r="C309" s="289" t="s">
        <v>2485</v>
      </c>
      <c r="D309" s="299" t="s">
        <v>1650</v>
      </c>
      <c r="E309" s="300" t="s">
        <v>1647</v>
      </c>
      <c r="F309" s="300" t="s">
        <v>1651</v>
      </c>
      <c r="G309" s="302">
        <v>19057</v>
      </c>
      <c r="H309" s="300" t="s">
        <v>1649</v>
      </c>
      <c r="I309" s="300"/>
      <c r="J309" s="306" t="s">
        <v>66</v>
      </c>
      <c r="K309" s="300"/>
      <c r="L309" s="304" t="s">
        <v>2257</v>
      </c>
      <c r="M309" s="300" t="s">
        <v>47</v>
      </c>
      <c r="N309" s="300" t="s">
        <v>7</v>
      </c>
      <c r="O309" s="300" t="s">
        <v>115</v>
      </c>
      <c r="P309" s="300" t="s">
        <v>7</v>
      </c>
      <c r="Q309" s="300" t="s">
        <v>7</v>
      </c>
      <c r="R309" s="300" t="s">
        <v>226</v>
      </c>
      <c r="S309" s="300" t="s">
        <v>1981</v>
      </c>
      <c r="T309" s="300" t="s">
        <v>2458</v>
      </c>
      <c r="U309" s="303">
        <v>0.37840000000000001</v>
      </c>
      <c r="V309" s="300" t="s">
        <v>2458</v>
      </c>
      <c r="W309" s="307">
        <v>23</v>
      </c>
      <c r="X309" s="297">
        <f>(1-VLOOKUP(R309,Start!$H$33:$I$40,2,FALSE)/100)*W309</f>
        <v>20.47</v>
      </c>
      <c r="Y309" s="297">
        <f>VLOOKUP(Q309,Start!$C$9:$D$15,2,FALSE)+VLOOKUP(Q309,Start!$C$23:$D$29,2,FALSE)</f>
        <v>23.27</v>
      </c>
      <c r="Z309" s="298">
        <f>(Y309/U309)+Start!$D$19*(VLOOKUP(Q309,Start!$M$33:$N$39,2,FALSE)/U309)+VLOOKUP(R309,Start!$C$33:$D$40,2,FALSE)</f>
        <v>76.062896405919659</v>
      </c>
      <c r="AA309" s="234"/>
      <c r="AB309" s="278"/>
    </row>
    <row r="310" spans="2:28" ht="18.75" customHeight="1" x14ac:dyDescent="0.3">
      <c r="B310" s="229"/>
      <c r="C310" s="289" t="s">
        <v>2485</v>
      </c>
      <c r="D310" s="299" t="s">
        <v>1666</v>
      </c>
      <c r="E310" s="300" t="s">
        <v>23</v>
      </c>
      <c r="F310" s="300" t="s">
        <v>1667</v>
      </c>
      <c r="G310" s="302">
        <v>3130</v>
      </c>
      <c r="H310" s="300" t="s">
        <v>1664</v>
      </c>
      <c r="I310" s="300" t="s">
        <v>1668</v>
      </c>
      <c r="J310" s="306" t="s">
        <v>24</v>
      </c>
      <c r="K310" s="300" t="s">
        <v>140</v>
      </c>
      <c r="L310" s="304" t="s">
        <v>2110</v>
      </c>
      <c r="M310" s="300" t="s">
        <v>2</v>
      </c>
      <c r="N310" s="132"/>
      <c r="O310" s="132"/>
      <c r="P310" s="132" t="s">
        <v>2</v>
      </c>
      <c r="Q310" s="300" t="s">
        <v>2</v>
      </c>
      <c r="R310" s="300" t="s">
        <v>2</v>
      </c>
      <c r="S310" s="300" t="s">
        <v>1981</v>
      </c>
      <c r="T310" s="300" t="s">
        <v>2458</v>
      </c>
      <c r="U310" s="303">
        <v>0.39279999999999998</v>
      </c>
      <c r="V310" s="300" t="s">
        <v>2458</v>
      </c>
      <c r="W310" s="307">
        <v>750</v>
      </c>
      <c r="X310" s="297">
        <f>(1-VLOOKUP(R310,Start!$H$33:$I$40,2,FALSE)/100)*W310</f>
        <v>652.5</v>
      </c>
      <c r="Y310" s="297">
        <f>VLOOKUP(Q310,Start!$C$9:$D$15,2,FALSE)+VLOOKUP(Q310,Start!$C$23:$D$29,2,FALSE)</f>
        <v>3.1</v>
      </c>
      <c r="Z310" s="298">
        <f>(Y310/U310)+Start!$D$19*(VLOOKUP(Q310,Start!$M$33:$N$39,2,FALSE)/U310)+VLOOKUP(R310,Start!$C$33:$D$40,2,FALSE)</f>
        <v>34.893482688391046</v>
      </c>
      <c r="AA310" s="234"/>
      <c r="AB310" s="278"/>
    </row>
    <row r="311" spans="2:28" ht="18.75" customHeight="1" x14ac:dyDescent="0.3">
      <c r="B311" s="229"/>
      <c r="C311" s="289" t="s">
        <v>2485</v>
      </c>
      <c r="D311" s="299" t="s">
        <v>1669</v>
      </c>
      <c r="E311" s="300" t="s">
        <v>23</v>
      </c>
      <c r="F311" s="132" t="s">
        <v>1667</v>
      </c>
      <c r="G311" s="311">
        <v>3130</v>
      </c>
      <c r="H311" s="312" t="s">
        <v>1664</v>
      </c>
      <c r="I311" s="132" t="s">
        <v>1668</v>
      </c>
      <c r="J311" s="301" t="s">
        <v>24</v>
      </c>
      <c r="K311" s="300" t="s">
        <v>139</v>
      </c>
      <c r="L311" s="304" t="s">
        <v>2111</v>
      </c>
      <c r="M311" s="300" t="s">
        <v>2</v>
      </c>
      <c r="N311" s="132"/>
      <c r="O311" s="300"/>
      <c r="P311" s="314" t="s">
        <v>2</v>
      </c>
      <c r="Q311" s="300" t="s">
        <v>2</v>
      </c>
      <c r="R311" s="300" t="s">
        <v>2</v>
      </c>
      <c r="S311" s="300" t="s">
        <v>1981</v>
      </c>
      <c r="T311" s="300" t="s">
        <v>2458</v>
      </c>
      <c r="U311" s="303">
        <v>0.3952</v>
      </c>
      <c r="V311" s="300" t="s">
        <v>2458</v>
      </c>
      <c r="W311" s="315">
        <v>750</v>
      </c>
      <c r="X311" s="297">
        <f>(1-VLOOKUP(R311,Start!$H$33:$I$40,2,FALSE)/100)*W311</f>
        <v>652.5</v>
      </c>
      <c r="Y311" s="297">
        <f>VLOOKUP(Q311,Start!$C$9:$D$15,2,FALSE)+VLOOKUP(Q311,Start!$C$23:$D$29,2,FALSE)</f>
        <v>3.1</v>
      </c>
      <c r="Z311" s="298">
        <f>(Y311/U311)+Start!$D$19*(VLOOKUP(Q311,Start!$M$33:$N$39,2,FALSE)/U311)+VLOOKUP(R311,Start!$C$33:$D$40,2,FALSE)</f>
        <v>34.691902834008104</v>
      </c>
      <c r="AA311" s="234"/>
      <c r="AB311" s="278"/>
    </row>
    <row r="312" spans="2:28" ht="18.75" customHeight="1" x14ac:dyDescent="0.3">
      <c r="B312" s="229"/>
      <c r="C312" s="289" t="s">
        <v>2485</v>
      </c>
      <c r="D312" s="299" t="s">
        <v>1675</v>
      </c>
      <c r="E312" s="300" t="s">
        <v>1676</v>
      </c>
      <c r="F312" s="132" t="s">
        <v>1677</v>
      </c>
      <c r="G312" s="311">
        <v>21683</v>
      </c>
      <c r="H312" s="312" t="s">
        <v>1678</v>
      </c>
      <c r="I312" s="132" t="s">
        <v>1679</v>
      </c>
      <c r="J312" s="301" t="s">
        <v>22</v>
      </c>
      <c r="K312" s="300" t="s">
        <v>1680</v>
      </c>
      <c r="L312" s="304" t="s">
        <v>2260</v>
      </c>
      <c r="M312" s="300" t="s">
        <v>7</v>
      </c>
      <c r="N312" s="132" t="s">
        <v>7</v>
      </c>
      <c r="O312" s="300" t="s">
        <v>1681</v>
      </c>
      <c r="P312" s="314" t="s">
        <v>7</v>
      </c>
      <c r="Q312" s="300" t="s">
        <v>7</v>
      </c>
      <c r="R312" s="300" t="s">
        <v>226</v>
      </c>
      <c r="S312" s="300" t="s">
        <v>1996</v>
      </c>
      <c r="T312" s="300" t="s">
        <v>2458</v>
      </c>
      <c r="U312" s="303">
        <v>0.60750000000000004</v>
      </c>
      <c r="V312" s="300" t="s">
        <v>2458</v>
      </c>
      <c r="W312" s="315">
        <v>157</v>
      </c>
      <c r="X312" s="297">
        <f>(1-VLOOKUP(R312,Start!$H$33:$I$40,2,FALSE)/100)*W312</f>
        <v>139.72999999999999</v>
      </c>
      <c r="Y312" s="297">
        <f>VLOOKUP(Q312,Start!$C$9:$D$15,2,FALSE)+VLOOKUP(Q312,Start!$C$23:$D$29,2,FALSE)</f>
        <v>23.27</v>
      </c>
      <c r="Z312" s="298">
        <f>(Y312/U312)+Start!$D$19*(VLOOKUP(Q312,Start!$M$33:$N$39,2,FALSE)/U312)+VLOOKUP(R312,Start!$C$33:$D$40,2,FALSE)</f>
        <v>47.943786008230454</v>
      </c>
      <c r="AA312" s="234"/>
      <c r="AB312" s="278"/>
    </row>
    <row r="313" spans="2:28" ht="18.75" customHeight="1" x14ac:dyDescent="0.3">
      <c r="B313" s="229"/>
      <c r="C313" s="289" t="s">
        <v>2485</v>
      </c>
      <c r="D313" s="305" t="s">
        <v>1696</v>
      </c>
      <c r="E313" s="300" t="s">
        <v>1697</v>
      </c>
      <c r="F313" s="300" t="s">
        <v>1698</v>
      </c>
      <c r="G313" s="302">
        <v>39418</v>
      </c>
      <c r="H313" s="300" t="s">
        <v>1694</v>
      </c>
      <c r="I313" s="300" t="s">
        <v>1699</v>
      </c>
      <c r="J313" s="306" t="s">
        <v>38</v>
      </c>
      <c r="K313" s="300"/>
      <c r="L313" s="304" t="s">
        <v>2262</v>
      </c>
      <c r="M313" s="132" t="s">
        <v>7</v>
      </c>
      <c r="N313" s="132"/>
      <c r="O313" s="132"/>
      <c r="P313" s="132" t="s">
        <v>7</v>
      </c>
      <c r="Q313" s="300" t="s">
        <v>7</v>
      </c>
      <c r="R313" s="300" t="s">
        <v>226</v>
      </c>
      <c r="S313" s="300" t="s">
        <v>1996</v>
      </c>
      <c r="T313" s="300" t="s">
        <v>2458</v>
      </c>
      <c r="U313" s="303">
        <v>0.60750000000000004</v>
      </c>
      <c r="V313" s="300" t="s">
        <v>2458</v>
      </c>
      <c r="W313" s="307">
        <v>100</v>
      </c>
      <c r="X313" s="297">
        <f>(1-VLOOKUP(R313,Start!$H$33:$I$40,2,FALSE)/100)*W313</f>
        <v>89</v>
      </c>
      <c r="Y313" s="297">
        <f>VLOOKUP(Q313,Start!$C$9:$D$15,2,FALSE)+VLOOKUP(Q313,Start!$C$23:$D$29,2,FALSE)</f>
        <v>23.27</v>
      </c>
      <c r="Z313" s="298">
        <f>(Y313/U313)+Start!$D$19*(VLOOKUP(Q313,Start!$M$33:$N$39,2,FALSE)/U313)+VLOOKUP(R313,Start!$C$33:$D$40,2,FALSE)</f>
        <v>47.943786008230454</v>
      </c>
      <c r="AA313" s="234"/>
      <c r="AB313" s="278"/>
    </row>
    <row r="314" spans="2:28" ht="18.75" customHeight="1" x14ac:dyDescent="0.3">
      <c r="B314" s="229"/>
      <c r="C314" s="289" t="s">
        <v>2485</v>
      </c>
      <c r="D314" s="299" t="s">
        <v>1716</v>
      </c>
      <c r="E314" s="300" t="s">
        <v>1712</v>
      </c>
      <c r="F314" s="132" t="s">
        <v>1713</v>
      </c>
      <c r="G314" s="311">
        <v>63811</v>
      </c>
      <c r="H314" s="312" t="s">
        <v>1714</v>
      </c>
      <c r="I314" s="132" t="s">
        <v>1715</v>
      </c>
      <c r="J314" s="301" t="s">
        <v>55</v>
      </c>
      <c r="K314" s="300" t="s">
        <v>1717</v>
      </c>
      <c r="L314" s="304" t="s">
        <v>2041</v>
      </c>
      <c r="M314" s="300" t="s">
        <v>47</v>
      </c>
      <c r="N314" s="132" t="s">
        <v>3</v>
      </c>
      <c r="O314" s="300" t="s">
        <v>1718</v>
      </c>
      <c r="P314" s="314" t="s">
        <v>3</v>
      </c>
      <c r="Q314" s="300" t="s">
        <v>3</v>
      </c>
      <c r="R314" s="300" t="s">
        <v>3</v>
      </c>
      <c r="S314" s="300" t="s">
        <v>1981</v>
      </c>
      <c r="T314" s="300" t="s">
        <v>2458</v>
      </c>
      <c r="U314" s="303">
        <v>0.35</v>
      </c>
      <c r="V314" s="300" t="s">
        <v>2458</v>
      </c>
      <c r="W314" s="315">
        <v>24.79</v>
      </c>
      <c r="X314" s="297">
        <f>(1-VLOOKUP(R314,Start!$H$33:$I$40,2,FALSE)/100)*W314</f>
        <v>19.336200000000002</v>
      </c>
      <c r="Y314" s="297">
        <f>VLOOKUP(Q314,Start!$C$9:$D$15,2,FALSE)+VLOOKUP(Q314,Start!$C$23:$D$29,2,FALSE)</f>
        <v>12.53</v>
      </c>
      <c r="Z314" s="298">
        <f>(Y314/U314)+Start!$D$19*(VLOOKUP(Q314,Start!$M$33:$N$39,2,FALSE)/U314)+VLOOKUP(R314,Start!$C$33:$D$40,2,FALSE)</f>
        <v>60.786285714285711</v>
      </c>
      <c r="AA314" s="234"/>
      <c r="AB314" s="278"/>
    </row>
    <row r="315" spans="2:28" ht="18.75" customHeight="1" x14ac:dyDescent="0.3">
      <c r="B315" s="229"/>
      <c r="C315" s="289" t="s">
        <v>2485</v>
      </c>
      <c r="D315" s="299" t="s">
        <v>1742</v>
      </c>
      <c r="E315" s="317" t="s">
        <v>40</v>
      </c>
      <c r="F315" s="300" t="s">
        <v>1743</v>
      </c>
      <c r="G315" s="302">
        <v>70376</v>
      </c>
      <c r="H315" s="300" t="s">
        <v>1721</v>
      </c>
      <c r="I315" s="300" t="s">
        <v>1744</v>
      </c>
      <c r="J315" s="306" t="s">
        <v>20</v>
      </c>
      <c r="K315" s="300" t="s">
        <v>1745</v>
      </c>
      <c r="L315" s="304" t="s">
        <v>2042</v>
      </c>
      <c r="M315" s="132" t="s">
        <v>47</v>
      </c>
      <c r="N315" s="132" t="s">
        <v>3</v>
      </c>
      <c r="O315" s="132" t="s">
        <v>396</v>
      </c>
      <c r="P315" s="132" t="s">
        <v>3</v>
      </c>
      <c r="Q315" s="300" t="s">
        <v>3</v>
      </c>
      <c r="R315" s="300" t="s">
        <v>3</v>
      </c>
      <c r="S315" s="300" t="s">
        <v>1981</v>
      </c>
      <c r="T315" s="300" t="s">
        <v>2458</v>
      </c>
      <c r="U315" s="303">
        <v>0.44750000000000001</v>
      </c>
      <c r="V315" s="300" t="s">
        <v>2458</v>
      </c>
      <c r="W315" s="307">
        <v>22.6</v>
      </c>
      <c r="X315" s="297">
        <f>(1-VLOOKUP(R315,Start!$H$33:$I$40,2,FALSE)/100)*W315</f>
        <v>17.628</v>
      </c>
      <c r="Y315" s="297">
        <f>VLOOKUP(Q315,Start!$C$9:$D$15,2,FALSE)+VLOOKUP(Q315,Start!$C$23:$D$29,2,FALSE)</f>
        <v>12.53</v>
      </c>
      <c r="Z315" s="298">
        <f>(Y315/U315)+Start!$D$19*(VLOOKUP(Q315,Start!$M$33:$N$39,2,FALSE)/U315)+VLOOKUP(R315,Start!$C$33:$D$40,2,FALSE)</f>
        <v>47.825586592178766</v>
      </c>
      <c r="AA315" s="234"/>
      <c r="AB315" s="278"/>
    </row>
    <row r="316" spans="2:28" ht="18.75" customHeight="1" x14ac:dyDescent="0.3">
      <c r="B316" s="229"/>
      <c r="C316" s="289" t="s">
        <v>2485</v>
      </c>
      <c r="D316" s="305" t="s">
        <v>1746</v>
      </c>
      <c r="E316" s="300" t="s">
        <v>40</v>
      </c>
      <c r="F316" s="300" t="s">
        <v>1720</v>
      </c>
      <c r="G316" s="302">
        <v>70376</v>
      </c>
      <c r="H316" s="325" t="s">
        <v>1721</v>
      </c>
      <c r="I316" s="300" t="s">
        <v>1722</v>
      </c>
      <c r="J316" s="306" t="s">
        <v>20</v>
      </c>
      <c r="K316" s="300" t="s">
        <v>1747</v>
      </c>
      <c r="L316" s="304" t="s">
        <v>2043</v>
      </c>
      <c r="M316" s="300" t="s">
        <v>47</v>
      </c>
      <c r="N316" s="300" t="s">
        <v>3</v>
      </c>
      <c r="O316" s="300" t="s">
        <v>6</v>
      </c>
      <c r="P316" s="300" t="s">
        <v>3</v>
      </c>
      <c r="Q316" s="300" t="s">
        <v>3</v>
      </c>
      <c r="R316" s="300" t="s">
        <v>3</v>
      </c>
      <c r="S316" s="300" t="s">
        <v>1981</v>
      </c>
      <c r="T316" s="300" t="s">
        <v>2458</v>
      </c>
      <c r="U316" s="303">
        <v>0.38</v>
      </c>
      <c r="V316" s="300" t="s">
        <v>2458</v>
      </c>
      <c r="W316" s="307">
        <v>45</v>
      </c>
      <c r="X316" s="297">
        <f>(1-VLOOKUP(R316,Start!$H$33:$I$40,2,FALSE)/100)*W316</f>
        <v>35.1</v>
      </c>
      <c r="Y316" s="297">
        <f>VLOOKUP(Q316,Start!$C$9:$D$15,2,FALSE)+VLOOKUP(Q316,Start!$C$23:$D$29,2,FALSE)</f>
        <v>12.53</v>
      </c>
      <c r="Z316" s="298">
        <f>(Y316/U316)+Start!$D$19*(VLOOKUP(Q316,Start!$M$33:$N$39,2,FALSE)/U316)+VLOOKUP(R316,Start!$C$33:$D$40,2,FALSE)</f>
        <v>56.09</v>
      </c>
      <c r="AA316" s="234"/>
      <c r="AB316" s="278"/>
    </row>
    <row r="317" spans="2:28" ht="18.75" customHeight="1" x14ac:dyDescent="0.3">
      <c r="B317" s="229"/>
      <c r="C317" s="289" t="s">
        <v>2485</v>
      </c>
      <c r="D317" s="299" t="s">
        <v>1748</v>
      </c>
      <c r="E317" s="300" t="s">
        <v>40</v>
      </c>
      <c r="F317" s="300" t="s">
        <v>1720</v>
      </c>
      <c r="G317" s="311">
        <v>70376</v>
      </c>
      <c r="H317" s="312" t="s">
        <v>1721</v>
      </c>
      <c r="I317" s="313" t="s">
        <v>1722</v>
      </c>
      <c r="J317" s="306" t="s">
        <v>20</v>
      </c>
      <c r="K317" s="300" t="s">
        <v>1749</v>
      </c>
      <c r="L317" s="304" t="s">
        <v>2044</v>
      </c>
      <c r="M317" s="300" t="s">
        <v>47</v>
      </c>
      <c r="N317" s="300" t="s">
        <v>3</v>
      </c>
      <c r="O317" s="313" t="s">
        <v>6</v>
      </c>
      <c r="P317" s="314" t="s">
        <v>3</v>
      </c>
      <c r="Q317" s="300" t="s">
        <v>3</v>
      </c>
      <c r="R317" s="300" t="s">
        <v>3</v>
      </c>
      <c r="S317" s="300" t="s">
        <v>1981</v>
      </c>
      <c r="T317" s="300" t="s">
        <v>2458</v>
      </c>
      <c r="U317" s="303">
        <v>0.38500000000000001</v>
      </c>
      <c r="V317" s="300" t="s">
        <v>2458</v>
      </c>
      <c r="W317" s="315">
        <v>45</v>
      </c>
      <c r="X317" s="297">
        <f>(1-VLOOKUP(R317,Start!$H$33:$I$40,2,FALSE)/100)*W317</f>
        <v>35.1</v>
      </c>
      <c r="Y317" s="297">
        <f>VLOOKUP(Q317,Start!$C$9:$D$15,2,FALSE)+VLOOKUP(Q317,Start!$C$23:$D$29,2,FALSE)</f>
        <v>12.53</v>
      </c>
      <c r="Z317" s="298">
        <f>(Y317/U317)+Start!$D$19*(VLOOKUP(Q317,Start!$M$33:$N$39,2,FALSE)/U317)+VLOOKUP(R317,Start!$C$33:$D$40,2,FALSE)</f>
        <v>55.378441558441551</v>
      </c>
      <c r="AA317" s="234"/>
      <c r="AB317" s="278"/>
    </row>
    <row r="318" spans="2:28" ht="18.75" customHeight="1" x14ac:dyDescent="0.3">
      <c r="B318" s="229"/>
      <c r="C318" s="289" t="s">
        <v>2485</v>
      </c>
      <c r="D318" s="305" t="s">
        <v>1736</v>
      </c>
      <c r="E318" s="317" t="s">
        <v>40</v>
      </c>
      <c r="F318" s="303" t="s">
        <v>1720</v>
      </c>
      <c r="G318" s="308">
        <v>70376</v>
      </c>
      <c r="H318" s="303" t="s">
        <v>1721</v>
      </c>
      <c r="I318" s="303" t="s">
        <v>1722</v>
      </c>
      <c r="J318" s="306" t="s">
        <v>20</v>
      </c>
      <c r="K318" s="303" t="s">
        <v>1737</v>
      </c>
      <c r="L318" s="304" t="s">
        <v>1788</v>
      </c>
      <c r="M318" s="303" t="s">
        <v>48</v>
      </c>
      <c r="N318" s="303"/>
      <c r="O318" s="303"/>
      <c r="P318" s="314" t="s">
        <v>48</v>
      </c>
      <c r="Q318" s="300" t="s">
        <v>4</v>
      </c>
      <c r="R318" s="300" t="s">
        <v>4</v>
      </c>
      <c r="S318" s="300" t="s">
        <v>2115</v>
      </c>
      <c r="T318" s="300" t="s">
        <v>2458</v>
      </c>
      <c r="U318" s="303">
        <v>0.31240000000000001</v>
      </c>
      <c r="V318" s="300" t="s">
        <v>2458</v>
      </c>
      <c r="W318" s="297">
        <v>23.3</v>
      </c>
      <c r="X318" s="297">
        <f>(1-VLOOKUP(R318,Start!$H$33:$I$40,2,FALSE)/100)*W318</f>
        <v>19.805</v>
      </c>
      <c r="Y318" s="297">
        <f>VLOOKUP(Q318,Start!$C$9:$D$15,2,FALSE)+VLOOKUP(Q318,Start!$C$23:$D$29,2,FALSE)</f>
        <v>33.223832923832894</v>
      </c>
      <c r="Z318" s="298">
        <f>(Y318/U318)+Start!$D$19*(VLOOKUP(Q318,Start!$M$33:$N$39,2,FALSE)/U318)+VLOOKUP(R318,Start!$C$33:$D$40,2,FALSE)</f>
        <v>129.39895302123205</v>
      </c>
      <c r="AA318" s="234"/>
      <c r="AB318" s="278"/>
    </row>
    <row r="319" spans="2:28" ht="18.75" customHeight="1" x14ac:dyDescent="0.3">
      <c r="B319" s="229"/>
      <c r="C319" s="289" t="s">
        <v>2485</v>
      </c>
      <c r="D319" s="299" t="s">
        <v>1738</v>
      </c>
      <c r="E319" s="300" t="s">
        <v>40</v>
      </c>
      <c r="F319" s="132" t="s">
        <v>1720</v>
      </c>
      <c r="G319" s="311">
        <v>70376</v>
      </c>
      <c r="H319" s="312" t="s">
        <v>1721</v>
      </c>
      <c r="I319" s="132" t="s">
        <v>1722</v>
      </c>
      <c r="J319" s="301" t="s">
        <v>20</v>
      </c>
      <c r="K319" s="300" t="s">
        <v>1739</v>
      </c>
      <c r="L319" s="304" t="s">
        <v>1788</v>
      </c>
      <c r="M319" s="300" t="s">
        <v>48</v>
      </c>
      <c r="N319" s="132"/>
      <c r="O319" s="300"/>
      <c r="P319" s="314" t="s">
        <v>48</v>
      </c>
      <c r="Q319" s="300" t="s">
        <v>4</v>
      </c>
      <c r="R319" s="300" t="s">
        <v>4</v>
      </c>
      <c r="S319" s="300" t="s">
        <v>2115</v>
      </c>
      <c r="T319" s="300" t="s">
        <v>2458</v>
      </c>
      <c r="U319" s="303">
        <v>0.31240000000000001</v>
      </c>
      <c r="V319" s="300" t="s">
        <v>2458</v>
      </c>
      <c r="W319" s="315">
        <v>23.3</v>
      </c>
      <c r="X319" s="297">
        <f>(1-VLOOKUP(R319,Start!$H$33:$I$40,2,FALSE)/100)*W319</f>
        <v>19.805</v>
      </c>
      <c r="Y319" s="297">
        <f>VLOOKUP(Q319,Start!$C$9:$D$15,2,FALSE)+VLOOKUP(Q319,Start!$C$23:$D$29,2,FALSE)</f>
        <v>33.223832923832894</v>
      </c>
      <c r="Z319" s="298">
        <f>(Y319/U319)+Start!$D$19*(VLOOKUP(Q319,Start!$M$33:$N$39,2,FALSE)/U319)+VLOOKUP(R319,Start!$C$33:$D$40,2,FALSE)</f>
        <v>129.39895302123205</v>
      </c>
      <c r="AA319" s="234"/>
      <c r="AB319" s="278"/>
    </row>
    <row r="320" spans="2:28" ht="18.75" customHeight="1" x14ac:dyDescent="0.3">
      <c r="B320" s="229"/>
      <c r="C320" s="289" t="s">
        <v>2485</v>
      </c>
      <c r="D320" s="305" t="s">
        <v>1719</v>
      </c>
      <c r="E320" s="300" t="s">
        <v>40</v>
      </c>
      <c r="F320" s="300" t="s">
        <v>1720</v>
      </c>
      <c r="G320" s="302">
        <v>70376</v>
      </c>
      <c r="H320" s="300" t="s">
        <v>1721</v>
      </c>
      <c r="I320" s="300" t="s">
        <v>1722</v>
      </c>
      <c r="J320" s="306" t="s">
        <v>20</v>
      </c>
      <c r="K320" s="300" t="s">
        <v>1723</v>
      </c>
      <c r="L320" s="304" t="s">
        <v>2042</v>
      </c>
      <c r="M320" s="132" t="s">
        <v>47</v>
      </c>
      <c r="N320" s="300" t="s">
        <v>1724</v>
      </c>
      <c r="O320" s="300" t="s">
        <v>1725</v>
      </c>
      <c r="P320" s="132" t="s">
        <v>6</v>
      </c>
      <c r="Q320" s="300" t="s">
        <v>6</v>
      </c>
      <c r="R320" s="300" t="s">
        <v>6</v>
      </c>
      <c r="S320" s="300" t="s">
        <v>1981</v>
      </c>
      <c r="T320" s="300" t="s">
        <v>2458</v>
      </c>
      <c r="U320" s="303">
        <v>0.33</v>
      </c>
      <c r="V320" s="300" t="s">
        <v>2458</v>
      </c>
      <c r="W320" s="307">
        <v>19.5</v>
      </c>
      <c r="X320" s="297">
        <f>(1-VLOOKUP(R320,Start!$H$33:$I$40,2,FALSE)/100)*W320</f>
        <v>16.574999999999999</v>
      </c>
      <c r="Y320" s="297">
        <f>VLOOKUP(Q320,Start!$C$9:$D$15,2,FALSE)+VLOOKUP(Q320,Start!$C$23:$D$29,2,FALSE)</f>
        <v>0</v>
      </c>
      <c r="Z320" s="298">
        <f>(Y320/U320)+Start!$D$19*(VLOOKUP(Q320,Start!$M$33:$N$39,2,FALSE)/U320)+VLOOKUP(R320,Start!$C$33:$D$40,2,FALSE)</f>
        <v>1</v>
      </c>
      <c r="AA320" s="234"/>
      <c r="AB320" s="278"/>
    </row>
    <row r="321" spans="2:28" ht="18.75" customHeight="1" x14ac:dyDescent="0.3">
      <c r="B321" s="229"/>
      <c r="C321" s="289" t="s">
        <v>2485</v>
      </c>
      <c r="D321" s="299" t="s">
        <v>1740</v>
      </c>
      <c r="E321" s="300" t="s">
        <v>40</v>
      </c>
      <c r="F321" s="300" t="s">
        <v>1720</v>
      </c>
      <c r="G321" s="302">
        <v>70376</v>
      </c>
      <c r="H321" s="300" t="s">
        <v>1721</v>
      </c>
      <c r="I321" s="300" t="s">
        <v>1722</v>
      </c>
      <c r="J321" s="306" t="s">
        <v>20</v>
      </c>
      <c r="K321" s="300" t="s">
        <v>1741</v>
      </c>
      <c r="L321" s="304" t="s">
        <v>1788</v>
      </c>
      <c r="M321" s="300" t="s">
        <v>48</v>
      </c>
      <c r="N321" s="300"/>
      <c r="O321" s="300"/>
      <c r="P321" s="300" t="s">
        <v>48</v>
      </c>
      <c r="Q321" s="300" t="s">
        <v>4</v>
      </c>
      <c r="R321" s="300" t="s">
        <v>4</v>
      </c>
      <c r="S321" s="300" t="s">
        <v>2115</v>
      </c>
      <c r="T321" s="300" t="s">
        <v>2458</v>
      </c>
      <c r="U321" s="303">
        <v>0.31240000000000001</v>
      </c>
      <c r="V321" s="300" t="s">
        <v>2458</v>
      </c>
      <c r="W321" s="307">
        <v>23.3</v>
      </c>
      <c r="X321" s="297">
        <f>(1-VLOOKUP(R321,Start!$H$33:$I$40,2,FALSE)/100)*W321</f>
        <v>19.805</v>
      </c>
      <c r="Y321" s="297">
        <f>VLOOKUP(Q321,Start!$C$9:$D$15,2,FALSE)+VLOOKUP(Q321,Start!$C$23:$D$29,2,FALSE)</f>
        <v>33.223832923832894</v>
      </c>
      <c r="Z321" s="298">
        <f>(Y321/U321)+Start!$D$19*(VLOOKUP(Q321,Start!$M$33:$N$39,2,FALSE)/U321)+VLOOKUP(R321,Start!$C$33:$D$40,2,FALSE)</f>
        <v>129.39895302123205</v>
      </c>
      <c r="AA321" s="234"/>
      <c r="AB321" s="278"/>
    </row>
    <row r="322" spans="2:28" ht="18.75" customHeight="1" x14ac:dyDescent="0.3">
      <c r="B322" s="229"/>
      <c r="C322" s="289" t="s">
        <v>2485</v>
      </c>
      <c r="D322" s="305" t="s">
        <v>1759</v>
      </c>
      <c r="E322" s="300" t="s">
        <v>1760</v>
      </c>
      <c r="F322" s="300" t="s">
        <v>1761</v>
      </c>
      <c r="G322" s="302">
        <v>72072</v>
      </c>
      <c r="H322" s="300" t="s">
        <v>1762</v>
      </c>
      <c r="I322" s="300"/>
      <c r="J322" s="306" t="s">
        <v>20</v>
      </c>
      <c r="K322" s="306" t="s">
        <v>1763</v>
      </c>
      <c r="L322" s="304" t="s">
        <v>2269</v>
      </c>
      <c r="M322" s="300" t="s">
        <v>7</v>
      </c>
      <c r="N322" s="300"/>
      <c r="O322" s="300"/>
      <c r="P322" s="300" t="s">
        <v>7</v>
      </c>
      <c r="Q322" s="300" t="s">
        <v>7</v>
      </c>
      <c r="R322" s="300" t="s">
        <v>226</v>
      </c>
      <c r="S322" s="300" t="s">
        <v>1981</v>
      </c>
      <c r="T322" s="300" t="s">
        <v>2458</v>
      </c>
      <c r="U322" s="303">
        <v>0.38500000000000001</v>
      </c>
      <c r="V322" s="300" t="s">
        <v>2458</v>
      </c>
      <c r="W322" s="307">
        <v>13.4</v>
      </c>
      <c r="X322" s="297">
        <f>(1-VLOOKUP(R322,Start!$H$33:$I$40,2,FALSE)/100)*W322</f>
        <v>11.926</v>
      </c>
      <c r="Y322" s="297">
        <f>VLOOKUP(Q322,Start!$C$9:$D$15,2,FALSE)+VLOOKUP(Q322,Start!$C$23:$D$29,2,FALSE)</f>
        <v>23.27</v>
      </c>
      <c r="Z322" s="298">
        <f>(Y322/U322)+Start!$D$19*(VLOOKUP(Q322,Start!$M$33:$N$39,2,FALSE)/U322)+VLOOKUP(R322,Start!$C$33:$D$40,2,FALSE)</f>
        <v>74.784675324675334</v>
      </c>
      <c r="AA322" s="234"/>
      <c r="AB322" s="278"/>
    </row>
    <row r="323" spans="2:28" ht="18.75" customHeight="1" x14ac:dyDescent="0.3">
      <c r="B323" s="229"/>
      <c r="C323" s="289" t="s">
        <v>2485</v>
      </c>
      <c r="D323" s="299" t="s">
        <v>1771</v>
      </c>
      <c r="E323" s="300" t="s">
        <v>1313</v>
      </c>
      <c r="F323" s="300" t="s">
        <v>1772</v>
      </c>
      <c r="G323" s="302">
        <v>85774</v>
      </c>
      <c r="H323" s="300" t="s">
        <v>1773</v>
      </c>
      <c r="I323" s="303"/>
      <c r="J323" s="306" t="s">
        <v>55</v>
      </c>
      <c r="K323" s="303">
        <v>1</v>
      </c>
      <c r="L323" s="304" t="s">
        <v>2381</v>
      </c>
      <c r="M323" s="300" t="s">
        <v>47</v>
      </c>
      <c r="N323" s="303" t="s">
        <v>6</v>
      </c>
      <c r="O323" s="303" t="s">
        <v>1774</v>
      </c>
      <c r="P323" s="314" t="s">
        <v>6</v>
      </c>
      <c r="Q323" s="300" t="s">
        <v>6</v>
      </c>
      <c r="R323" s="300" t="s">
        <v>6</v>
      </c>
      <c r="S323" s="300" t="s">
        <v>1981</v>
      </c>
      <c r="T323" s="300" t="s">
        <v>2458</v>
      </c>
      <c r="U323" s="303">
        <v>0.33</v>
      </c>
      <c r="V323" s="300" t="s">
        <v>2458</v>
      </c>
      <c r="W323" s="303">
        <v>18</v>
      </c>
      <c r="X323" s="297">
        <f>(1-VLOOKUP(R323,Start!$H$33:$I$40,2,FALSE)/100)*W323</f>
        <v>15.299999999999999</v>
      </c>
      <c r="Y323" s="297">
        <f>VLOOKUP(Q323,Start!$C$9:$D$15,2,FALSE)+VLOOKUP(Q323,Start!$C$23:$D$29,2,FALSE)</f>
        <v>0</v>
      </c>
      <c r="Z323" s="298">
        <f>(Y323/U323)+Start!$D$19*(VLOOKUP(Q323,Start!$M$33:$N$39,2,FALSE)/U323)+VLOOKUP(R323,Start!$C$33:$D$40,2,FALSE)</f>
        <v>1</v>
      </c>
      <c r="AA323" s="234"/>
      <c r="AB323" s="278"/>
    </row>
    <row r="324" spans="2:28" ht="18.75" customHeight="1" x14ac:dyDescent="0.3">
      <c r="B324" s="229"/>
      <c r="C324" s="289" t="s">
        <v>2485</v>
      </c>
      <c r="D324" s="299" t="s">
        <v>1777</v>
      </c>
      <c r="E324" s="300" t="s">
        <v>1313</v>
      </c>
      <c r="F324" s="300" t="s">
        <v>1778</v>
      </c>
      <c r="G324" s="311">
        <v>85774</v>
      </c>
      <c r="H324" s="312" t="s">
        <v>1773</v>
      </c>
      <c r="I324" s="300"/>
      <c r="J324" s="306" t="s">
        <v>55</v>
      </c>
      <c r="K324" s="300">
        <v>2</v>
      </c>
      <c r="L324" s="304" t="s">
        <v>2046</v>
      </c>
      <c r="M324" s="300" t="s">
        <v>47</v>
      </c>
      <c r="N324" s="300" t="s">
        <v>3</v>
      </c>
      <c r="O324" s="300" t="s">
        <v>989</v>
      </c>
      <c r="P324" s="314" t="s">
        <v>3</v>
      </c>
      <c r="Q324" s="300" t="s">
        <v>3</v>
      </c>
      <c r="R324" s="300" t="s">
        <v>3</v>
      </c>
      <c r="S324" s="300" t="s">
        <v>1981</v>
      </c>
      <c r="T324" s="300" t="s">
        <v>2458</v>
      </c>
      <c r="U324" s="303">
        <v>0.40250000000000002</v>
      </c>
      <c r="V324" s="300" t="s">
        <v>2458</v>
      </c>
      <c r="W324" s="315">
        <v>332.7</v>
      </c>
      <c r="X324" s="297">
        <f>(1-VLOOKUP(R324,Start!$H$33:$I$40,2,FALSE)/100)*W324</f>
        <v>259.50599999999997</v>
      </c>
      <c r="Y324" s="297">
        <f>VLOOKUP(Q324,Start!$C$9:$D$15,2,FALSE)+VLOOKUP(Q324,Start!$C$23:$D$29,2,FALSE)</f>
        <v>12.53</v>
      </c>
      <c r="Z324" s="298">
        <f>(Y324/U324)+Start!$D$19*(VLOOKUP(Q324,Start!$M$33:$N$39,2,FALSE)/U324)+VLOOKUP(R324,Start!$C$33:$D$40,2,FALSE)</f>
        <v>53.027204968944091</v>
      </c>
      <c r="AA324" s="234"/>
      <c r="AB324" s="278"/>
    </row>
    <row r="325" spans="2:28" ht="18.75" customHeight="1" x14ac:dyDescent="0.3">
      <c r="B325" s="229"/>
      <c r="C325" s="289" t="s">
        <v>2485</v>
      </c>
      <c r="D325" s="299" t="s">
        <v>1775</v>
      </c>
      <c r="E325" s="300" t="s">
        <v>1313</v>
      </c>
      <c r="F325" s="300" t="s">
        <v>1776</v>
      </c>
      <c r="G325" s="311">
        <v>85774</v>
      </c>
      <c r="H325" s="312" t="s">
        <v>1773</v>
      </c>
      <c r="I325" s="300"/>
      <c r="J325" s="301" t="s">
        <v>55</v>
      </c>
      <c r="K325" s="300">
        <v>3</v>
      </c>
      <c r="L325" s="304" t="s">
        <v>2382</v>
      </c>
      <c r="M325" s="300" t="s">
        <v>47</v>
      </c>
      <c r="N325" s="300" t="s">
        <v>6</v>
      </c>
      <c r="O325" s="300" t="s">
        <v>1774</v>
      </c>
      <c r="P325" s="300" t="s">
        <v>6</v>
      </c>
      <c r="Q325" s="300" t="s">
        <v>6</v>
      </c>
      <c r="R325" s="300" t="s">
        <v>6</v>
      </c>
      <c r="S325" s="300" t="s">
        <v>1981</v>
      </c>
      <c r="T325" s="300" t="s">
        <v>2458</v>
      </c>
      <c r="U325" s="303">
        <v>0.33</v>
      </c>
      <c r="V325" s="300" t="s">
        <v>2458</v>
      </c>
      <c r="W325" s="315">
        <v>22</v>
      </c>
      <c r="X325" s="297">
        <f>(1-VLOOKUP(R325,Start!$H$33:$I$40,2,FALSE)/100)*W325</f>
        <v>18.7</v>
      </c>
      <c r="Y325" s="297">
        <f>VLOOKUP(Q325,Start!$C$9:$D$15,2,FALSE)+VLOOKUP(Q325,Start!$C$23:$D$29,2,FALSE)</f>
        <v>0</v>
      </c>
      <c r="Z325" s="298">
        <f>(Y325/U325)+Start!$D$19*(VLOOKUP(Q325,Start!$M$33:$N$39,2,FALSE)/U325)+VLOOKUP(R325,Start!$C$33:$D$40,2,FALSE)</f>
        <v>1</v>
      </c>
      <c r="AA325" s="234"/>
      <c r="AB325" s="278"/>
    </row>
    <row r="326" spans="2:28" ht="18.75" customHeight="1" x14ac:dyDescent="0.3">
      <c r="B326" s="229"/>
      <c r="C326" s="289" t="s">
        <v>2485</v>
      </c>
      <c r="D326" s="299" t="s">
        <v>1790</v>
      </c>
      <c r="E326" s="300" t="s">
        <v>458</v>
      </c>
      <c r="F326" s="300" t="s">
        <v>1791</v>
      </c>
      <c r="G326" s="302">
        <v>66333</v>
      </c>
      <c r="H326" s="300" t="s">
        <v>1789</v>
      </c>
      <c r="I326" s="300" t="s">
        <v>1792</v>
      </c>
      <c r="J326" s="306" t="s">
        <v>213</v>
      </c>
      <c r="K326" s="300" t="s">
        <v>1793</v>
      </c>
      <c r="L326" s="304" t="s">
        <v>2047</v>
      </c>
      <c r="M326" s="300" t="s">
        <v>3</v>
      </c>
      <c r="N326" s="300"/>
      <c r="O326" s="300"/>
      <c r="P326" s="300" t="s">
        <v>3</v>
      </c>
      <c r="Q326" s="300" t="s">
        <v>3</v>
      </c>
      <c r="R326" s="300" t="s">
        <v>3</v>
      </c>
      <c r="S326" s="300" t="s">
        <v>1981</v>
      </c>
      <c r="T326" s="300" t="s">
        <v>2458</v>
      </c>
      <c r="U326" s="303">
        <v>0.38</v>
      </c>
      <c r="V326" s="300" t="s">
        <v>2458</v>
      </c>
      <c r="W326" s="307">
        <v>179</v>
      </c>
      <c r="X326" s="297">
        <f>(1-VLOOKUP(R326,Start!$H$33:$I$40,2,FALSE)/100)*W326</f>
        <v>139.62</v>
      </c>
      <c r="Y326" s="297">
        <f>VLOOKUP(Q326,Start!$C$9:$D$15,2,FALSE)+VLOOKUP(Q326,Start!$C$23:$D$29,2,FALSE)</f>
        <v>12.53</v>
      </c>
      <c r="Z326" s="298">
        <f>(Y326/U326)+Start!$D$19*(VLOOKUP(Q326,Start!$M$33:$N$39,2,FALSE)/U326)+VLOOKUP(R326,Start!$C$33:$D$40,2,FALSE)</f>
        <v>56.09</v>
      </c>
      <c r="AA326" s="234"/>
      <c r="AB326" s="278"/>
    </row>
    <row r="327" spans="2:28" ht="18.75" customHeight="1" x14ac:dyDescent="0.3">
      <c r="B327" s="229"/>
      <c r="C327" s="289" t="s">
        <v>2485</v>
      </c>
      <c r="D327" s="299" t="s">
        <v>1794</v>
      </c>
      <c r="E327" s="300" t="s">
        <v>458</v>
      </c>
      <c r="F327" s="300" t="s">
        <v>101</v>
      </c>
      <c r="G327" s="302">
        <v>66333</v>
      </c>
      <c r="H327" s="300" t="s">
        <v>1789</v>
      </c>
      <c r="I327" s="300" t="s">
        <v>1792</v>
      </c>
      <c r="J327" s="306" t="s">
        <v>213</v>
      </c>
      <c r="K327" s="300" t="s">
        <v>1795</v>
      </c>
      <c r="L327" s="304" t="s">
        <v>2048</v>
      </c>
      <c r="M327" s="300" t="s">
        <v>3</v>
      </c>
      <c r="N327" s="300"/>
      <c r="O327" s="300"/>
      <c r="P327" s="300" t="s">
        <v>3</v>
      </c>
      <c r="Q327" s="300" t="s">
        <v>3</v>
      </c>
      <c r="R327" s="300" t="s">
        <v>3</v>
      </c>
      <c r="S327" s="300" t="s">
        <v>1981</v>
      </c>
      <c r="T327" s="300" t="s">
        <v>2458</v>
      </c>
      <c r="U327" s="303">
        <v>0.39750000000000002</v>
      </c>
      <c r="V327" s="300" t="s">
        <v>2458</v>
      </c>
      <c r="W327" s="307">
        <v>211</v>
      </c>
      <c r="X327" s="297">
        <f>(1-VLOOKUP(R327,Start!$H$33:$I$40,2,FALSE)/100)*W327</f>
        <v>164.58</v>
      </c>
      <c r="Y327" s="297">
        <f>VLOOKUP(Q327,Start!$C$9:$D$15,2,FALSE)+VLOOKUP(Q327,Start!$C$23:$D$29,2,FALSE)</f>
        <v>12.53</v>
      </c>
      <c r="Z327" s="298">
        <f>(Y327/U327)+Start!$D$19*(VLOOKUP(Q327,Start!$M$33:$N$39,2,FALSE)/U327)+VLOOKUP(R327,Start!$C$33:$D$40,2,FALSE)</f>
        <v>53.677861635220125</v>
      </c>
      <c r="AA327" s="234"/>
      <c r="AB327" s="278"/>
    </row>
    <row r="328" spans="2:28" ht="18.75" customHeight="1" x14ac:dyDescent="0.3">
      <c r="B328" s="229"/>
      <c r="C328" s="289" t="s">
        <v>2485</v>
      </c>
      <c r="D328" s="299" t="s">
        <v>1796</v>
      </c>
      <c r="E328" s="300" t="s">
        <v>1756</v>
      </c>
      <c r="F328" s="132" t="s">
        <v>1797</v>
      </c>
      <c r="G328" s="311">
        <v>6679</v>
      </c>
      <c r="H328" s="312" t="s">
        <v>1797</v>
      </c>
      <c r="I328" s="132"/>
      <c r="J328" s="301" t="s">
        <v>38</v>
      </c>
      <c r="K328" s="301"/>
      <c r="L328" s="304" t="s">
        <v>2113</v>
      </c>
      <c r="M328" s="300" t="s">
        <v>2</v>
      </c>
      <c r="N328" s="132"/>
      <c r="O328" s="300"/>
      <c r="P328" s="132" t="s">
        <v>2</v>
      </c>
      <c r="Q328" s="300" t="s">
        <v>2</v>
      </c>
      <c r="R328" s="300" t="s">
        <v>2</v>
      </c>
      <c r="S328" s="300" t="s">
        <v>1981</v>
      </c>
      <c r="T328" s="300" t="s">
        <v>2458</v>
      </c>
      <c r="U328" s="303">
        <v>0.3856</v>
      </c>
      <c r="V328" s="300" t="s">
        <v>2458</v>
      </c>
      <c r="W328" s="315">
        <v>31</v>
      </c>
      <c r="X328" s="297">
        <f>(1-VLOOKUP(R328,Start!$H$33:$I$40,2,FALSE)/100)*W328</f>
        <v>26.97</v>
      </c>
      <c r="Y328" s="297">
        <f>VLOOKUP(Q328,Start!$C$9:$D$15,2,FALSE)+VLOOKUP(Q328,Start!$C$23:$D$29,2,FALSE)</f>
        <v>3.1</v>
      </c>
      <c r="Z328" s="298">
        <f>(Y328/U328)+Start!$D$19*(VLOOKUP(Q328,Start!$M$33:$N$39,2,FALSE)/U328)+VLOOKUP(R328,Start!$C$33:$D$40,2,FALSE)</f>
        <v>35.513278008298762</v>
      </c>
      <c r="AA328" s="234"/>
      <c r="AB328" s="278"/>
    </row>
    <row r="329" spans="2:28" ht="18.75" customHeight="1" x14ac:dyDescent="0.3">
      <c r="B329" s="229"/>
      <c r="C329" s="289" t="s">
        <v>2485</v>
      </c>
      <c r="D329" s="299" t="s">
        <v>1798</v>
      </c>
      <c r="E329" s="300" t="s">
        <v>40</v>
      </c>
      <c r="F329" s="300" t="s">
        <v>1799</v>
      </c>
      <c r="G329" s="311">
        <v>74399</v>
      </c>
      <c r="H329" s="312" t="s">
        <v>1800</v>
      </c>
      <c r="I329" s="300" t="s">
        <v>1801</v>
      </c>
      <c r="J329" s="306" t="s">
        <v>20</v>
      </c>
      <c r="K329" s="300" t="s">
        <v>1802</v>
      </c>
      <c r="L329" s="304" t="s">
        <v>2064</v>
      </c>
      <c r="M329" s="300" t="s">
        <v>48</v>
      </c>
      <c r="N329" s="300"/>
      <c r="O329" s="300"/>
      <c r="P329" s="314" t="s">
        <v>48</v>
      </c>
      <c r="Q329" s="300" t="s">
        <v>4</v>
      </c>
      <c r="R329" s="300" t="s">
        <v>4</v>
      </c>
      <c r="S329" s="300" t="s">
        <v>2115</v>
      </c>
      <c r="T329" s="300" t="s">
        <v>2458</v>
      </c>
      <c r="U329" s="303">
        <v>0.3306</v>
      </c>
      <c r="V329" s="300" t="s">
        <v>2458</v>
      </c>
      <c r="W329" s="315">
        <v>136</v>
      </c>
      <c r="X329" s="297">
        <f>(1-VLOOKUP(R329,Start!$H$33:$I$40,2,FALSE)/100)*W329</f>
        <v>115.6</v>
      </c>
      <c r="Y329" s="297">
        <f>VLOOKUP(Q329,Start!$C$9:$D$15,2,FALSE)+VLOOKUP(Q329,Start!$C$23:$D$29,2,FALSE)</f>
        <v>33.223832923832894</v>
      </c>
      <c r="Z329" s="298">
        <f>(Y329/U329)+Start!$D$19*(VLOOKUP(Q329,Start!$M$33:$N$39,2,FALSE)/U329)+VLOOKUP(R329,Start!$C$33:$D$40,2,FALSE)</f>
        <v>122.33040811806684</v>
      </c>
      <c r="AA329" s="234"/>
      <c r="AB329" s="278"/>
    </row>
    <row r="330" spans="2:28" ht="18.75" customHeight="1" x14ac:dyDescent="0.3">
      <c r="B330" s="229"/>
      <c r="C330" s="289" t="s">
        <v>2485</v>
      </c>
      <c r="D330" s="299" t="s">
        <v>1803</v>
      </c>
      <c r="E330" s="300" t="s">
        <v>1804</v>
      </c>
      <c r="F330" s="132" t="s">
        <v>1805</v>
      </c>
      <c r="G330" s="311">
        <v>87448</v>
      </c>
      <c r="H330" s="312" t="s">
        <v>1806</v>
      </c>
      <c r="I330" s="132">
        <v>13</v>
      </c>
      <c r="J330" s="301" t="s">
        <v>55</v>
      </c>
      <c r="K330" s="300" t="s">
        <v>1805</v>
      </c>
      <c r="L330" s="304" t="s">
        <v>2308</v>
      </c>
      <c r="M330" s="300" t="s">
        <v>48</v>
      </c>
      <c r="N330" s="132" t="s">
        <v>1807</v>
      </c>
      <c r="O330" s="300"/>
      <c r="P330" s="314" t="s">
        <v>48</v>
      </c>
      <c r="Q330" s="300" t="s">
        <v>4</v>
      </c>
      <c r="R330" s="300" t="s">
        <v>4</v>
      </c>
      <c r="S330" s="300" t="s">
        <v>2115</v>
      </c>
      <c r="T330" s="300" t="s">
        <v>2458</v>
      </c>
      <c r="U330" s="303">
        <v>0.3488</v>
      </c>
      <c r="V330" s="300" t="s">
        <v>2458</v>
      </c>
      <c r="W330" s="315">
        <v>24</v>
      </c>
      <c r="X330" s="297">
        <f>(1-VLOOKUP(R330,Start!$H$33:$I$40,2,FALSE)/100)*W330</f>
        <v>20.399999999999999</v>
      </c>
      <c r="Y330" s="297">
        <f>VLOOKUP(Q330,Start!$C$9:$D$15,2,FALSE)+VLOOKUP(Q330,Start!$C$23:$D$29,2,FALSE)</f>
        <v>33.223832923832894</v>
      </c>
      <c r="Z330" s="298">
        <f>(Y330/U330)+Start!$D$19*(VLOOKUP(Q330,Start!$M$33:$N$39,2,FALSE)/U330)+VLOOKUP(R330,Start!$C$33:$D$40,2,FALSE)</f>
        <v>115.99952099722734</v>
      </c>
      <c r="AA330" s="234"/>
      <c r="AB330" s="278"/>
    </row>
    <row r="331" spans="2:28" ht="18.75" customHeight="1" x14ac:dyDescent="0.3">
      <c r="B331" s="229"/>
      <c r="C331" s="289" t="s">
        <v>2485</v>
      </c>
      <c r="D331" s="299" t="s">
        <v>1808</v>
      </c>
      <c r="E331" s="300" t="s">
        <v>1804</v>
      </c>
      <c r="F331" s="300" t="s">
        <v>1809</v>
      </c>
      <c r="G331" s="302">
        <v>87448</v>
      </c>
      <c r="H331" s="300" t="s">
        <v>1806</v>
      </c>
      <c r="I331" s="300">
        <v>13</v>
      </c>
      <c r="J331" s="306" t="s">
        <v>55</v>
      </c>
      <c r="K331" s="300" t="s">
        <v>1809</v>
      </c>
      <c r="L331" s="304" t="s">
        <v>2309</v>
      </c>
      <c r="M331" s="300" t="s">
        <v>48</v>
      </c>
      <c r="N331" s="300"/>
      <c r="O331" s="300"/>
      <c r="P331" s="314" t="s">
        <v>48</v>
      </c>
      <c r="Q331" s="300" t="s">
        <v>4</v>
      </c>
      <c r="R331" s="300" t="s">
        <v>4</v>
      </c>
      <c r="S331" s="300" t="s">
        <v>1981</v>
      </c>
      <c r="T331" s="300" t="s">
        <v>2458</v>
      </c>
      <c r="U331" s="303">
        <v>0.36080000000000001</v>
      </c>
      <c r="V331" s="300" t="s">
        <v>2458</v>
      </c>
      <c r="W331" s="307">
        <v>10.5</v>
      </c>
      <c r="X331" s="297">
        <f>(1-VLOOKUP(R331,Start!$H$33:$I$40,2,FALSE)/100)*W331</f>
        <v>8.9249999999999989</v>
      </c>
      <c r="Y331" s="297">
        <f>VLOOKUP(Q331,Start!$C$9:$D$15,2,FALSE)+VLOOKUP(Q331,Start!$C$23:$D$29,2,FALSE)</f>
        <v>33.223832923832894</v>
      </c>
      <c r="Z331" s="298">
        <f>(Y331/U331)+Start!$D$19*(VLOOKUP(Q331,Start!$M$33:$N$39,2,FALSE)/U331)+VLOOKUP(R331,Start!$C$33:$D$40,2,FALSE)</f>
        <v>112.17470322570092</v>
      </c>
      <c r="AA331" s="234"/>
      <c r="AB331" s="278"/>
    </row>
    <row r="332" spans="2:28" ht="18.75" customHeight="1" x14ac:dyDescent="0.3">
      <c r="B332" s="229"/>
      <c r="C332" s="289" t="s">
        <v>2485</v>
      </c>
      <c r="D332" s="299" t="s">
        <v>1810</v>
      </c>
      <c r="E332" s="300" t="s">
        <v>785</v>
      </c>
      <c r="F332" s="300" t="s">
        <v>1811</v>
      </c>
      <c r="G332" s="302">
        <v>22880</v>
      </c>
      <c r="H332" s="300" t="s">
        <v>1811</v>
      </c>
      <c r="I332" s="300"/>
      <c r="J332" s="306" t="s">
        <v>27</v>
      </c>
      <c r="K332" s="300" t="s">
        <v>25</v>
      </c>
      <c r="L332" s="304" t="s">
        <v>2310</v>
      </c>
      <c r="M332" s="300" t="s">
        <v>48</v>
      </c>
      <c r="N332" s="300"/>
      <c r="O332" s="300"/>
      <c r="P332" s="300" t="s">
        <v>48</v>
      </c>
      <c r="Q332" s="300" t="s">
        <v>4</v>
      </c>
      <c r="R332" s="300" t="s">
        <v>4</v>
      </c>
      <c r="S332" s="300" t="s">
        <v>2115</v>
      </c>
      <c r="T332" s="300" t="s">
        <v>2458</v>
      </c>
      <c r="U332" s="303">
        <v>0.30719999999999997</v>
      </c>
      <c r="V332" s="300" t="s">
        <v>2458</v>
      </c>
      <c r="W332" s="307">
        <v>50.5</v>
      </c>
      <c r="X332" s="297">
        <f>(1-VLOOKUP(R332,Start!$H$33:$I$40,2,FALSE)/100)*W332</f>
        <v>42.924999999999997</v>
      </c>
      <c r="Y332" s="297">
        <f>VLOOKUP(Q332,Start!$C$9:$D$15,2,FALSE)+VLOOKUP(Q332,Start!$C$23:$D$29,2,FALSE)</f>
        <v>33.223832923832894</v>
      </c>
      <c r="Z332" s="298">
        <f>(Y332/U332)+Start!$D$19*(VLOOKUP(Q332,Start!$M$33:$N$39,2,FALSE)/U332)+VLOOKUP(R332,Start!$C$33:$D$40,2,FALSE)</f>
        <v>131.57237279893522</v>
      </c>
      <c r="AA332" s="234"/>
      <c r="AB332" s="278"/>
    </row>
    <row r="333" spans="2:28" ht="18.75" customHeight="1" x14ac:dyDescent="0.3">
      <c r="B333" s="229"/>
      <c r="C333" s="289" t="s">
        <v>2485</v>
      </c>
      <c r="D333" s="299" t="s">
        <v>1812</v>
      </c>
      <c r="E333" s="300" t="s">
        <v>785</v>
      </c>
      <c r="F333" s="132" t="s">
        <v>1811</v>
      </c>
      <c r="G333" s="311">
        <v>22880</v>
      </c>
      <c r="H333" s="312" t="s">
        <v>1811</v>
      </c>
      <c r="I333" s="132"/>
      <c r="J333" s="301" t="s">
        <v>27</v>
      </c>
      <c r="K333" s="300" t="s">
        <v>26</v>
      </c>
      <c r="L333" s="304" t="s">
        <v>2310</v>
      </c>
      <c r="M333" s="300" t="s">
        <v>48</v>
      </c>
      <c r="N333" s="132"/>
      <c r="O333" s="300"/>
      <c r="P333" s="314" t="s">
        <v>48</v>
      </c>
      <c r="Q333" s="300" t="s">
        <v>4</v>
      </c>
      <c r="R333" s="300" t="s">
        <v>4</v>
      </c>
      <c r="S333" s="300" t="s">
        <v>2115</v>
      </c>
      <c r="T333" s="300" t="s">
        <v>2458</v>
      </c>
      <c r="U333" s="303">
        <v>0.30719999999999997</v>
      </c>
      <c r="V333" s="300" t="s">
        <v>2458</v>
      </c>
      <c r="W333" s="315">
        <v>50.5</v>
      </c>
      <c r="X333" s="297">
        <f>(1-VLOOKUP(R333,Start!$H$33:$I$40,2,FALSE)/100)*W333</f>
        <v>42.924999999999997</v>
      </c>
      <c r="Y333" s="297">
        <f>VLOOKUP(Q333,Start!$C$9:$D$15,2,FALSE)+VLOOKUP(Q333,Start!$C$23:$D$29,2,FALSE)</f>
        <v>33.223832923832894</v>
      </c>
      <c r="Z333" s="298">
        <f>(Y333/U333)+Start!$D$19*(VLOOKUP(Q333,Start!$M$33:$N$39,2,FALSE)/U333)+VLOOKUP(R333,Start!$C$33:$D$40,2,FALSE)</f>
        <v>131.57237279893522</v>
      </c>
      <c r="AA333" s="234"/>
      <c r="AB333" s="278"/>
    </row>
    <row r="334" spans="2:28" ht="18.75" customHeight="1" x14ac:dyDescent="0.3">
      <c r="B334" s="229"/>
      <c r="C334" s="289" t="s">
        <v>2485</v>
      </c>
      <c r="D334" s="305" t="s">
        <v>1824</v>
      </c>
      <c r="E334" s="300" t="s">
        <v>128</v>
      </c>
      <c r="F334" s="300" t="s">
        <v>1825</v>
      </c>
      <c r="G334" s="302">
        <v>52249</v>
      </c>
      <c r="H334" s="300" t="s">
        <v>603</v>
      </c>
      <c r="I334" s="300"/>
      <c r="J334" s="306" t="s">
        <v>19</v>
      </c>
      <c r="K334" s="300" t="s">
        <v>956</v>
      </c>
      <c r="L334" s="304" t="s">
        <v>2383</v>
      </c>
      <c r="M334" s="300" t="s">
        <v>6</v>
      </c>
      <c r="N334" s="300"/>
      <c r="O334" s="300"/>
      <c r="P334" s="300" t="s">
        <v>6</v>
      </c>
      <c r="Q334" s="300" t="s">
        <v>6</v>
      </c>
      <c r="R334" s="300" t="s">
        <v>6</v>
      </c>
      <c r="S334" s="300" t="s">
        <v>1981</v>
      </c>
      <c r="T334" s="300" t="s">
        <v>2458</v>
      </c>
      <c r="U334" s="303">
        <v>0.33</v>
      </c>
      <c r="V334" s="300" t="s">
        <v>2458</v>
      </c>
      <c r="W334" s="307">
        <v>27</v>
      </c>
      <c r="X334" s="297">
        <f>(1-VLOOKUP(R334,Start!$H$33:$I$40,2,FALSE)/100)*W334</f>
        <v>22.95</v>
      </c>
      <c r="Y334" s="297">
        <f>VLOOKUP(Q334,Start!$C$9:$D$15,2,FALSE)+VLOOKUP(Q334,Start!$C$23:$D$29,2,FALSE)</f>
        <v>0</v>
      </c>
      <c r="Z334" s="298">
        <f>(Y334/U334)+Start!$D$19*(VLOOKUP(Q334,Start!$M$33:$N$39,2,FALSE)/U334)+VLOOKUP(R334,Start!$C$33:$D$40,2,FALSE)</f>
        <v>1</v>
      </c>
      <c r="AA334" s="234"/>
      <c r="AB334" s="278"/>
    </row>
    <row r="335" spans="2:28" ht="18.75" customHeight="1" x14ac:dyDescent="0.3">
      <c r="B335" s="229"/>
      <c r="C335" s="289" t="s">
        <v>2485</v>
      </c>
      <c r="D335" s="305" t="s">
        <v>610</v>
      </c>
      <c r="E335" s="300" t="s">
        <v>128</v>
      </c>
      <c r="F335" s="300" t="s">
        <v>603</v>
      </c>
      <c r="G335" s="302">
        <v>52249</v>
      </c>
      <c r="H335" s="300" t="s">
        <v>604</v>
      </c>
      <c r="I335" s="300"/>
      <c r="J335" s="306" t="s">
        <v>19</v>
      </c>
      <c r="K335" s="300" t="s">
        <v>611</v>
      </c>
      <c r="L335" s="304" t="s">
        <v>2169</v>
      </c>
      <c r="M335" s="300" t="s">
        <v>7</v>
      </c>
      <c r="N335" s="300"/>
      <c r="O335" s="300"/>
      <c r="P335" s="300" t="s">
        <v>7</v>
      </c>
      <c r="Q335" s="300" t="s">
        <v>7</v>
      </c>
      <c r="R335" s="300" t="s">
        <v>96</v>
      </c>
      <c r="S335" s="300" t="s">
        <v>2115</v>
      </c>
      <c r="T335" s="300" t="s">
        <v>2458</v>
      </c>
      <c r="U335" s="303">
        <v>0.39560000000000001</v>
      </c>
      <c r="V335" s="300" t="s">
        <v>2458</v>
      </c>
      <c r="W335" s="307">
        <v>200</v>
      </c>
      <c r="X335" s="297">
        <f>(1-VLOOKUP(R335,Start!$H$33:$I$40,2,FALSE)/100)*W335</f>
        <v>178</v>
      </c>
      <c r="Y335" s="297">
        <f>VLOOKUP(Q335,Start!$C$9:$D$15,2,FALSE)+VLOOKUP(Q335,Start!$C$23:$D$29,2,FALSE)</f>
        <v>23.27</v>
      </c>
      <c r="Z335" s="298">
        <f>(Y335/U335)+Start!$D$19*(VLOOKUP(Q335,Start!$M$33:$N$39,2,FALSE)/U335)+VLOOKUP(R335,Start!$C$33:$D$40,2,FALSE)</f>
        <v>72.321031344792715</v>
      </c>
      <c r="AA335" s="234"/>
      <c r="AB335" s="278"/>
    </row>
    <row r="336" spans="2:28" ht="18.75" customHeight="1" x14ac:dyDescent="0.3">
      <c r="B336" s="229"/>
      <c r="C336" s="289" t="s">
        <v>2485</v>
      </c>
      <c r="D336" s="305" t="s">
        <v>612</v>
      </c>
      <c r="E336" s="300" t="s">
        <v>128</v>
      </c>
      <c r="F336" s="300" t="s">
        <v>603</v>
      </c>
      <c r="G336" s="302">
        <v>52249</v>
      </c>
      <c r="H336" s="300" t="s">
        <v>604</v>
      </c>
      <c r="I336" s="300"/>
      <c r="J336" s="306" t="s">
        <v>19</v>
      </c>
      <c r="K336" s="300" t="s">
        <v>613</v>
      </c>
      <c r="L336" s="304" t="s">
        <v>2170</v>
      </c>
      <c r="M336" s="300" t="s">
        <v>7</v>
      </c>
      <c r="N336" s="300"/>
      <c r="O336" s="300"/>
      <c r="P336" s="300" t="s">
        <v>7</v>
      </c>
      <c r="Q336" s="300" t="s">
        <v>7</v>
      </c>
      <c r="R336" s="300" t="s">
        <v>96</v>
      </c>
      <c r="S336" s="300" t="s">
        <v>2115</v>
      </c>
      <c r="T336" s="300" t="s">
        <v>2458</v>
      </c>
      <c r="U336" s="303">
        <v>0.39560000000000001</v>
      </c>
      <c r="V336" s="300" t="s">
        <v>2458</v>
      </c>
      <c r="W336" s="307">
        <v>200</v>
      </c>
      <c r="X336" s="297">
        <f>(1-VLOOKUP(R336,Start!$H$33:$I$40,2,FALSE)/100)*W336</f>
        <v>178</v>
      </c>
      <c r="Y336" s="297">
        <f>VLOOKUP(Q336,Start!$C$9:$D$15,2,FALSE)+VLOOKUP(Q336,Start!$C$23:$D$29,2,FALSE)</f>
        <v>23.27</v>
      </c>
      <c r="Z336" s="298">
        <f>(Y336/U336)+Start!$D$19*(VLOOKUP(Q336,Start!$M$33:$N$39,2,FALSE)/U336)+VLOOKUP(R336,Start!$C$33:$D$40,2,FALSE)</f>
        <v>72.321031344792715</v>
      </c>
      <c r="AA336" s="234"/>
      <c r="AB336" s="278"/>
    </row>
    <row r="337" spans="2:28" ht="18.75" customHeight="1" x14ac:dyDescent="0.3">
      <c r="B337" s="229"/>
      <c r="C337" s="289" t="s">
        <v>2485</v>
      </c>
      <c r="D337" s="305" t="s">
        <v>602</v>
      </c>
      <c r="E337" s="300" t="s">
        <v>128</v>
      </c>
      <c r="F337" s="300" t="s">
        <v>603</v>
      </c>
      <c r="G337" s="302">
        <v>52249</v>
      </c>
      <c r="H337" s="300" t="s">
        <v>604</v>
      </c>
      <c r="I337" s="300"/>
      <c r="J337" s="306" t="s">
        <v>19</v>
      </c>
      <c r="K337" s="300" t="s">
        <v>143</v>
      </c>
      <c r="L337" s="304" t="s">
        <v>2086</v>
      </c>
      <c r="M337" s="300" t="s">
        <v>47</v>
      </c>
      <c r="N337" s="300" t="s">
        <v>2</v>
      </c>
      <c r="O337" s="300" t="s">
        <v>605</v>
      </c>
      <c r="P337" s="300" t="s">
        <v>2</v>
      </c>
      <c r="Q337" s="300" t="s">
        <v>2</v>
      </c>
      <c r="R337" s="300" t="s">
        <v>2</v>
      </c>
      <c r="S337" s="300" t="s">
        <v>1981</v>
      </c>
      <c r="T337" s="300" t="s">
        <v>2458</v>
      </c>
      <c r="U337" s="303">
        <v>0.316</v>
      </c>
      <c r="V337" s="300" t="s">
        <v>2458</v>
      </c>
      <c r="W337" s="307">
        <v>321</v>
      </c>
      <c r="X337" s="297">
        <f>(1-VLOOKUP(R337,Start!$H$33:$I$40,2,FALSE)/100)*W337</f>
        <v>279.27</v>
      </c>
      <c r="Y337" s="297">
        <f>VLOOKUP(Q337,Start!$C$9:$D$15,2,FALSE)+VLOOKUP(Q337,Start!$C$23:$D$29,2,FALSE)</f>
        <v>3.1</v>
      </c>
      <c r="Z337" s="298">
        <f>(Y337/U337)+Start!$D$19*(VLOOKUP(Q337,Start!$M$33:$N$39,2,FALSE)/U337)+VLOOKUP(R337,Start!$C$33:$D$40,2,FALSE)</f>
        <v>42.960759493670892</v>
      </c>
      <c r="AA337" s="234"/>
      <c r="AB337" s="278"/>
    </row>
    <row r="338" spans="2:28" ht="18.75" customHeight="1" x14ac:dyDescent="0.3">
      <c r="B338" s="229"/>
      <c r="C338" s="289" t="s">
        <v>2485</v>
      </c>
      <c r="D338" s="305" t="s">
        <v>606</v>
      </c>
      <c r="E338" s="300" t="s">
        <v>128</v>
      </c>
      <c r="F338" s="300" t="s">
        <v>603</v>
      </c>
      <c r="G338" s="302">
        <v>52249</v>
      </c>
      <c r="H338" s="300" t="s">
        <v>604</v>
      </c>
      <c r="I338" s="300"/>
      <c r="J338" s="306" t="s">
        <v>19</v>
      </c>
      <c r="K338" s="300" t="s">
        <v>132</v>
      </c>
      <c r="L338" s="304" t="s">
        <v>2087</v>
      </c>
      <c r="M338" s="300" t="s">
        <v>47</v>
      </c>
      <c r="N338" s="300" t="s">
        <v>2</v>
      </c>
      <c r="O338" s="300" t="s">
        <v>605</v>
      </c>
      <c r="P338" s="300" t="s">
        <v>2</v>
      </c>
      <c r="Q338" s="300" t="s">
        <v>2</v>
      </c>
      <c r="R338" s="300" t="s">
        <v>2</v>
      </c>
      <c r="S338" s="300" t="s">
        <v>1981</v>
      </c>
      <c r="T338" s="300" t="s">
        <v>2458</v>
      </c>
      <c r="U338" s="303">
        <v>0.32079999999999997</v>
      </c>
      <c r="V338" s="300" t="s">
        <v>2458</v>
      </c>
      <c r="W338" s="307">
        <v>321</v>
      </c>
      <c r="X338" s="297">
        <f>(1-VLOOKUP(R338,Start!$H$33:$I$40,2,FALSE)/100)*W338</f>
        <v>279.27</v>
      </c>
      <c r="Y338" s="297">
        <f>VLOOKUP(Q338,Start!$C$9:$D$15,2,FALSE)+VLOOKUP(Q338,Start!$C$23:$D$29,2,FALSE)</f>
        <v>3.1</v>
      </c>
      <c r="Z338" s="298">
        <f>(Y338/U338)+Start!$D$19*(VLOOKUP(Q338,Start!$M$33:$N$39,2,FALSE)/U338)+VLOOKUP(R338,Start!$C$33:$D$40,2,FALSE)</f>
        <v>42.34339152119702</v>
      </c>
      <c r="AA338" s="234"/>
      <c r="AB338" s="278"/>
    </row>
    <row r="339" spans="2:28" ht="18.75" customHeight="1" x14ac:dyDescent="0.3">
      <c r="B339" s="229"/>
      <c r="C339" s="289" t="s">
        <v>2485</v>
      </c>
      <c r="D339" s="305" t="s">
        <v>607</v>
      </c>
      <c r="E339" s="300" t="s">
        <v>128</v>
      </c>
      <c r="F339" s="300" t="s">
        <v>603</v>
      </c>
      <c r="G339" s="302">
        <v>52249</v>
      </c>
      <c r="H339" s="300" t="s">
        <v>604</v>
      </c>
      <c r="I339" s="300"/>
      <c r="J339" s="306" t="s">
        <v>19</v>
      </c>
      <c r="K339" s="300" t="s">
        <v>136</v>
      </c>
      <c r="L339" s="304" t="s">
        <v>2088</v>
      </c>
      <c r="M339" s="300" t="s">
        <v>47</v>
      </c>
      <c r="N339" s="300" t="s">
        <v>2</v>
      </c>
      <c r="O339" s="300" t="s">
        <v>608</v>
      </c>
      <c r="P339" s="300" t="s">
        <v>2</v>
      </c>
      <c r="Q339" s="300" t="s">
        <v>2</v>
      </c>
      <c r="R339" s="300" t="s">
        <v>2</v>
      </c>
      <c r="S339" s="300" t="s">
        <v>1981</v>
      </c>
      <c r="T339" s="300" t="s">
        <v>2458</v>
      </c>
      <c r="U339" s="303">
        <v>0.33760000000000001</v>
      </c>
      <c r="V339" s="300" t="s">
        <v>2458</v>
      </c>
      <c r="W339" s="307">
        <v>663</v>
      </c>
      <c r="X339" s="297">
        <f>(1-VLOOKUP(R339,Start!$H$33:$I$40,2,FALSE)/100)*W339</f>
        <v>576.80999999999995</v>
      </c>
      <c r="Y339" s="297">
        <f>VLOOKUP(Q339,Start!$C$9:$D$15,2,FALSE)+VLOOKUP(Q339,Start!$C$23:$D$29,2,FALSE)</f>
        <v>3.1</v>
      </c>
      <c r="Z339" s="298">
        <f>(Y339/U339)+Start!$D$19*(VLOOKUP(Q339,Start!$M$33:$N$39,2,FALSE)/U339)+VLOOKUP(R339,Start!$C$33:$D$40,2,FALSE)</f>
        <v>40.320853080568725</v>
      </c>
      <c r="AA339" s="234"/>
      <c r="AB339" s="278"/>
    </row>
    <row r="340" spans="2:28" ht="18.75" customHeight="1" x14ac:dyDescent="0.3">
      <c r="B340" s="229"/>
      <c r="C340" s="289" t="s">
        <v>2485</v>
      </c>
      <c r="D340" s="305" t="s">
        <v>609</v>
      </c>
      <c r="E340" s="300" t="s">
        <v>128</v>
      </c>
      <c r="F340" s="300" t="s">
        <v>603</v>
      </c>
      <c r="G340" s="302">
        <v>52249</v>
      </c>
      <c r="H340" s="300" t="s">
        <v>604</v>
      </c>
      <c r="I340" s="300"/>
      <c r="J340" s="306" t="s">
        <v>19</v>
      </c>
      <c r="K340" s="300" t="s">
        <v>134</v>
      </c>
      <c r="L340" s="304" t="s">
        <v>2089</v>
      </c>
      <c r="M340" s="300" t="s">
        <v>47</v>
      </c>
      <c r="N340" s="300" t="s">
        <v>2</v>
      </c>
      <c r="O340" s="300" t="s">
        <v>608</v>
      </c>
      <c r="P340" s="300" t="s">
        <v>2</v>
      </c>
      <c r="Q340" s="300" t="s">
        <v>2</v>
      </c>
      <c r="R340" s="300" t="s">
        <v>2</v>
      </c>
      <c r="S340" s="300" t="s">
        <v>1981</v>
      </c>
      <c r="T340" s="300" t="s">
        <v>2458</v>
      </c>
      <c r="U340" s="303">
        <v>0.34</v>
      </c>
      <c r="V340" s="300" t="s">
        <v>2458</v>
      </c>
      <c r="W340" s="307">
        <v>656</v>
      </c>
      <c r="X340" s="297">
        <f>(1-VLOOKUP(R340,Start!$H$33:$I$40,2,FALSE)/100)*W340</f>
        <v>570.72</v>
      </c>
      <c r="Y340" s="297">
        <f>VLOOKUP(Q340,Start!$C$9:$D$15,2,FALSE)+VLOOKUP(Q340,Start!$C$23:$D$29,2,FALSE)</f>
        <v>3.1</v>
      </c>
      <c r="Z340" s="298">
        <f>(Y340/U340)+Start!$D$19*(VLOOKUP(Q340,Start!$M$33:$N$39,2,FALSE)/U340)+VLOOKUP(R340,Start!$C$33:$D$40,2,FALSE)</f>
        <v>40.048235294117646</v>
      </c>
      <c r="AA340" s="234"/>
      <c r="AB340" s="278"/>
    </row>
    <row r="341" spans="2:28" ht="18.75" customHeight="1" x14ac:dyDescent="0.3">
      <c r="B341" s="229"/>
      <c r="C341" s="289" t="s">
        <v>2485</v>
      </c>
      <c r="D341" s="299" t="s">
        <v>1829</v>
      </c>
      <c r="E341" s="335" t="s">
        <v>160</v>
      </c>
      <c r="F341" s="300" t="s">
        <v>161</v>
      </c>
      <c r="G341" s="311">
        <v>59368</v>
      </c>
      <c r="H341" s="312" t="s">
        <v>1827</v>
      </c>
      <c r="I341" s="300"/>
      <c r="J341" s="306" t="s">
        <v>19</v>
      </c>
      <c r="K341" s="300" t="s">
        <v>1830</v>
      </c>
      <c r="L341" s="304" t="s">
        <v>2117</v>
      </c>
      <c r="M341" s="300" t="s">
        <v>7</v>
      </c>
      <c r="N341" s="300"/>
      <c r="O341" s="300"/>
      <c r="P341" s="314" t="s">
        <v>7</v>
      </c>
      <c r="Q341" s="300" t="s">
        <v>7</v>
      </c>
      <c r="R341" s="300" t="s">
        <v>226</v>
      </c>
      <c r="S341" s="300" t="s">
        <v>1996</v>
      </c>
      <c r="T341" s="300" t="s">
        <v>2458</v>
      </c>
      <c r="U341" s="303">
        <v>0.41849999999999998</v>
      </c>
      <c r="V341" s="300" t="s">
        <v>2458</v>
      </c>
      <c r="W341" s="315">
        <v>55</v>
      </c>
      <c r="X341" s="297">
        <f>(1-VLOOKUP(R341,Start!$H$33:$I$40,2,FALSE)/100)*W341</f>
        <v>48.95</v>
      </c>
      <c r="Y341" s="297">
        <f>VLOOKUP(Q341,Start!$C$9:$D$15,2,FALSE)+VLOOKUP(Q341,Start!$C$23:$D$29,2,FALSE)</f>
        <v>23.27</v>
      </c>
      <c r="Z341" s="298">
        <f>(Y341/U341)+Start!$D$19*(VLOOKUP(Q341,Start!$M$33:$N$39,2,FALSE)/U341)+VLOOKUP(R341,Start!$C$33:$D$40,2,FALSE)</f>
        <v>68.918399044205501</v>
      </c>
      <c r="AA341" s="234"/>
      <c r="AB341" s="278"/>
    </row>
    <row r="342" spans="2:28" ht="18.75" customHeight="1" x14ac:dyDescent="0.3">
      <c r="B342" s="229"/>
      <c r="C342" s="289" t="s">
        <v>2485</v>
      </c>
      <c r="D342" s="299" t="s">
        <v>1831</v>
      </c>
      <c r="E342" s="335" t="s">
        <v>160</v>
      </c>
      <c r="F342" s="300" t="s">
        <v>161</v>
      </c>
      <c r="G342" s="311">
        <v>59368</v>
      </c>
      <c r="H342" s="312" t="s">
        <v>1827</v>
      </c>
      <c r="I342" s="313"/>
      <c r="J342" s="306" t="s">
        <v>19</v>
      </c>
      <c r="K342" s="300" t="s">
        <v>1832</v>
      </c>
      <c r="L342" s="304" t="s">
        <v>2117</v>
      </c>
      <c r="M342" s="300" t="s">
        <v>7</v>
      </c>
      <c r="N342" s="300"/>
      <c r="O342" s="313"/>
      <c r="P342" s="314" t="s">
        <v>7</v>
      </c>
      <c r="Q342" s="300" t="s">
        <v>7</v>
      </c>
      <c r="R342" s="300" t="s">
        <v>226</v>
      </c>
      <c r="S342" s="300" t="s">
        <v>1996</v>
      </c>
      <c r="T342" s="300" t="s">
        <v>2458</v>
      </c>
      <c r="U342" s="303">
        <v>0.41849999999999998</v>
      </c>
      <c r="V342" s="300" t="s">
        <v>2458</v>
      </c>
      <c r="W342" s="315">
        <v>55</v>
      </c>
      <c r="X342" s="297">
        <f>(1-VLOOKUP(R342,Start!$H$33:$I$40,2,FALSE)/100)*W342</f>
        <v>48.95</v>
      </c>
      <c r="Y342" s="297">
        <f>VLOOKUP(Q342,Start!$C$9:$D$15,2,FALSE)+VLOOKUP(Q342,Start!$C$23:$D$29,2,FALSE)</f>
        <v>23.27</v>
      </c>
      <c r="Z342" s="298">
        <f>(Y342/U342)+Start!$D$19*(VLOOKUP(Q342,Start!$M$33:$N$39,2,FALSE)/U342)+VLOOKUP(R342,Start!$C$33:$D$40,2,FALSE)</f>
        <v>68.918399044205501</v>
      </c>
      <c r="AA342" s="234"/>
      <c r="AB342" s="278"/>
    </row>
    <row r="343" spans="2:28" ht="18.75" customHeight="1" x14ac:dyDescent="0.3">
      <c r="B343" s="229"/>
      <c r="C343" s="289" t="s">
        <v>2485</v>
      </c>
      <c r="D343" s="299" t="s">
        <v>1826</v>
      </c>
      <c r="E343" s="317" t="s">
        <v>160</v>
      </c>
      <c r="F343" s="303" t="s">
        <v>161</v>
      </c>
      <c r="G343" s="308">
        <v>59368</v>
      </c>
      <c r="H343" s="303" t="s">
        <v>1827</v>
      </c>
      <c r="I343" s="303"/>
      <c r="J343" s="306" t="s">
        <v>19</v>
      </c>
      <c r="K343" s="303" t="s">
        <v>1828</v>
      </c>
      <c r="L343" s="304" t="s">
        <v>2117</v>
      </c>
      <c r="M343" s="303" t="s">
        <v>7</v>
      </c>
      <c r="N343" s="303"/>
      <c r="O343" s="303"/>
      <c r="P343" s="303" t="s">
        <v>7</v>
      </c>
      <c r="Q343" s="300" t="s">
        <v>7</v>
      </c>
      <c r="R343" s="300" t="s">
        <v>96</v>
      </c>
      <c r="S343" s="300" t="s">
        <v>2115</v>
      </c>
      <c r="T343" s="300" t="s">
        <v>2458</v>
      </c>
      <c r="U343" s="303">
        <v>0.30980000000000002</v>
      </c>
      <c r="V343" s="300" t="s">
        <v>2458</v>
      </c>
      <c r="W343" s="297">
        <v>55</v>
      </c>
      <c r="X343" s="297">
        <f>(1-VLOOKUP(R343,Start!$H$33:$I$40,2,FALSE)/100)*W343</f>
        <v>48.95</v>
      </c>
      <c r="Y343" s="297">
        <f>VLOOKUP(Q343,Start!$C$9:$D$15,2,FALSE)+VLOOKUP(Q343,Start!$C$23:$D$29,2,FALSE)</f>
        <v>23.27</v>
      </c>
      <c r="Z343" s="298">
        <f>(Y343/U343)+Start!$D$19*(VLOOKUP(Q343,Start!$M$33:$N$39,2,FALSE)/U343)+VLOOKUP(R343,Start!$C$33:$D$40,2,FALSE)</f>
        <v>92.073595868302121</v>
      </c>
      <c r="AA343" s="234"/>
      <c r="AB343" s="278"/>
    </row>
    <row r="344" spans="2:28" ht="18.75" customHeight="1" x14ac:dyDescent="0.3">
      <c r="B344" s="229"/>
      <c r="C344" s="289" t="s">
        <v>2485</v>
      </c>
      <c r="D344" s="305" t="s">
        <v>1833</v>
      </c>
      <c r="E344" s="300" t="s">
        <v>160</v>
      </c>
      <c r="F344" s="300" t="s">
        <v>161</v>
      </c>
      <c r="G344" s="302">
        <v>59368</v>
      </c>
      <c r="H344" s="300" t="s">
        <v>1827</v>
      </c>
      <c r="I344" s="300"/>
      <c r="J344" s="306" t="s">
        <v>19</v>
      </c>
      <c r="K344" s="300" t="s">
        <v>1834</v>
      </c>
      <c r="L344" s="304" t="s">
        <v>2117</v>
      </c>
      <c r="M344" s="132" t="s">
        <v>7</v>
      </c>
      <c r="N344" s="132"/>
      <c r="O344" s="132"/>
      <c r="P344" s="132" t="s">
        <v>7</v>
      </c>
      <c r="Q344" s="300" t="s">
        <v>7</v>
      </c>
      <c r="R344" s="300" t="s">
        <v>226</v>
      </c>
      <c r="S344" s="300" t="s">
        <v>1996</v>
      </c>
      <c r="T344" s="300" t="s">
        <v>2458</v>
      </c>
      <c r="U344" s="303">
        <v>0.41849999999999998</v>
      </c>
      <c r="V344" s="300" t="s">
        <v>2458</v>
      </c>
      <c r="W344" s="307">
        <v>355</v>
      </c>
      <c r="X344" s="297">
        <f>(1-VLOOKUP(R344,Start!$H$33:$I$40,2,FALSE)/100)*W344</f>
        <v>315.95</v>
      </c>
      <c r="Y344" s="297">
        <f>VLOOKUP(Q344,Start!$C$9:$D$15,2,FALSE)+VLOOKUP(Q344,Start!$C$23:$D$29,2,FALSE)</f>
        <v>23.27</v>
      </c>
      <c r="Z344" s="298">
        <f>(Y344/U344)+Start!$D$19*(VLOOKUP(Q344,Start!$M$33:$N$39,2,FALSE)/U344)+VLOOKUP(R344,Start!$C$33:$D$40,2,FALSE)</f>
        <v>68.918399044205501</v>
      </c>
      <c r="AA344" s="234"/>
      <c r="AB344" s="278"/>
    </row>
    <row r="345" spans="2:28" ht="18.75" customHeight="1" x14ac:dyDescent="0.3">
      <c r="B345" s="229"/>
      <c r="C345" s="289" t="s">
        <v>2485</v>
      </c>
      <c r="D345" s="299" t="s">
        <v>1837</v>
      </c>
      <c r="E345" s="300" t="s">
        <v>160</v>
      </c>
      <c r="F345" s="300" t="s">
        <v>161</v>
      </c>
      <c r="G345" s="311">
        <v>59368</v>
      </c>
      <c r="H345" s="312" t="s">
        <v>1827</v>
      </c>
      <c r="I345" s="300"/>
      <c r="J345" s="306" t="s">
        <v>19</v>
      </c>
      <c r="K345" s="300" t="s">
        <v>1838</v>
      </c>
      <c r="L345" s="304" t="s">
        <v>2052</v>
      </c>
      <c r="M345" s="300" t="s">
        <v>3</v>
      </c>
      <c r="N345" s="300"/>
      <c r="O345" s="300"/>
      <c r="P345" s="314" t="s">
        <v>3</v>
      </c>
      <c r="Q345" s="300" t="s">
        <v>3</v>
      </c>
      <c r="R345" s="300" t="s">
        <v>3</v>
      </c>
      <c r="S345" s="300" t="s">
        <v>1981</v>
      </c>
      <c r="T345" s="300" t="s">
        <v>2458</v>
      </c>
      <c r="U345" s="303">
        <v>0.38500000000000001</v>
      </c>
      <c r="V345" s="300" t="s">
        <v>2458</v>
      </c>
      <c r="W345" s="315">
        <v>614</v>
      </c>
      <c r="X345" s="297">
        <f>(1-VLOOKUP(R345,Start!$H$33:$I$40,2,FALSE)/100)*W345</f>
        <v>478.92</v>
      </c>
      <c r="Y345" s="297">
        <f>VLOOKUP(Q345,Start!$C$9:$D$15,2,FALSE)+VLOOKUP(Q345,Start!$C$23:$D$29,2,FALSE)</f>
        <v>12.53</v>
      </c>
      <c r="Z345" s="298">
        <f>(Y345/U345)+Start!$D$19*(VLOOKUP(Q345,Start!$M$33:$N$39,2,FALSE)/U345)+VLOOKUP(R345,Start!$C$33:$D$40,2,FALSE)</f>
        <v>55.378441558441551</v>
      </c>
      <c r="AA345" s="234"/>
      <c r="AB345" s="278"/>
    </row>
    <row r="346" spans="2:28" ht="18.75" customHeight="1" x14ac:dyDescent="0.3">
      <c r="B346" s="229"/>
      <c r="C346" s="289" t="s">
        <v>2485</v>
      </c>
      <c r="D346" s="305" t="s">
        <v>1835</v>
      </c>
      <c r="E346" s="300" t="s">
        <v>160</v>
      </c>
      <c r="F346" s="300" t="s">
        <v>161</v>
      </c>
      <c r="G346" s="302">
        <v>59368</v>
      </c>
      <c r="H346" s="300" t="s">
        <v>1827</v>
      </c>
      <c r="I346" s="300"/>
      <c r="J346" s="306" t="s">
        <v>19</v>
      </c>
      <c r="K346" s="300" t="s">
        <v>1836</v>
      </c>
      <c r="L346" s="304" t="s">
        <v>2052</v>
      </c>
      <c r="M346" s="300" t="s">
        <v>7</v>
      </c>
      <c r="N346" s="300"/>
      <c r="O346" s="300"/>
      <c r="P346" s="300" t="s">
        <v>7</v>
      </c>
      <c r="Q346" s="300" t="s">
        <v>7</v>
      </c>
      <c r="R346" s="300" t="s">
        <v>96</v>
      </c>
      <c r="S346" s="300" t="s">
        <v>2115</v>
      </c>
      <c r="T346" s="300" t="s">
        <v>2458</v>
      </c>
      <c r="U346" s="303">
        <v>0.33839999999999998</v>
      </c>
      <c r="V346" s="300" t="s">
        <v>2458</v>
      </c>
      <c r="W346" s="307">
        <v>112</v>
      </c>
      <c r="X346" s="297">
        <f>(1-VLOOKUP(R346,Start!$H$33:$I$40,2,FALSE)/100)*W346</f>
        <v>99.68</v>
      </c>
      <c r="Y346" s="297">
        <f>VLOOKUP(Q346,Start!$C$9:$D$15,2,FALSE)+VLOOKUP(Q346,Start!$C$23:$D$29,2,FALSE)</f>
        <v>23.27</v>
      </c>
      <c r="Z346" s="298">
        <f>(Y346/U346)+Start!$D$19*(VLOOKUP(Q346,Start!$M$33:$N$39,2,FALSE)/U346)+VLOOKUP(R346,Start!$C$33:$D$40,2,FALSE)</f>
        <v>84.376477541371173</v>
      </c>
      <c r="AA346" s="234"/>
      <c r="AB346" s="278"/>
    </row>
    <row r="347" spans="2:28" ht="18.75" customHeight="1" x14ac:dyDescent="0.3">
      <c r="B347" s="229"/>
      <c r="C347" s="289" t="s">
        <v>2485</v>
      </c>
      <c r="D347" s="299" t="s">
        <v>1854</v>
      </c>
      <c r="E347" s="300" t="s">
        <v>1852</v>
      </c>
      <c r="F347" s="132" t="s">
        <v>1853</v>
      </c>
      <c r="G347" s="311">
        <v>65203</v>
      </c>
      <c r="H347" s="312" t="s">
        <v>1849</v>
      </c>
      <c r="I347" s="132"/>
      <c r="J347" s="301" t="s">
        <v>105</v>
      </c>
      <c r="K347" s="300" t="s">
        <v>653</v>
      </c>
      <c r="L347" s="304" t="s">
        <v>2275</v>
      </c>
      <c r="M347" s="300" t="s">
        <v>7</v>
      </c>
      <c r="N347" s="132" t="s">
        <v>7</v>
      </c>
      <c r="O347" s="300" t="s">
        <v>1127</v>
      </c>
      <c r="P347" s="314" t="s">
        <v>7</v>
      </c>
      <c r="Q347" s="300" t="s">
        <v>7</v>
      </c>
      <c r="R347" s="300" t="s">
        <v>226</v>
      </c>
      <c r="S347" s="300" t="s">
        <v>1981</v>
      </c>
      <c r="T347" s="300" t="s">
        <v>2458</v>
      </c>
      <c r="U347" s="303">
        <v>0.3916</v>
      </c>
      <c r="V347" s="300" t="s">
        <v>2458</v>
      </c>
      <c r="W347" s="315">
        <v>25.015000000000001</v>
      </c>
      <c r="X347" s="297">
        <f>(1-VLOOKUP(R347,Start!$H$33:$I$40,2,FALSE)/100)*W347</f>
        <v>22.263349999999999</v>
      </c>
      <c r="Y347" s="297">
        <f>VLOOKUP(Q347,Start!$C$9:$D$15,2,FALSE)+VLOOKUP(Q347,Start!$C$23:$D$29,2,FALSE)</f>
        <v>23.27</v>
      </c>
      <c r="Z347" s="298">
        <f>(Y347/U347)+Start!$D$19*(VLOOKUP(Q347,Start!$M$33:$N$39,2,FALSE)/U347)+VLOOKUP(R347,Start!$C$33:$D$40,2,FALSE)</f>
        <v>73.54954034729316</v>
      </c>
      <c r="AA347" s="234"/>
      <c r="AB347" s="278"/>
    </row>
    <row r="348" spans="2:28" ht="18.75" customHeight="1" x14ac:dyDescent="0.3">
      <c r="B348" s="229"/>
      <c r="C348" s="289" t="s">
        <v>2485</v>
      </c>
      <c r="D348" s="299" t="s">
        <v>1855</v>
      </c>
      <c r="E348" s="300" t="s">
        <v>278</v>
      </c>
      <c r="F348" s="300" t="s">
        <v>1856</v>
      </c>
      <c r="G348" s="311">
        <v>26386</v>
      </c>
      <c r="H348" s="312" t="s">
        <v>1856</v>
      </c>
      <c r="I348" s="313"/>
      <c r="J348" s="306" t="s">
        <v>22</v>
      </c>
      <c r="K348" s="300" t="s">
        <v>99</v>
      </c>
      <c r="L348" s="304" t="s">
        <v>2117</v>
      </c>
      <c r="M348" s="300" t="s">
        <v>48</v>
      </c>
      <c r="N348" s="300"/>
      <c r="O348" s="313"/>
      <c r="P348" s="314" t="s">
        <v>48</v>
      </c>
      <c r="Q348" s="300" t="s">
        <v>4</v>
      </c>
      <c r="R348" s="300" t="s">
        <v>4</v>
      </c>
      <c r="S348" s="300" t="s">
        <v>2115</v>
      </c>
      <c r="T348" s="300" t="s">
        <v>2458</v>
      </c>
      <c r="U348" s="303">
        <v>0.30980000000000002</v>
      </c>
      <c r="V348" s="300" t="s">
        <v>2458</v>
      </c>
      <c r="W348" s="315">
        <v>56</v>
      </c>
      <c r="X348" s="297">
        <f>(1-VLOOKUP(R348,Start!$H$33:$I$40,2,FALSE)/100)*W348</f>
        <v>47.6</v>
      </c>
      <c r="Y348" s="297">
        <f>VLOOKUP(Q348,Start!$C$9:$D$15,2,FALSE)+VLOOKUP(Q348,Start!$C$23:$D$29,2,FALSE)</f>
        <v>33.223832923832894</v>
      </c>
      <c r="Z348" s="298">
        <f>(Y348/U348)+Start!$D$19*(VLOOKUP(Q348,Start!$M$33:$N$39,2,FALSE)/U348)+VLOOKUP(R348,Start!$C$33:$D$40,2,FALSE)</f>
        <v>130.4765426850642</v>
      </c>
      <c r="AA348" s="234"/>
      <c r="AB348" s="278"/>
    </row>
    <row r="349" spans="2:28" ht="18.75" customHeight="1" x14ac:dyDescent="0.3">
      <c r="B349" s="229"/>
      <c r="C349" s="289" t="s">
        <v>2485</v>
      </c>
      <c r="D349" s="299" t="s">
        <v>1857</v>
      </c>
      <c r="E349" s="300" t="s">
        <v>278</v>
      </c>
      <c r="F349" s="300" t="s">
        <v>1856</v>
      </c>
      <c r="G349" s="311">
        <v>26386</v>
      </c>
      <c r="H349" s="312" t="s">
        <v>1856</v>
      </c>
      <c r="I349" s="300"/>
      <c r="J349" s="306" t="s">
        <v>22</v>
      </c>
      <c r="K349" s="300">
        <v>1</v>
      </c>
      <c r="L349" s="304" t="s">
        <v>2053</v>
      </c>
      <c r="M349" s="300" t="s">
        <v>3</v>
      </c>
      <c r="N349" s="300"/>
      <c r="O349" s="300"/>
      <c r="P349" s="314" t="s">
        <v>3</v>
      </c>
      <c r="Q349" s="300" t="s">
        <v>3</v>
      </c>
      <c r="R349" s="300" t="s">
        <v>3</v>
      </c>
      <c r="S349" s="300" t="s">
        <v>1981</v>
      </c>
      <c r="T349" s="300" t="s">
        <v>2458</v>
      </c>
      <c r="U349" s="303">
        <v>0.36499999999999999</v>
      </c>
      <c r="V349" s="300" t="s">
        <v>2458</v>
      </c>
      <c r="W349" s="315">
        <v>757</v>
      </c>
      <c r="X349" s="297">
        <f>(1-VLOOKUP(R349,Start!$H$33:$I$40,2,FALSE)/100)*W349</f>
        <v>590.46</v>
      </c>
      <c r="Y349" s="297">
        <f>VLOOKUP(Q349,Start!$C$9:$D$15,2,FALSE)+VLOOKUP(Q349,Start!$C$23:$D$29,2,FALSE)</f>
        <v>12.53</v>
      </c>
      <c r="Z349" s="298">
        <f>(Y349/U349)+Start!$D$19*(VLOOKUP(Q349,Start!$M$33:$N$39,2,FALSE)/U349)+VLOOKUP(R349,Start!$C$33:$D$40,2,FALSE)</f>
        <v>58.341643835616438</v>
      </c>
      <c r="AA349" s="234"/>
      <c r="AB349" s="278"/>
    </row>
    <row r="350" spans="2:28" ht="18.75" customHeight="1" x14ac:dyDescent="0.3">
      <c r="B350" s="229"/>
      <c r="C350" s="289" t="s">
        <v>2485</v>
      </c>
      <c r="D350" s="299" t="s">
        <v>1871</v>
      </c>
      <c r="E350" s="300" t="s">
        <v>229</v>
      </c>
      <c r="F350" s="300" t="s">
        <v>1872</v>
      </c>
      <c r="G350" s="311">
        <v>6766</v>
      </c>
      <c r="H350" s="312" t="s">
        <v>1873</v>
      </c>
      <c r="I350" s="132"/>
      <c r="J350" s="301" t="s">
        <v>38</v>
      </c>
      <c r="K350" s="300"/>
      <c r="L350" s="304" t="s">
        <v>2278</v>
      </c>
      <c r="M350" s="300" t="s">
        <v>7</v>
      </c>
      <c r="N350" s="132"/>
      <c r="O350" s="300"/>
      <c r="P350" s="303" t="s">
        <v>7</v>
      </c>
      <c r="Q350" s="300" t="s">
        <v>7</v>
      </c>
      <c r="R350" s="300" t="s">
        <v>226</v>
      </c>
      <c r="S350" s="300" t="s">
        <v>1981</v>
      </c>
      <c r="T350" s="300" t="s">
        <v>2458</v>
      </c>
      <c r="U350" s="303">
        <v>0.38169999999999998</v>
      </c>
      <c r="V350" s="300" t="s">
        <v>2458</v>
      </c>
      <c r="W350" s="315">
        <v>40</v>
      </c>
      <c r="X350" s="297">
        <f>(1-VLOOKUP(R350,Start!$H$33:$I$40,2,FALSE)/100)*W350</f>
        <v>35.6</v>
      </c>
      <c r="Y350" s="297">
        <f>VLOOKUP(Q350,Start!$C$9:$D$15,2,FALSE)+VLOOKUP(Q350,Start!$C$23:$D$29,2,FALSE)</f>
        <v>23.27</v>
      </c>
      <c r="Z350" s="298">
        <f>(Y350/U350)+Start!$D$19*(VLOOKUP(Q350,Start!$M$33:$N$39,2,FALSE)/U350)+VLOOKUP(R350,Start!$C$33:$D$40,2,FALSE)</f>
        <v>75.418260413937645</v>
      </c>
      <c r="AA350" s="234"/>
      <c r="AB350" s="278"/>
    </row>
    <row r="351" spans="2:28" ht="18.75" customHeight="1" x14ac:dyDescent="0.3">
      <c r="B351" s="229"/>
      <c r="C351" s="289" t="s">
        <v>2485</v>
      </c>
      <c r="D351" s="299" t="s">
        <v>1878</v>
      </c>
      <c r="E351" s="300" t="s">
        <v>124</v>
      </c>
      <c r="F351" s="300" t="s">
        <v>1879</v>
      </c>
      <c r="G351" s="311">
        <v>38436</v>
      </c>
      <c r="H351" s="312" t="s">
        <v>1876</v>
      </c>
      <c r="I351" s="132"/>
      <c r="J351" s="301" t="s">
        <v>22</v>
      </c>
      <c r="K351" s="300" t="s">
        <v>1880</v>
      </c>
      <c r="L351" s="304" t="s">
        <v>2055</v>
      </c>
      <c r="M351" s="300" t="s">
        <v>47</v>
      </c>
      <c r="N351" s="132" t="s">
        <v>3</v>
      </c>
      <c r="O351" s="300" t="s">
        <v>172</v>
      </c>
      <c r="P351" s="303" t="s">
        <v>3</v>
      </c>
      <c r="Q351" s="300" t="s">
        <v>3</v>
      </c>
      <c r="R351" s="300" t="s">
        <v>3</v>
      </c>
      <c r="S351" s="300" t="s">
        <v>1981</v>
      </c>
      <c r="T351" s="300" t="s">
        <v>2458</v>
      </c>
      <c r="U351" s="303">
        <v>0.42499999999999999</v>
      </c>
      <c r="V351" s="300" t="s">
        <v>2458</v>
      </c>
      <c r="W351" s="315">
        <v>61.5</v>
      </c>
      <c r="X351" s="297">
        <f>(1-VLOOKUP(R351,Start!$H$33:$I$40,2,FALSE)/100)*W351</f>
        <v>47.97</v>
      </c>
      <c r="Y351" s="297">
        <f>VLOOKUP(Q351,Start!$C$9:$D$15,2,FALSE)+VLOOKUP(Q351,Start!$C$23:$D$29,2,FALSE)</f>
        <v>12.53</v>
      </c>
      <c r="Z351" s="298">
        <f>(Y351/U351)+Start!$D$19*(VLOOKUP(Q351,Start!$M$33:$N$39,2,FALSE)/U351)+VLOOKUP(R351,Start!$C$33:$D$40,2,FALSE)</f>
        <v>50.288705882352943</v>
      </c>
      <c r="AA351" s="234"/>
      <c r="AB351" s="278"/>
    </row>
    <row r="352" spans="2:28" ht="18.75" customHeight="1" x14ac:dyDescent="0.3">
      <c r="B352" s="229"/>
      <c r="C352" s="289" t="s">
        <v>2485</v>
      </c>
      <c r="D352" s="305" t="s">
        <v>1881</v>
      </c>
      <c r="E352" s="317" t="s">
        <v>124</v>
      </c>
      <c r="F352" s="301" t="s">
        <v>1879</v>
      </c>
      <c r="G352" s="302">
        <v>38436</v>
      </c>
      <c r="H352" s="303" t="s">
        <v>1876</v>
      </c>
      <c r="I352" s="303"/>
      <c r="J352" s="301" t="s">
        <v>22</v>
      </c>
      <c r="K352" s="301" t="s">
        <v>1882</v>
      </c>
      <c r="L352" s="304" t="s">
        <v>2055</v>
      </c>
      <c r="M352" s="300" t="s">
        <v>47</v>
      </c>
      <c r="N352" s="132" t="s">
        <v>3</v>
      </c>
      <c r="O352" s="303" t="s">
        <v>172</v>
      </c>
      <c r="P352" s="132" t="s">
        <v>3</v>
      </c>
      <c r="Q352" s="300" t="s">
        <v>3</v>
      </c>
      <c r="R352" s="300" t="s">
        <v>3</v>
      </c>
      <c r="S352" s="300" t="s">
        <v>1981</v>
      </c>
      <c r="T352" s="300" t="s">
        <v>2458</v>
      </c>
      <c r="U352" s="303">
        <v>0.42499999999999999</v>
      </c>
      <c r="V352" s="300" t="s">
        <v>2458</v>
      </c>
      <c r="W352" s="297">
        <v>61.5</v>
      </c>
      <c r="X352" s="297">
        <f>(1-VLOOKUP(R352,Start!$H$33:$I$40,2,FALSE)/100)*W352</f>
        <v>47.97</v>
      </c>
      <c r="Y352" s="297">
        <f>VLOOKUP(Q352,Start!$C$9:$D$15,2,FALSE)+VLOOKUP(Q352,Start!$C$23:$D$29,2,FALSE)</f>
        <v>12.53</v>
      </c>
      <c r="Z352" s="298">
        <f>(Y352/U352)+Start!$D$19*(VLOOKUP(Q352,Start!$M$33:$N$39,2,FALSE)/U352)+VLOOKUP(R352,Start!$C$33:$D$40,2,FALSE)</f>
        <v>50.288705882352943</v>
      </c>
      <c r="AA352" s="234"/>
      <c r="AB352" s="278"/>
    </row>
    <row r="353" spans="2:28" ht="18.75" customHeight="1" x14ac:dyDescent="0.3">
      <c r="B353" s="229"/>
      <c r="C353" s="289" t="s">
        <v>2485</v>
      </c>
      <c r="D353" s="305" t="s">
        <v>1883</v>
      </c>
      <c r="E353" s="317" t="s">
        <v>124</v>
      </c>
      <c r="F353" s="301" t="s">
        <v>655</v>
      </c>
      <c r="G353" s="302">
        <v>38436</v>
      </c>
      <c r="H353" s="303" t="s">
        <v>1876</v>
      </c>
      <c r="I353" s="303"/>
      <c r="J353" s="301" t="s">
        <v>22</v>
      </c>
      <c r="K353" s="301" t="s">
        <v>653</v>
      </c>
      <c r="L353" s="304" t="s">
        <v>2056</v>
      </c>
      <c r="M353" s="300" t="s">
        <v>3</v>
      </c>
      <c r="N353" s="132"/>
      <c r="O353" s="303"/>
      <c r="P353" s="132" t="s">
        <v>3</v>
      </c>
      <c r="Q353" s="300" t="s">
        <v>3</v>
      </c>
      <c r="R353" s="300" t="s">
        <v>3</v>
      </c>
      <c r="S353" s="300" t="s">
        <v>1981</v>
      </c>
      <c r="T353" s="300" t="s">
        <v>2458</v>
      </c>
      <c r="U353" s="303">
        <v>0.38750000000000001</v>
      </c>
      <c r="V353" s="300" t="s">
        <v>2458</v>
      </c>
      <c r="W353" s="297">
        <v>138.5</v>
      </c>
      <c r="X353" s="297">
        <f>(1-VLOOKUP(R353,Start!$H$33:$I$40,2,FALSE)/100)*W353</f>
        <v>108.03</v>
      </c>
      <c r="Y353" s="297">
        <f>VLOOKUP(Q353,Start!$C$9:$D$15,2,FALSE)+VLOOKUP(Q353,Start!$C$23:$D$29,2,FALSE)</f>
        <v>12.53</v>
      </c>
      <c r="Z353" s="298">
        <f>(Y353/U353)+Start!$D$19*(VLOOKUP(Q353,Start!$M$33:$N$39,2,FALSE)/U353)+VLOOKUP(R353,Start!$C$33:$D$40,2,FALSE)</f>
        <v>55.029548387096774</v>
      </c>
      <c r="AA353" s="234"/>
      <c r="AB353" s="278"/>
    </row>
    <row r="354" spans="2:28" ht="18.75" customHeight="1" x14ac:dyDescent="0.3">
      <c r="B354" s="229"/>
      <c r="C354" s="289" t="s">
        <v>2485</v>
      </c>
      <c r="D354" s="305" t="s">
        <v>1884</v>
      </c>
      <c r="E354" s="300" t="s">
        <v>124</v>
      </c>
      <c r="F354" s="300" t="s">
        <v>655</v>
      </c>
      <c r="G354" s="302">
        <v>38436</v>
      </c>
      <c r="H354" s="300" t="s">
        <v>1876</v>
      </c>
      <c r="I354" s="300"/>
      <c r="J354" s="306" t="s">
        <v>22</v>
      </c>
      <c r="K354" s="300" t="s">
        <v>469</v>
      </c>
      <c r="L354" s="304" t="s">
        <v>2056</v>
      </c>
      <c r="M354" s="300" t="s">
        <v>3</v>
      </c>
      <c r="N354" s="300"/>
      <c r="O354" s="300"/>
      <c r="P354" s="300" t="s">
        <v>3</v>
      </c>
      <c r="Q354" s="300" t="s">
        <v>3</v>
      </c>
      <c r="R354" s="300" t="s">
        <v>3</v>
      </c>
      <c r="S354" s="300" t="s">
        <v>1981</v>
      </c>
      <c r="T354" s="300" t="s">
        <v>2458</v>
      </c>
      <c r="U354" s="303">
        <v>0.38750000000000001</v>
      </c>
      <c r="V354" s="300" t="s">
        <v>2458</v>
      </c>
      <c r="W354" s="307">
        <v>138.5</v>
      </c>
      <c r="X354" s="297">
        <f>(1-VLOOKUP(R354,Start!$H$33:$I$40,2,FALSE)/100)*W354</f>
        <v>108.03</v>
      </c>
      <c r="Y354" s="297">
        <f>VLOOKUP(Q354,Start!$C$9:$D$15,2,FALSE)+VLOOKUP(Q354,Start!$C$23:$D$29,2,FALSE)</f>
        <v>12.53</v>
      </c>
      <c r="Z354" s="298">
        <f>(Y354/U354)+Start!$D$19*(VLOOKUP(Q354,Start!$M$33:$N$39,2,FALSE)/U354)+VLOOKUP(R354,Start!$C$33:$D$40,2,FALSE)</f>
        <v>55.029548387096774</v>
      </c>
      <c r="AA354" s="234"/>
      <c r="AB354" s="278"/>
    </row>
    <row r="355" spans="2:28" ht="18.75" customHeight="1" x14ac:dyDescent="0.3">
      <c r="B355" s="229"/>
      <c r="C355" s="289" t="s">
        <v>2485</v>
      </c>
      <c r="D355" s="299" t="s">
        <v>1895</v>
      </c>
      <c r="E355" s="300" t="s">
        <v>557</v>
      </c>
      <c r="F355" s="132" t="s">
        <v>1896</v>
      </c>
      <c r="G355" s="311">
        <v>76744</v>
      </c>
      <c r="H355" s="312" t="s">
        <v>1897</v>
      </c>
      <c r="I355" s="132" t="s">
        <v>1898</v>
      </c>
      <c r="J355" s="301" t="s">
        <v>37</v>
      </c>
      <c r="K355" s="300"/>
      <c r="L355" s="304" t="s">
        <v>2281</v>
      </c>
      <c r="M355" s="300" t="s">
        <v>47</v>
      </c>
      <c r="N355" s="132" t="s">
        <v>7</v>
      </c>
      <c r="O355" s="300" t="s">
        <v>1899</v>
      </c>
      <c r="P355" s="314" t="s">
        <v>7</v>
      </c>
      <c r="Q355" s="300" t="s">
        <v>7</v>
      </c>
      <c r="R355" s="300" t="s">
        <v>226</v>
      </c>
      <c r="S355" s="300" t="s">
        <v>1981</v>
      </c>
      <c r="T355" s="300" t="s">
        <v>2458</v>
      </c>
      <c r="U355" s="303">
        <v>0.39269999999999999</v>
      </c>
      <c r="V355" s="300" t="s">
        <v>2458</v>
      </c>
      <c r="W355" s="315">
        <v>59</v>
      </c>
      <c r="X355" s="297">
        <f>(1-VLOOKUP(R355,Start!$H$33:$I$40,2,FALSE)/100)*W355</f>
        <v>52.51</v>
      </c>
      <c r="Y355" s="297">
        <f>VLOOKUP(Q355,Start!$C$9:$D$15,2,FALSE)+VLOOKUP(Q355,Start!$C$23:$D$29,2,FALSE)</f>
        <v>23.27</v>
      </c>
      <c r="Z355" s="298">
        <f>(Y355/U355)+Start!$D$19*(VLOOKUP(Q355,Start!$M$33:$N$39,2,FALSE)/U355)+VLOOKUP(R355,Start!$C$33:$D$40,2,FALSE)</f>
        <v>73.347720906544438</v>
      </c>
      <c r="AA355" s="234"/>
      <c r="AB355" s="278"/>
    </row>
    <row r="356" spans="2:28" ht="18.75" customHeight="1" x14ac:dyDescent="0.3">
      <c r="B356" s="229"/>
      <c r="C356" s="289" t="s">
        <v>2485</v>
      </c>
      <c r="D356" s="299" t="s">
        <v>1908</v>
      </c>
      <c r="E356" s="300" t="s">
        <v>1907</v>
      </c>
      <c r="F356" s="300" t="s">
        <v>1909</v>
      </c>
      <c r="G356" s="302">
        <v>42275</v>
      </c>
      <c r="H356" s="300" t="s">
        <v>1905</v>
      </c>
      <c r="I356" s="300"/>
      <c r="J356" s="306" t="s">
        <v>19</v>
      </c>
      <c r="K356" s="300" t="s">
        <v>469</v>
      </c>
      <c r="L356" s="304" t="s">
        <v>2312</v>
      </c>
      <c r="M356" s="300" t="s">
        <v>48</v>
      </c>
      <c r="N356" s="300"/>
      <c r="O356" s="300"/>
      <c r="P356" s="314" t="s">
        <v>48</v>
      </c>
      <c r="Q356" s="300" t="s">
        <v>4</v>
      </c>
      <c r="R356" s="300" t="s">
        <v>4</v>
      </c>
      <c r="S356" s="300" t="s">
        <v>1996</v>
      </c>
      <c r="T356" s="300" t="s">
        <v>2458</v>
      </c>
      <c r="U356" s="303">
        <v>0.38</v>
      </c>
      <c r="V356" s="300" t="s">
        <v>2458</v>
      </c>
      <c r="W356" s="307">
        <v>60</v>
      </c>
      <c r="X356" s="297">
        <f>(1-VLOOKUP(R356,Start!$H$33:$I$40,2,FALSE)/100)*W356</f>
        <v>51</v>
      </c>
      <c r="Y356" s="297">
        <f>VLOOKUP(Q356,Start!$C$9:$D$15,2,FALSE)+VLOOKUP(Q356,Start!$C$23:$D$29,2,FALSE)</f>
        <v>33.223832923832894</v>
      </c>
      <c r="Z356" s="298">
        <f>(Y356/U356)+Start!$D$19*(VLOOKUP(Q356,Start!$M$33:$N$39,2,FALSE)/U356)+VLOOKUP(R356,Start!$C$33:$D$40,2,FALSE)</f>
        <v>106.55745506271813</v>
      </c>
      <c r="AA356" s="234"/>
      <c r="AB356" s="278"/>
    </row>
    <row r="357" spans="2:28" ht="18.75" customHeight="1" x14ac:dyDescent="0.3">
      <c r="B357" s="229"/>
      <c r="C357" s="289" t="s">
        <v>2485</v>
      </c>
      <c r="D357" s="299" t="s">
        <v>1916</v>
      </c>
      <c r="E357" s="300" t="s">
        <v>1917</v>
      </c>
      <c r="F357" s="300" t="s">
        <v>1918</v>
      </c>
      <c r="G357" s="311">
        <v>97080</v>
      </c>
      <c r="H357" s="312" t="s">
        <v>1913</v>
      </c>
      <c r="I357" s="300" t="s">
        <v>1919</v>
      </c>
      <c r="J357" s="306" t="s">
        <v>55</v>
      </c>
      <c r="K357" s="300" t="s">
        <v>1920</v>
      </c>
      <c r="L357" s="304" t="s">
        <v>2026</v>
      </c>
      <c r="M357" s="300" t="s">
        <v>7</v>
      </c>
      <c r="N357" s="300"/>
      <c r="O357" s="300"/>
      <c r="P357" s="314" t="s">
        <v>7</v>
      </c>
      <c r="Q357" s="300" t="s">
        <v>7</v>
      </c>
      <c r="R357" s="300" t="s">
        <v>226</v>
      </c>
      <c r="S357" s="300" t="s">
        <v>1996</v>
      </c>
      <c r="T357" s="300" t="s">
        <v>2458</v>
      </c>
      <c r="U357" s="303">
        <v>0.40949999999999998</v>
      </c>
      <c r="V357" s="300" t="s">
        <v>2458</v>
      </c>
      <c r="W357" s="315">
        <v>23</v>
      </c>
      <c r="X357" s="297">
        <f>(1-VLOOKUP(R357,Start!$H$33:$I$40,2,FALSE)/100)*W357</f>
        <v>20.47</v>
      </c>
      <c r="Y357" s="297">
        <f>VLOOKUP(Q357,Start!$C$9:$D$15,2,FALSE)+VLOOKUP(Q357,Start!$C$23:$D$29,2,FALSE)</f>
        <v>23.27</v>
      </c>
      <c r="Z357" s="298">
        <f>(Y357/U357)+Start!$D$19*(VLOOKUP(Q357,Start!$M$33:$N$39,2,FALSE)/U357)+VLOOKUP(R357,Start!$C$33:$D$40,2,FALSE)</f>
        <v>70.400122100122104</v>
      </c>
      <c r="AA357" s="234"/>
      <c r="AB357" s="278"/>
    </row>
    <row r="358" spans="2:28" ht="18.75" customHeight="1" x14ac:dyDescent="0.3">
      <c r="B358" s="229"/>
      <c r="C358" s="289" t="s">
        <v>2485</v>
      </c>
      <c r="D358" s="299" t="s">
        <v>1921</v>
      </c>
      <c r="E358" s="300" t="s">
        <v>1917</v>
      </c>
      <c r="F358" s="132" t="s">
        <v>1918</v>
      </c>
      <c r="G358" s="311">
        <v>97080</v>
      </c>
      <c r="H358" s="312" t="s">
        <v>1913</v>
      </c>
      <c r="I358" s="132" t="s">
        <v>1919</v>
      </c>
      <c r="J358" s="301" t="s">
        <v>55</v>
      </c>
      <c r="K358" s="300" t="s">
        <v>1922</v>
      </c>
      <c r="L358" s="304" t="s">
        <v>2234</v>
      </c>
      <c r="M358" s="300" t="s">
        <v>7</v>
      </c>
      <c r="N358" s="132"/>
      <c r="O358" s="300"/>
      <c r="P358" s="314" t="s">
        <v>7</v>
      </c>
      <c r="Q358" s="300" t="s">
        <v>7</v>
      </c>
      <c r="R358" s="300" t="s">
        <v>226</v>
      </c>
      <c r="S358" s="300" t="s">
        <v>1996</v>
      </c>
      <c r="T358" s="300" t="s">
        <v>2458</v>
      </c>
      <c r="U358" s="303">
        <v>0.50849999999999995</v>
      </c>
      <c r="V358" s="300" t="s">
        <v>2458</v>
      </c>
      <c r="W358" s="315">
        <v>25</v>
      </c>
      <c r="X358" s="297">
        <f>(1-VLOOKUP(R358,Start!$H$33:$I$40,2,FALSE)/100)*W358</f>
        <v>22.25</v>
      </c>
      <c r="Y358" s="297">
        <f>VLOOKUP(Q358,Start!$C$9:$D$15,2,FALSE)+VLOOKUP(Q358,Start!$C$23:$D$29,2,FALSE)</f>
        <v>23.27</v>
      </c>
      <c r="Z358" s="298">
        <f>(Y358/U358)+Start!$D$19*(VLOOKUP(Q358,Start!$M$33:$N$39,2,FALSE)/U358)+VLOOKUP(R358,Start!$C$33:$D$40,2,FALSE)</f>
        <v>56.985939036381517</v>
      </c>
      <c r="AA358" s="234"/>
      <c r="AB358" s="278"/>
    </row>
    <row r="359" spans="2:28" ht="18.75" customHeight="1" x14ac:dyDescent="0.3">
      <c r="B359" s="229"/>
      <c r="C359" s="289" t="s">
        <v>2485</v>
      </c>
      <c r="D359" s="299" t="s">
        <v>1923</v>
      </c>
      <c r="E359" s="300" t="s">
        <v>1917</v>
      </c>
      <c r="F359" s="300" t="s">
        <v>1918</v>
      </c>
      <c r="G359" s="302">
        <v>97080</v>
      </c>
      <c r="H359" s="300" t="s">
        <v>1913</v>
      </c>
      <c r="I359" s="300" t="s">
        <v>1919</v>
      </c>
      <c r="J359" s="306" t="s">
        <v>55</v>
      </c>
      <c r="K359" s="300" t="s">
        <v>1924</v>
      </c>
      <c r="L359" s="304" t="s">
        <v>2042</v>
      </c>
      <c r="M359" s="300" t="s">
        <v>7</v>
      </c>
      <c r="N359" s="300"/>
      <c r="O359" s="300"/>
      <c r="P359" s="300" t="s">
        <v>7</v>
      </c>
      <c r="Q359" s="300" t="s">
        <v>7</v>
      </c>
      <c r="R359" s="300" t="s">
        <v>226</v>
      </c>
      <c r="S359" s="300" t="s">
        <v>1996</v>
      </c>
      <c r="T359" s="300" t="s">
        <v>2458</v>
      </c>
      <c r="U359" s="303">
        <v>0.58050000000000002</v>
      </c>
      <c r="V359" s="300" t="s">
        <v>2458</v>
      </c>
      <c r="W359" s="307">
        <v>29.5</v>
      </c>
      <c r="X359" s="297">
        <f>(1-VLOOKUP(R359,Start!$H$33:$I$40,2,FALSE)/100)*W359</f>
        <v>26.254999999999999</v>
      </c>
      <c r="Y359" s="297">
        <f>VLOOKUP(Q359,Start!$C$9:$D$15,2,FALSE)+VLOOKUP(Q359,Start!$C$23:$D$29,2,FALSE)</f>
        <v>23.27</v>
      </c>
      <c r="Z359" s="298">
        <f>(Y359/U359)+Start!$D$19*(VLOOKUP(Q359,Start!$M$33:$N$39,2,FALSE)/U359)+VLOOKUP(R359,Start!$C$33:$D$40,2,FALSE)</f>
        <v>50.103962101636519</v>
      </c>
      <c r="AA359" s="234"/>
      <c r="AB359" s="278"/>
    </row>
    <row r="360" spans="2:28" ht="18.75" customHeight="1" x14ac:dyDescent="0.3">
      <c r="B360" s="229"/>
      <c r="C360" s="289" t="s">
        <v>2485</v>
      </c>
      <c r="D360" s="299" t="s">
        <v>1925</v>
      </c>
      <c r="E360" s="300" t="s">
        <v>1917</v>
      </c>
      <c r="F360" s="300" t="s">
        <v>1918</v>
      </c>
      <c r="G360" s="311">
        <v>97080</v>
      </c>
      <c r="H360" s="312" t="s">
        <v>1913</v>
      </c>
      <c r="I360" s="313" t="s">
        <v>1919</v>
      </c>
      <c r="J360" s="306" t="s">
        <v>55</v>
      </c>
      <c r="K360" s="300" t="s">
        <v>1926</v>
      </c>
      <c r="L360" s="304" t="s">
        <v>1983</v>
      </c>
      <c r="M360" s="300" t="s">
        <v>7</v>
      </c>
      <c r="N360" s="300"/>
      <c r="O360" s="313"/>
      <c r="P360" s="314" t="s">
        <v>7</v>
      </c>
      <c r="Q360" s="300" t="s">
        <v>7</v>
      </c>
      <c r="R360" s="300" t="s">
        <v>226</v>
      </c>
      <c r="S360" s="300" t="s">
        <v>1996</v>
      </c>
      <c r="T360" s="300" t="s">
        <v>2458</v>
      </c>
      <c r="U360" s="303">
        <v>0.5625</v>
      </c>
      <c r="V360" s="300" t="s">
        <v>2458</v>
      </c>
      <c r="W360" s="315">
        <v>44.5</v>
      </c>
      <c r="X360" s="297">
        <f>(1-VLOOKUP(R360,Start!$H$33:$I$40,2,FALSE)/100)*W360</f>
        <v>39.605000000000004</v>
      </c>
      <c r="Y360" s="297">
        <f>VLOOKUP(Q360,Start!$C$9:$D$15,2,FALSE)+VLOOKUP(Q360,Start!$C$23:$D$29,2,FALSE)</f>
        <v>23.27</v>
      </c>
      <c r="Z360" s="298">
        <f>(Y360/U360)+Start!$D$19*(VLOOKUP(Q360,Start!$M$33:$N$39,2,FALSE)/U360)+VLOOKUP(R360,Start!$C$33:$D$40,2,FALSE)</f>
        <v>51.659288888888888</v>
      </c>
      <c r="AA360" s="234"/>
      <c r="AB360" s="278"/>
    </row>
    <row r="361" spans="2:28" ht="18.75" customHeight="1" x14ac:dyDescent="0.3">
      <c r="B361" s="229"/>
      <c r="C361" s="289" t="s">
        <v>2485</v>
      </c>
      <c r="D361" s="305" t="s">
        <v>1941</v>
      </c>
      <c r="E361" s="300" t="s">
        <v>875</v>
      </c>
      <c r="F361" s="300" t="s">
        <v>1942</v>
      </c>
      <c r="G361" s="302">
        <v>39326</v>
      </c>
      <c r="H361" s="300" t="s">
        <v>1942</v>
      </c>
      <c r="I361" s="300"/>
      <c r="J361" s="306" t="s">
        <v>38</v>
      </c>
      <c r="K361" s="300" t="s">
        <v>1942</v>
      </c>
      <c r="L361" s="304" t="s">
        <v>2083</v>
      </c>
      <c r="M361" s="300" t="s">
        <v>7</v>
      </c>
      <c r="N361" s="300"/>
      <c r="O361" s="300"/>
      <c r="P361" s="300" t="s">
        <v>7</v>
      </c>
      <c r="Q361" s="300" t="s">
        <v>7</v>
      </c>
      <c r="R361" s="300" t="s">
        <v>226</v>
      </c>
      <c r="S361" s="300" t="s">
        <v>1981</v>
      </c>
      <c r="T361" s="300" t="s">
        <v>2458</v>
      </c>
      <c r="U361" s="303">
        <v>0.38059999999999999</v>
      </c>
      <c r="V361" s="300" t="s">
        <v>2458</v>
      </c>
      <c r="W361" s="307">
        <v>27</v>
      </c>
      <c r="X361" s="297">
        <f>(1-VLOOKUP(R361,Start!$H$33:$I$40,2,FALSE)/100)*W361</f>
        <v>24.03</v>
      </c>
      <c r="Y361" s="297">
        <f>VLOOKUP(Q361,Start!$C$9:$D$15,2,FALSE)+VLOOKUP(Q361,Start!$C$23:$D$29,2,FALSE)</f>
        <v>23.27</v>
      </c>
      <c r="Z361" s="298">
        <f>(Y361/U361)+Start!$D$19*(VLOOKUP(Q361,Start!$M$33:$N$39,2,FALSE)/U361)+VLOOKUP(R361,Start!$C$33:$D$40,2,FALSE)</f>
        <v>75.631897004729382</v>
      </c>
      <c r="AA361" s="234"/>
      <c r="AB361" s="278"/>
    </row>
    <row r="362" spans="2:28" ht="18.75" customHeight="1" x14ac:dyDescent="0.3">
      <c r="B362" s="229"/>
      <c r="C362" s="289" t="s">
        <v>2485</v>
      </c>
      <c r="D362" s="305" t="s">
        <v>1945</v>
      </c>
      <c r="E362" s="317" t="s">
        <v>329</v>
      </c>
      <c r="F362" s="303" t="s">
        <v>1943</v>
      </c>
      <c r="G362" s="308">
        <v>85406</v>
      </c>
      <c r="H362" s="303" t="s">
        <v>1943</v>
      </c>
      <c r="I362" s="303" t="s">
        <v>1944</v>
      </c>
      <c r="J362" s="301" t="s">
        <v>55</v>
      </c>
      <c r="K362" s="303" t="s">
        <v>1946</v>
      </c>
      <c r="L362" s="304" t="s">
        <v>2053</v>
      </c>
      <c r="M362" s="309" t="s">
        <v>48</v>
      </c>
      <c r="N362" s="309"/>
      <c r="O362" s="132"/>
      <c r="P362" s="132" t="s">
        <v>48</v>
      </c>
      <c r="Q362" s="300" t="s">
        <v>4</v>
      </c>
      <c r="R362" s="300" t="s">
        <v>4</v>
      </c>
      <c r="S362" s="300" t="s">
        <v>2115</v>
      </c>
      <c r="T362" s="300" t="s">
        <v>2458</v>
      </c>
      <c r="U362" s="303">
        <v>0.31759999999999999</v>
      </c>
      <c r="V362" s="300" t="s">
        <v>2458</v>
      </c>
      <c r="W362" s="297">
        <v>46</v>
      </c>
      <c r="X362" s="297">
        <f>(1-VLOOKUP(R362,Start!$H$33:$I$40,2,FALSE)/100)*W362</f>
        <v>39.1</v>
      </c>
      <c r="Y362" s="297">
        <f>VLOOKUP(Q362,Start!$C$9:$D$15,2,FALSE)+VLOOKUP(Q362,Start!$C$23:$D$29,2,FALSE)</f>
        <v>33.223832923832894</v>
      </c>
      <c r="Z362" s="298">
        <f>(Y362/U362)+Start!$D$19*(VLOOKUP(Q362,Start!$M$33:$N$39,2,FALSE)/U362)+VLOOKUP(R362,Start!$C$33:$D$40,2,FALSE)</f>
        <v>127.29670316068292</v>
      </c>
      <c r="AA362" s="234"/>
      <c r="AB362" s="278"/>
    </row>
    <row r="363" spans="2:28" ht="18.75" customHeight="1" x14ac:dyDescent="0.3">
      <c r="B363" s="229"/>
      <c r="C363" s="289" t="s">
        <v>2485</v>
      </c>
      <c r="D363" s="305" t="s">
        <v>1947</v>
      </c>
      <c r="E363" s="317" t="s">
        <v>329</v>
      </c>
      <c r="F363" s="301" t="s">
        <v>1943</v>
      </c>
      <c r="G363" s="302">
        <v>85406</v>
      </c>
      <c r="H363" s="303" t="s">
        <v>1943</v>
      </c>
      <c r="I363" s="303" t="s">
        <v>1944</v>
      </c>
      <c r="J363" s="301" t="s">
        <v>55</v>
      </c>
      <c r="K363" s="301" t="s">
        <v>1948</v>
      </c>
      <c r="L363" s="304" t="s">
        <v>1989</v>
      </c>
      <c r="M363" s="300" t="s">
        <v>47</v>
      </c>
      <c r="N363" s="132" t="s">
        <v>3</v>
      </c>
      <c r="O363" s="303" t="s">
        <v>332</v>
      </c>
      <c r="P363" s="300" t="s">
        <v>3</v>
      </c>
      <c r="Q363" s="300" t="s">
        <v>3</v>
      </c>
      <c r="R363" s="300" t="s">
        <v>3</v>
      </c>
      <c r="S363" s="300" t="s">
        <v>1981</v>
      </c>
      <c r="T363" s="300" t="s">
        <v>2458</v>
      </c>
      <c r="U363" s="303">
        <v>0.45250000000000001</v>
      </c>
      <c r="V363" s="300" t="s">
        <v>2458</v>
      </c>
      <c r="W363" s="297">
        <v>472</v>
      </c>
      <c r="X363" s="297">
        <f>(1-VLOOKUP(R363,Start!$H$33:$I$40,2,FALSE)/100)*W363</f>
        <v>368.16</v>
      </c>
      <c r="Y363" s="297">
        <f>VLOOKUP(Q363,Start!$C$9:$D$15,2,FALSE)+VLOOKUP(Q363,Start!$C$23:$D$29,2,FALSE)</f>
        <v>12.53</v>
      </c>
      <c r="Z363" s="298">
        <f>(Y363/U363)+Start!$D$19*(VLOOKUP(Q363,Start!$M$33:$N$39,2,FALSE)/U363)+VLOOKUP(R363,Start!$C$33:$D$40,2,FALSE)</f>
        <v>47.311491712707181</v>
      </c>
      <c r="AA363" s="234"/>
      <c r="AB363" s="278"/>
    </row>
    <row r="364" spans="2:28" ht="18.75" customHeight="1" x14ac:dyDescent="0.3">
      <c r="B364" s="229"/>
      <c r="C364" s="289" t="s">
        <v>2485</v>
      </c>
      <c r="D364" s="299" t="s">
        <v>1957</v>
      </c>
      <c r="E364" s="300" t="s">
        <v>1950</v>
      </c>
      <c r="F364" s="300" t="s">
        <v>36</v>
      </c>
      <c r="G364" s="302">
        <v>53910</v>
      </c>
      <c r="H364" s="300" t="s">
        <v>1952</v>
      </c>
      <c r="I364" s="300" t="s">
        <v>1953</v>
      </c>
      <c r="J364" s="306" t="s">
        <v>19</v>
      </c>
      <c r="K364" s="300" t="s">
        <v>1958</v>
      </c>
      <c r="L364" s="304" t="s">
        <v>2282</v>
      </c>
      <c r="M364" s="300" t="s">
        <v>7</v>
      </c>
      <c r="N364" s="300"/>
      <c r="O364" s="300"/>
      <c r="P364" s="300" t="s">
        <v>7</v>
      </c>
      <c r="Q364" s="300" t="s">
        <v>7</v>
      </c>
      <c r="R364" s="300" t="s">
        <v>226</v>
      </c>
      <c r="S364" s="300" t="s">
        <v>1981</v>
      </c>
      <c r="T364" s="300" t="s">
        <v>2458</v>
      </c>
      <c r="U364" s="303">
        <v>0.38059999999999999</v>
      </c>
      <c r="V364" s="300" t="s">
        <v>2458</v>
      </c>
      <c r="W364" s="307">
        <v>15.1</v>
      </c>
      <c r="X364" s="297">
        <f>(1-VLOOKUP(R364,Start!$H$33:$I$40,2,FALSE)/100)*W364</f>
        <v>13.439</v>
      </c>
      <c r="Y364" s="297">
        <f>VLOOKUP(Q364,Start!$C$9:$D$15,2,FALSE)+VLOOKUP(Q364,Start!$C$23:$D$29,2,FALSE)</f>
        <v>23.27</v>
      </c>
      <c r="Z364" s="298">
        <f>(Y364/U364)+Start!$D$19*(VLOOKUP(Q364,Start!$M$33:$N$39,2,FALSE)/U364)+VLOOKUP(R364,Start!$C$33:$D$40,2,FALSE)</f>
        <v>75.631897004729382</v>
      </c>
      <c r="AA364" s="234"/>
      <c r="AB364" s="278"/>
    </row>
    <row r="365" spans="2:28" ht="18.75" customHeight="1" x14ac:dyDescent="0.3">
      <c r="B365" s="229"/>
      <c r="C365" s="289" t="s">
        <v>2485</v>
      </c>
      <c r="D365" s="305" t="s">
        <v>1949</v>
      </c>
      <c r="E365" s="317" t="s">
        <v>1950</v>
      </c>
      <c r="F365" s="303" t="s">
        <v>1951</v>
      </c>
      <c r="G365" s="308">
        <v>53909</v>
      </c>
      <c r="H365" s="303" t="s">
        <v>1952</v>
      </c>
      <c r="I365" s="303" t="s">
        <v>1953</v>
      </c>
      <c r="J365" s="301" t="s">
        <v>19</v>
      </c>
      <c r="K365" s="303" t="s">
        <v>1954</v>
      </c>
      <c r="L365" s="304" t="s">
        <v>2084</v>
      </c>
      <c r="M365" s="303" t="s">
        <v>7</v>
      </c>
      <c r="N365" s="300" t="s">
        <v>1955</v>
      </c>
      <c r="O365" s="313" t="s">
        <v>1956</v>
      </c>
      <c r="P365" s="132" t="s">
        <v>2</v>
      </c>
      <c r="Q365" s="300" t="s">
        <v>2</v>
      </c>
      <c r="R365" s="300" t="s">
        <v>2</v>
      </c>
      <c r="S365" s="300" t="s">
        <v>1981</v>
      </c>
      <c r="T365" s="300" t="s">
        <v>2458</v>
      </c>
      <c r="U365" s="303">
        <v>0.31359999999999999</v>
      </c>
      <c r="V365" s="300" t="s">
        <v>2458</v>
      </c>
      <c r="W365" s="297">
        <v>19.5</v>
      </c>
      <c r="X365" s="297">
        <f>(1-VLOOKUP(R365,Start!$H$33:$I$40,2,FALSE)/100)*W365</f>
        <v>16.965</v>
      </c>
      <c r="Y365" s="297">
        <f>VLOOKUP(Q365,Start!$C$9:$D$15,2,FALSE)+VLOOKUP(Q365,Start!$C$23:$D$29,2,FALSE)</f>
        <v>3.1</v>
      </c>
      <c r="Z365" s="298">
        <f>(Y365/U365)+Start!$D$19*(VLOOKUP(Q365,Start!$M$33:$N$39,2,FALSE)/U365)+VLOOKUP(R365,Start!$C$33:$D$40,2,FALSE)</f>
        <v>43.276530612244912</v>
      </c>
      <c r="AA365" s="234"/>
      <c r="AB365" s="278"/>
    </row>
    <row r="366" spans="2:28" ht="18.75" customHeight="1" x14ac:dyDescent="0.3">
      <c r="B366" s="229"/>
      <c r="C366" s="289" t="s">
        <v>2485</v>
      </c>
      <c r="D366" s="305" t="s">
        <v>100</v>
      </c>
      <c r="E366" s="300" t="s">
        <v>95</v>
      </c>
      <c r="F366" s="300" t="s">
        <v>101</v>
      </c>
      <c r="G366" s="302">
        <v>86152</v>
      </c>
      <c r="H366" s="300" t="s">
        <v>97</v>
      </c>
      <c r="I366" s="300" t="s">
        <v>102</v>
      </c>
      <c r="J366" s="306" t="s">
        <v>55</v>
      </c>
      <c r="K366" s="300" t="s">
        <v>103</v>
      </c>
      <c r="L366" s="304" t="s">
        <v>2121</v>
      </c>
      <c r="M366" s="300" t="s">
        <v>47</v>
      </c>
      <c r="N366" s="300" t="s">
        <v>7</v>
      </c>
      <c r="O366" s="300" t="s">
        <v>104</v>
      </c>
      <c r="P366" s="300" t="s">
        <v>7</v>
      </c>
      <c r="Q366" s="300" t="s">
        <v>7</v>
      </c>
      <c r="R366" s="300" t="s">
        <v>226</v>
      </c>
      <c r="S366" s="300" t="s">
        <v>1981</v>
      </c>
      <c r="T366" s="300" t="s">
        <v>2458</v>
      </c>
      <c r="U366" s="303">
        <v>0.35859999999999997</v>
      </c>
      <c r="V366" s="300" t="s">
        <v>2458</v>
      </c>
      <c r="W366" s="307">
        <v>20.399999999999999</v>
      </c>
      <c r="X366" s="297">
        <f>(1-VLOOKUP(R366,Start!$H$33:$I$40,2,FALSE)/100)*W366</f>
        <v>18.155999999999999</v>
      </c>
      <c r="Y366" s="297">
        <f>VLOOKUP(Q366,Start!$C$9:$D$15,2,FALSE)+VLOOKUP(Q366,Start!$C$23:$D$29,2,FALSE)</f>
        <v>23.27</v>
      </c>
      <c r="Z366" s="298">
        <f>(Y366/U366)+Start!$D$19*(VLOOKUP(Q366,Start!$M$33:$N$39,2,FALSE)/U366)+VLOOKUP(R366,Start!$C$33:$D$40,2,FALSE)</f>
        <v>80.179866146123814</v>
      </c>
      <c r="AA366" s="234"/>
      <c r="AB366" s="278"/>
    </row>
    <row r="367" spans="2:28" ht="18.75" customHeight="1" x14ac:dyDescent="0.3">
      <c r="B367" s="229"/>
      <c r="C367" s="289" t="s">
        <v>2485</v>
      </c>
      <c r="D367" s="299" t="s">
        <v>110</v>
      </c>
      <c r="E367" s="300" t="s">
        <v>111</v>
      </c>
      <c r="F367" s="300" t="s">
        <v>112</v>
      </c>
      <c r="G367" s="311">
        <v>36433</v>
      </c>
      <c r="H367" s="312" t="s">
        <v>113</v>
      </c>
      <c r="I367" s="313"/>
      <c r="J367" s="306" t="s">
        <v>77</v>
      </c>
      <c r="K367" s="313" t="s">
        <v>112</v>
      </c>
      <c r="L367" s="304" t="s">
        <v>2039</v>
      </c>
      <c r="M367" s="300" t="s">
        <v>47</v>
      </c>
      <c r="N367" s="300" t="s">
        <v>114</v>
      </c>
      <c r="O367" s="313" t="s">
        <v>115</v>
      </c>
      <c r="P367" s="314" t="s">
        <v>7</v>
      </c>
      <c r="Q367" s="300" t="s">
        <v>7</v>
      </c>
      <c r="R367" s="300" t="s">
        <v>226</v>
      </c>
      <c r="S367" s="300" t="s">
        <v>1981</v>
      </c>
      <c r="T367" s="300" t="s">
        <v>2458</v>
      </c>
      <c r="U367" s="303">
        <v>0.37840000000000001</v>
      </c>
      <c r="V367" s="300" t="s">
        <v>2458</v>
      </c>
      <c r="W367" s="315">
        <v>9.6999999999999993</v>
      </c>
      <c r="X367" s="297">
        <f>(1-VLOOKUP(R367,Start!$H$33:$I$40,2,FALSE)/100)*W367</f>
        <v>8.6329999999999991</v>
      </c>
      <c r="Y367" s="297">
        <f>VLOOKUP(Q367,Start!$C$9:$D$15,2,FALSE)+VLOOKUP(Q367,Start!$C$23:$D$29,2,FALSE)</f>
        <v>23.27</v>
      </c>
      <c r="Z367" s="298">
        <f>(Y367/U367)+Start!$D$19*(VLOOKUP(Q367,Start!$M$33:$N$39,2,FALSE)/U367)+VLOOKUP(R367,Start!$C$33:$D$40,2,FALSE)</f>
        <v>76.062896405919659</v>
      </c>
      <c r="AA367" s="234"/>
      <c r="AB367" s="278"/>
    </row>
    <row r="368" spans="2:28" ht="18.75" customHeight="1" x14ac:dyDescent="0.3">
      <c r="B368" s="229"/>
      <c r="C368" s="289" t="s">
        <v>2485</v>
      </c>
      <c r="D368" s="305" t="s">
        <v>232</v>
      </c>
      <c r="E368" s="300" t="s">
        <v>233</v>
      </c>
      <c r="F368" s="300" t="s">
        <v>233</v>
      </c>
      <c r="G368" s="302">
        <v>6749</v>
      </c>
      <c r="H368" s="300" t="s">
        <v>234</v>
      </c>
      <c r="I368" s="300" t="s">
        <v>235</v>
      </c>
      <c r="J368" s="306" t="s">
        <v>38</v>
      </c>
      <c r="K368" s="300"/>
      <c r="L368" s="304" t="s">
        <v>2271</v>
      </c>
      <c r="M368" s="300" t="s">
        <v>6</v>
      </c>
      <c r="N368" s="300" t="s">
        <v>6</v>
      </c>
      <c r="O368" s="300" t="s">
        <v>236</v>
      </c>
      <c r="P368" s="300" t="s">
        <v>6</v>
      </c>
      <c r="Q368" s="300" t="s">
        <v>6</v>
      </c>
      <c r="R368" s="300" t="s">
        <v>6</v>
      </c>
      <c r="S368" s="300" t="s">
        <v>1981</v>
      </c>
      <c r="T368" s="300" t="s">
        <v>2458</v>
      </c>
      <c r="U368" s="303">
        <v>0.33</v>
      </c>
      <c r="V368" s="300" t="s">
        <v>2458</v>
      </c>
      <c r="W368" s="307">
        <v>9.9</v>
      </c>
      <c r="X368" s="297">
        <f>(1-VLOOKUP(R368,Start!$H$33:$I$40,2,FALSE)/100)*W368</f>
        <v>8.4150000000000009</v>
      </c>
      <c r="Y368" s="297">
        <f>VLOOKUP(Q368,Start!$C$9:$D$15,2,FALSE)+VLOOKUP(Q368,Start!$C$23:$D$29,2,FALSE)</f>
        <v>0</v>
      </c>
      <c r="Z368" s="298">
        <f>(Y368/U368)+Start!$D$19*(VLOOKUP(Q368,Start!$M$33:$N$39,2,FALSE)/U368)+VLOOKUP(R368,Start!$C$33:$D$40,2,FALSE)</f>
        <v>1</v>
      </c>
      <c r="AA368" s="234"/>
      <c r="AB368" s="278"/>
    </row>
    <row r="369" spans="2:28" ht="18.75" customHeight="1" x14ac:dyDescent="0.3">
      <c r="B369" s="229"/>
      <c r="C369" s="289" t="s">
        <v>2485</v>
      </c>
      <c r="D369" s="299" t="s">
        <v>237</v>
      </c>
      <c r="E369" s="300" t="s">
        <v>238</v>
      </c>
      <c r="F369" s="300" t="s">
        <v>239</v>
      </c>
      <c r="G369" s="302">
        <v>71032</v>
      </c>
      <c r="H369" s="300" t="s">
        <v>240</v>
      </c>
      <c r="I369" s="132" t="s">
        <v>241</v>
      </c>
      <c r="J369" s="306" t="s">
        <v>20</v>
      </c>
      <c r="K369" s="300" t="s">
        <v>242</v>
      </c>
      <c r="L369" s="304" t="s">
        <v>2336</v>
      </c>
      <c r="M369" s="132" t="s">
        <v>6</v>
      </c>
      <c r="N369" s="132"/>
      <c r="O369" s="132"/>
      <c r="P369" s="314" t="s">
        <v>6</v>
      </c>
      <c r="Q369" s="300" t="s">
        <v>6</v>
      </c>
      <c r="R369" s="300" t="s">
        <v>6</v>
      </c>
      <c r="S369" s="300" t="s">
        <v>1981</v>
      </c>
      <c r="T369" s="300" t="s">
        <v>2458</v>
      </c>
      <c r="U369" s="303">
        <v>0.33</v>
      </c>
      <c r="V369" s="300" t="s">
        <v>2458</v>
      </c>
      <c r="W369" s="307">
        <v>9.5</v>
      </c>
      <c r="X369" s="297">
        <f>(1-VLOOKUP(R369,Start!$H$33:$I$40,2,FALSE)/100)*W369</f>
        <v>8.0749999999999993</v>
      </c>
      <c r="Y369" s="297">
        <f>VLOOKUP(Q369,Start!$C$9:$D$15,2,FALSE)+VLOOKUP(Q369,Start!$C$23:$D$29,2,FALSE)</f>
        <v>0</v>
      </c>
      <c r="Z369" s="298">
        <f>(Y369/U369)+Start!$D$19*(VLOOKUP(Q369,Start!$M$33:$N$39,2,FALSE)/U369)+VLOOKUP(R369,Start!$C$33:$D$40,2,FALSE)</f>
        <v>1</v>
      </c>
      <c r="AA369" s="234"/>
      <c r="AB369" s="278"/>
    </row>
    <row r="370" spans="2:28" ht="18.75" customHeight="1" x14ac:dyDescent="0.3">
      <c r="B370" s="229"/>
      <c r="C370" s="289" t="s">
        <v>2485</v>
      </c>
      <c r="D370" s="299" t="s">
        <v>299</v>
      </c>
      <c r="E370" s="300" t="s">
        <v>294</v>
      </c>
      <c r="F370" s="132" t="s">
        <v>300</v>
      </c>
      <c r="G370" s="311">
        <v>28219</v>
      </c>
      <c r="H370" s="312" t="s">
        <v>296</v>
      </c>
      <c r="I370" s="132" t="s">
        <v>301</v>
      </c>
      <c r="J370" s="301" t="s">
        <v>296</v>
      </c>
      <c r="K370" s="300" t="s">
        <v>300</v>
      </c>
      <c r="L370" s="304" t="s">
        <v>302</v>
      </c>
      <c r="M370" s="300" t="s">
        <v>6</v>
      </c>
      <c r="N370" s="132"/>
      <c r="O370" s="300"/>
      <c r="P370" s="314" t="s">
        <v>6</v>
      </c>
      <c r="Q370" s="300" t="s">
        <v>6</v>
      </c>
      <c r="R370" s="300" t="s">
        <v>6</v>
      </c>
      <c r="S370" s="300" t="s">
        <v>1981</v>
      </c>
      <c r="T370" s="300" t="s">
        <v>2458</v>
      </c>
      <c r="U370" s="303">
        <v>0.33</v>
      </c>
      <c r="V370" s="300" t="s">
        <v>2458</v>
      </c>
      <c r="W370" s="315">
        <v>44</v>
      </c>
      <c r="X370" s="297">
        <f>(1-VLOOKUP(R370,Start!$H$33:$I$40,2,FALSE)/100)*W370</f>
        <v>37.4</v>
      </c>
      <c r="Y370" s="297">
        <f>VLOOKUP(Q370,Start!$C$9:$D$15,2,FALSE)+VLOOKUP(Q370,Start!$C$23:$D$29,2,FALSE)</f>
        <v>0</v>
      </c>
      <c r="Z370" s="298">
        <f>(Y370/U370)+Start!$D$19*(VLOOKUP(Q370,Start!$M$33:$N$39,2,FALSE)/U370)+VLOOKUP(R370,Start!$C$33:$D$40,2,FALSE)</f>
        <v>1</v>
      </c>
      <c r="AA370" s="234"/>
      <c r="AB370" s="278"/>
    </row>
    <row r="371" spans="2:28" ht="18.75" customHeight="1" x14ac:dyDescent="0.3">
      <c r="B371" s="229"/>
      <c r="C371" s="289" t="s">
        <v>2485</v>
      </c>
      <c r="D371" s="299" t="s">
        <v>414</v>
      </c>
      <c r="E371" s="317" t="s">
        <v>415</v>
      </c>
      <c r="F371" s="303" t="s">
        <v>416</v>
      </c>
      <c r="G371" s="308">
        <v>66763</v>
      </c>
      <c r="H371" s="303" t="s">
        <v>417</v>
      </c>
      <c r="I371" s="303" t="s">
        <v>418</v>
      </c>
      <c r="J371" s="306" t="s">
        <v>213</v>
      </c>
      <c r="K371" s="303"/>
      <c r="L371" s="304" t="s">
        <v>2313</v>
      </c>
      <c r="M371" s="303" t="s">
        <v>419</v>
      </c>
      <c r="N371" s="303" t="s">
        <v>420</v>
      </c>
      <c r="O371" s="303" t="s">
        <v>421</v>
      </c>
      <c r="P371" s="309" t="s">
        <v>214</v>
      </c>
      <c r="Q371" s="300" t="s">
        <v>7</v>
      </c>
      <c r="R371" s="300" t="s">
        <v>226</v>
      </c>
      <c r="S371" s="300" t="s">
        <v>1981</v>
      </c>
      <c r="T371" s="300" t="s">
        <v>2458</v>
      </c>
      <c r="U371" s="303">
        <v>0.39600000000000002</v>
      </c>
      <c r="V371" s="303" t="s">
        <v>2461</v>
      </c>
      <c r="W371" s="310">
        <v>85</v>
      </c>
      <c r="X371" s="297">
        <f>(1-VLOOKUP(R371,Start!$H$33:$I$40,2,FALSE)/100)*W371</f>
        <v>75.650000000000006</v>
      </c>
      <c r="Y371" s="297">
        <f>VLOOKUP(Q371,Start!$C$9:$D$15,2,FALSE)+VLOOKUP(Q371,Start!$C$23:$D$29,2,FALSE)</f>
        <v>23.27</v>
      </c>
      <c r="Z371" s="298">
        <f>(Y371/U371)+Start!$D$19*(VLOOKUP(Q371,Start!$M$33:$N$39,2,FALSE)/U371)+VLOOKUP(R371,Start!$C$33:$D$40,2,FALSE)</f>
        <v>72.74898989898989</v>
      </c>
      <c r="AA371" s="234"/>
      <c r="AB371" s="278"/>
    </row>
    <row r="372" spans="2:28" ht="18.75" customHeight="1" x14ac:dyDescent="0.3">
      <c r="B372" s="229"/>
      <c r="C372" s="289" t="s">
        <v>2485</v>
      </c>
      <c r="D372" s="299" t="s">
        <v>333</v>
      </c>
      <c r="E372" s="300" t="s">
        <v>334</v>
      </c>
      <c r="F372" s="300" t="s">
        <v>335</v>
      </c>
      <c r="G372" s="311">
        <v>27570</v>
      </c>
      <c r="H372" s="312" t="s">
        <v>336</v>
      </c>
      <c r="I372" s="313" t="s">
        <v>337</v>
      </c>
      <c r="J372" s="306" t="s">
        <v>296</v>
      </c>
      <c r="K372" s="313"/>
      <c r="L372" s="304" t="s">
        <v>2338</v>
      </c>
      <c r="M372" s="300" t="s">
        <v>47</v>
      </c>
      <c r="N372" s="300" t="s">
        <v>6</v>
      </c>
      <c r="O372" s="313"/>
      <c r="P372" s="314" t="s">
        <v>6</v>
      </c>
      <c r="Q372" s="300" t="s">
        <v>6</v>
      </c>
      <c r="R372" s="300" t="s">
        <v>6</v>
      </c>
      <c r="S372" s="300" t="s">
        <v>1981</v>
      </c>
      <c r="T372" s="300" t="s">
        <v>2458</v>
      </c>
      <c r="U372" s="303">
        <v>0.33</v>
      </c>
      <c r="V372" s="300" t="s">
        <v>2458</v>
      </c>
      <c r="W372" s="315">
        <v>14</v>
      </c>
      <c r="X372" s="297">
        <f>(1-VLOOKUP(R372,Start!$H$33:$I$40,2,FALSE)/100)*W372</f>
        <v>11.9</v>
      </c>
      <c r="Y372" s="297">
        <f>VLOOKUP(Q372,Start!$C$9:$D$15,2,FALSE)+VLOOKUP(Q372,Start!$C$23:$D$29,2,FALSE)</f>
        <v>0</v>
      </c>
      <c r="Z372" s="298">
        <f>(Y372/U372)+Start!$D$19*(VLOOKUP(Q372,Start!$M$33:$N$39,2,FALSE)/U372)+VLOOKUP(R372,Start!$C$33:$D$40,2,FALSE)</f>
        <v>1</v>
      </c>
      <c r="AA372" s="234"/>
      <c r="AB372" s="278"/>
    </row>
    <row r="373" spans="2:28" ht="18.75" customHeight="1" x14ac:dyDescent="0.3">
      <c r="B373" s="229"/>
      <c r="C373" s="289" t="s">
        <v>2485</v>
      </c>
      <c r="D373" s="305" t="s">
        <v>340</v>
      </c>
      <c r="E373" s="300" t="s">
        <v>341</v>
      </c>
      <c r="F373" s="300" t="s">
        <v>342</v>
      </c>
      <c r="G373" s="303">
        <v>64747</v>
      </c>
      <c r="H373" s="303" t="s">
        <v>343</v>
      </c>
      <c r="I373" s="303" t="s">
        <v>344</v>
      </c>
      <c r="J373" s="306" t="s">
        <v>105</v>
      </c>
      <c r="K373" s="300"/>
      <c r="L373" s="304" t="s">
        <v>2139</v>
      </c>
      <c r="M373" s="303" t="s">
        <v>7</v>
      </c>
      <c r="N373" s="303"/>
      <c r="O373" s="303"/>
      <c r="P373" s="314" t="s">
        <v>7</v>
      </c>
      <c r="Q373" s="303" t="s">
        <v>7</v>
      </c>
      <c r="R373" s="300" t="s">
        <v>226</v>
      </c>
      <c r="S373" s="300" t="s">
        <v>1981</v>
      </c>
      <c r="T373" s="300" t="s">
        <v>2458</v>
      </c>
      <c r="U373" s="303">
        <v>0.38390000000000002</v>
      </c>
      <c r="V373" s="300" t="s">
        <v>2458</v>
      </c>
      <c r="W373" s="307">
        <v>11.4</v>
      </c>
      <c r="X373" s="297">
        <f>(1-VLOOKUP(R373,Start!$H$33:$I$40,2,FALSE)/100)*W373</f>
        <v>10.146000000000001</v>
      </c>
      <c r="Y373" s="297">
        <f>VLOOKUP(Q373,Start!$C$9:$D$15,2,FALSE)+VLOOKUP(Q373,Start!$C$23:$D$29,2,FALSE)</f>
        <v>23.27</v>
      </c>
      <c r="Z373" s="298">
        <f>(Y373/U373)+Start!$D$19*(VLOOKUP(Q373,Start!$M$33:$N$39,2,FALSE)/U373)+VLOOKUP(R373,Start!$C$33:$D$40,2,FALSE)</f>
        <v>74.99466006772596</v>
      </c>
      <c r="AA373" s="234"/>
      <c r="AB373" s="278"/>
    </row>
    <row r="374" spans="2:28" ht="18.75" customHeight="1" x14ac:dyDescent="0.3">
      <c r="B374" s="229"/>
      <c r="C374" s="289" t="s">
        <v>2485</v>
      </c>
      <c r="D374" s="305" t="s">
        <v>363</v>
      </c>
      <c r="E374" s="300" t="s">
        <v>364</v>
      </c>
      <c r="F374" s="300" t="s">
        <v>365</v>
      </c>
      <c r="G374" s="302">
        <v>84508</v>
      </c>
      <c r="H374" s="300" t="s">
        <v>366</v>
      </c>
      <c r="I374" s="300" t="s">
        <v>367</v>
      </c>
      <c r="J374" s="306" t="s">
        <v>55</v>
      </c>
      <c r="K374" s="300"/>
      <c r="L374" s="304" t="s">
        <v>2339</v>
      </c>
      <c r="M374" s="300" t="s">
        <v>6</v>
      </c>
      <c r="N374" s="300"/>
      <c r="O374" s="300"/>
      <c r="P374" s="300" t="s">
        <v>6</v>
      </c>
      <c r="Q374" s="300" t="s">
        <v>6</v>
      </c>
      <c r="R374" s="300" t="s">
        <v>6</v>
      </c>
      <c r="S374" s="300" t="s">
        <v>1981</v>
      </c>
      <c r="T374" s="300" t="s">
        <v>2458</v>
      </c>
      <c r="U374" s="303">
        <v>0.33</v>
      </c>
      <c r="V374" s="300" t="s">
        <v>2458</v>
      </c>
      <c r="W374" s="307">
        <v>12.5</v>
      </c>
      <c r="X374" s="297">
        <f>(1-VLOOKUP(R374,Start!$H$33:$I$40,2,FALSE)/100)*W374</f>
        <v>10.625</v>
      </c>
      <c r="Y374" s="297">
        <f>VLOOKUP(Q374,Start!$C$9:$D$15,2,FALSE)+VLOOKUP(Q374,Start!$C$23:$D$29,2,FALSE)</f>
        <v>0</v>
      </c>
      <c r="Z374" s="298">
        <f>(Y374/U374)+Start!$D$19*(VLOOKUP(Q374,Start!$M$33:$N$39,2,FALSE)/U374)+VLOOKUP(R374,Start!$C$33:$D$40,2,FALSE)</f>
        <v>1</v>
      </c>
      <c r="AA374" s="234"/>
      <c r="AB374" s="278"/>
    </row>
    <row r="375" spans="2:28" ht="18.75" customHeight="1" x14ac:dyDescent="0.3">
      <c r="B375" s="229"/>
      <c r="C375" s="289" t="s">
        <v>2485</v>
      </c>
      <c r="D375" s="299" t="s">
        <v>378</v>
      </c>
      <c r="E375" s="300" t="s">
        <v>372</v>
      </c>
      <c r="F375" s="132" t="s">
        <v>373</v>
      </c>
      <c r="G375" s="311">
        <v>44579</v>
      </c>
      <c r="H375" s="312" t="s">
        <v>374</v>
      </c>
      <c r="I375" s="132" t="s">
        <v>375</v>
      </c>
      <c r="J375" s="301" t="s">
        <v>19</v>
      </c>
      <c r="K375" s="300" t="s">
        <v>96</v>
      </c>
      <c r="L375" s="304" t="s">
        <v>2145</v>
      </c>
      <c r="M375" s="300" t="s">
        <v>47</v>
      </c>
      <c r="N375" s="132" t="s">
        <v>7</v>
      </c>
      <c r="O375" s="300" t="s">
        <v>377</v>
      </c>
      <c r="P375" s="314" t="s">
        <v>7</v>
      </c>
      <c r="Q375" s="300" t="s">
        <v>7</v>
      </c>
      <c r="R375" s="300" t="s">
        <v>96</v>
      </c>
      <c r="S375" s="300" t="s">
        <v>2115</v>
      </c>
      <c r="T375" s="300" t="s">
        <v>2458</v>
      </c>
      <c r="U375" s="303">
        <v>0.35659999999999997</v>
      </c>
      <c r="V375" s="300" t="s">
        <v>2458</v>
      </c>
      <c r="W375" s="315">
        <v>10.199999999999999</v>
      </c>
      <c r="X375" s="297">
        <f>(1-VLOOKUP(R375,Start!$H$33:$I$40,2,FALSE)/100)*W375</f>
        <v>9.0779999999999994</v>
      </c>
      <c r="Y375" s="297">
        <f>VLOOKUP(Q375,Start!$C$9:$D$15,2,FALSE)+VLOOKUP(Q375,Start!$C$23:$D$29,2,FALSE)</f>
        <v>23.27</v>
      </c>
      <c r="Z375" s="298">
        <f>(Y375/U375)+Start!$D$19*(VLOOKUP(Q375,Start!$M$33:$N$39,2,FALSE)/U375)+VLOOKUP(R375,Start!$C$33:$D$40,2,FALSE)</f>
        <v>80.121144139091427</v>
      </c>
      <c r="AA375" s="234"/>
      <c r="AB375" s="278"/>
    </row>
    <row r="376" spans="2:28" ht="18.75" customHeight="1" x14ac:dyDescent="0.3">
      <c r="B376" s="229"/>
      <c r="C376" s="289" t="s">
        <v>2485</v>
      </c>
      <c r="D376" s="299" t="s">
        <v>371</v>
      </c>
      <c r="E376" s="300" t="s">
        <v>372</v>
      </c>
      <c r="F376" s="300" t="s">
        <v>373</v>
      </c>
      <c r="G376" s="327">
        <v>44579</v>
      </c>
      <c r="H376" s="328" t="s">
        <v>374</v>
      </c>
      <c r="I376" s="313" t="s">
        <v>375</v>
      </c>
      <c r="J376" s="306" t="s">
        <v>19</v>
      </c>
      <c r="K376" s="313" t="s">
        <v>376</v>
      </c>
      <c r="L376" s="304" t="s">
        <v>2144</v>
      </c>
      <c r="M376" s="300" t="s">
        <v>47</v>
      </c>
      <c r="N376" s="300" t="s">
        <v>7</v>
      </c>
      <c r="O376" s="313" t="s">
        <v>377</v>
      </c>
      <c r="P376" s="300" t="s">
        <v>7</v>
      </c>
      <c r="Q376" s="300" t="s">
        <v>7</v>
      </c>
      <c r="R376" s="300" t="s">
        <v>226</v>
      </c>
      <c r="S376" s="300" t="s">
        <v>1981</v>
      </c>
      <c r="T376" s="300" t="s">
        <v>2458</v>
      </c>
      <c r="U376" s="303">
        <v>0.39050000000000001</v>
      </c>
      <c r="V376" s="300" t="s">
        <v>2458</v>
      </c>
      <c r="W376" s="307">
        <v>0.88</v>
      </c>
      <c r="X376" s="297">
        <f>(1-VLOOKUP(R376,Start!$H$33:$I$40,2,FALSE)/100)*W376</f>
        <v>0.78320000000000001</v>
      </c>
      <c r="Y376" s="297">
        <f>VLOOKUP(Q376,Start!$C$9:$D$15,2,FALSE)+VLOOKUP(Q376,Start!$C$23:$D$29,2,FALSE)</f>
        <v>23.27</v>
      </c>
      <c r="Z376" s="298">
        <f>(Y376/U376)+Start!$D$19*(VLOOKUP(Q376,Start!$M$33:$N$39,2,FALSE)/U376)+VLOOKUP(R376,Start!$C$33:$D$40,2,FALSE)</f>
        <v>73.75249679897567</v>
      </c>
      <c r="AA376" s="234"/>
      <c r="AB376" s="278"/>
    </row>
    <row r="377" spans="2:28" ht="18.75" customHeight="1" x14ac:dyDescent="0.3">
      <c r="B377" s="229"/>
      <c r="C377" s="289" t="s">
        <v>2485</v>
      </c>
      <c r="D377" s="299" t="s">
        <v>404</v>
      </c>
      <c r="E377" s="300" t="s">
        <v>405</v>
      </c>
      <c r="F377" s="300" t="s">
        <v>101</v>
      </c>
      <c r="G377" s="302">
        <v>64293</v>
      </c>
      <c r="H377" s="300" t="s">
        <v>406</v>
      </c>
      <c r="I377" s="300" t="s">
        <v>407</v>
      </c>
      <c r="J377" s="306" t="s">
        <v>105</v>
      </c>
      <c r="K377" s="300" t="s">
        <v>99</v>
      </c>
      <c r="L377" s="304" t="s">
        <v>2147</v>
      </c>
      <c r="M377" s="300" t="s">
        <v>47</v>
      </c>
      <c r="N377" s="300" t="s">
        <v>7</v>
      </c>
      <c r="O377" s="300" t="s">
        <v>408</v>
      </c>
      <c r="P377" s="300" t="s">
        <v>7</v>
      </c>
      <c r="Q377" s="300" t="s">
        <v>7</v>
      </c>
      <c r="R377" s="300" t="s">
        <v>96</v>
      </c>
      <c r="S377" s="300" t="s">
        <v>2115</v>
      </c>
      <c r="T377" s="300" t="s">
        <v>2458</v>
      </c>
      <c r="U377" s="303">
        <v>0.37740000000000001</v>
      </c>
      <c r="V377" s="300" t="s">
        <v>2458</v>
      </c>
      <c r="W377" s="307">
        <v>10</v>
      </c>
      <c r="X377" s="297">
        <f>(1-VLOOKUP(R377,Start!$H$33:$I$40,2,FALSE)/100)*W377</f>
        <v>8.9</v>
      </c>
      <c r="Y377" s="297">
        <f>VLOOKUP(Q377,Start!$C$9:$D$15,2,FALSE)+VLOOKUP(Q377,Start!$C$23:$D$29,2,FALSE)</f>
        <v>23.27</v>
      </c>
      <c r="Z377" s="298">
        <f>(Y377/U377)+Start!$D$19*(VLOOKUP(Q377,Start!$M$33:$N$39,2,FALSE)/U377)+VLOOKUP(R377,Start!$C$33:$D$40,2,FALSE)</f>
        <v>75.760466348701641</v>
      </c>
      <c r="AA377" s="234"/>
      <c r="AB377" s="278"/>
    </row>
    <row r="378" spans="2:28" ht="18.75" customHeight="1" x14ac:dyDescent="0.3">
      <c r="B378" s="229"/>
      <c r="C378" s="289" t="s">
        <v>2485</v>
      </c>
      <c r="D378" s="299" t="s">
        <v>489</v>
      </c>
      <c r="E378" s="300" t="s">
        <v>490</v>
      </c>
      <c r="F378" s="300" t="s">
        <v>491</v>
      </c>
      <c r="G378" s="302">
        <v>52349</v>
      </c>
      <c r="H378" s="300" t="s">
        <v>485</v>
      </c>
      <c r="I378" s="300" t="s">
        <v>492</v>
      </c>
      <c r="J378" s="306" t="s">
        <v>19</v>
      </c>
      <c r="K378" s="300"/>
      <c r="L378" s="304" t="s">
        <v>2154</v>
      </c>
      <c r="M378" s="300" t="s">
        <v>7</v>
      </c>
      <c r="N378" s="300"/>
      <c r="O378" s="300"/>
      <c r="P378" s="300" t="s">
        <v>7</v>
      </c>
      <c r="Q378" s="300" t="s">
        <v>7</v>
      </c>
      <c r="R378" s="300" t="s">
        <v>226</v>
      </c>
      <c r="S378" s="300" t="s">
        <v>1981</v>
      </c>
      <c r="T378" s="300" t="s">
        <v>2458</v>
      </c>
      <c r="U378" s="303">
        <v>0.31900000000000001</v>
      </c>
      <c r="V378" s="300" t="s">
        <v>2458</v>
      </c>
      <c r="W378" s="307">
        <v>14</v>
      </c>
      <c r="X378" s="297">
        <f>(1-VLOOKUP(R378,Start!$H$33:$I$40,2,FALSE)/100)*W378</f>
        <v>12.46</v>
      </c>
      <c r="Y378" s="297">
        <f>VLOOKUP(Q378,Start!$C$9:$D$15,2,FALSE)+VLOOKUP(Q378,Start!$C$23:$D$29,2,FALSE)</f>
        <v>23.27</v>
      </c>
      <c r="Z378" s="298">
        <f>(Y378/U378)+Start!$D$19*(VLOOKUP(Q378,Start!$M$33:$N$39,2,FALSE)/U378)+VLOOKUP(R378,Start!$C$33:$D$40,2,FALSE)</f>
        <v>89.947021943573674</v>
      </c>
      <c r="AA378" s="234"/>
      <c r="AB378" s="278"/>
    </row>
    <row r="379" spans="2:28" ht="18.75" customHeight="1" x14ac:dyDescent="0.3">
      <c r="B379" s="229"/>
      <c r="C379" s="289" t="s">
        <v>2485</v>
      </c>
      <c r="D379" s="299" t="s">
        <v>579</v>
      </c>
      <c r="E379" s="300" t="s">
        <v>580</v>
      </c>
      <c r="F379" s="300" t="s">
        <v>581</v>
      </c>
      <c r="G379" s="302">
        <v>40699</v>
      </c>
      <c r="H379" s="300" t="s">
        <v>582</v>
      </c>
      <c r="I379" s="300" t="s">
        <v>583</v>
      </c>
      <c r="J379" s="306" t="s">
        <v>19</v>
      </c>
      <c r="K379" s="300" t="s">
        <v>584</v>
      </c>
      <c r="L379" s="304" t="s">
        <v>2166</v>
      </c>
      <c r="M379" s="300" t="s">
        <v>7</v>
      </c>
      <c r="N379" s="300"/>
      <c r="O379" s="300"/>
      <c r="P379" s="300" t="s">
        <v>7</v>
      </c>
      <c r="Q379" s="300" t="s">
        <v>7</v>
      </c>
      <c r="R379" s="300" t="s">
        <v>226</v>
      </c>
      <c r="S379" s="300" t="s">
        <v>1981</v>
      </c>
      <c r="T379" s="300" t="s">
        <v>2458</v>
      </c>
      <c r="U379" s="303">
        <v>0.38500000000000001</v>
      </c>
      <c r="V379" s="300" t="s">
        <v>2458</v>
      </c>
      <c r="W379" s="307">
        <v>10.199999999999999</v>
      </c>
      <c r="X379" s="297">
        <f>(1-VLOOKUP(R379,Start!$H$33:$I$40,2,FALSE)/100)*W379</f>
        <v>9.0779999999999994</v>
      </c>
      <c r="Y379" s="297">
        <f>VLOOKUP(Q379,Start!$C$9:$D$15,2,FALSE)+VLOOKUP(Q379,Start!$C$23:$D$29,2,FALSE)</f>
        <v>23.27</v>
      </c>
      <c r="Z379" s="298">
        <f>(Y379/U379)+Start!$D$19*(VLOOKUP(Q379,Start!$M$33:$N$39,2,FALSE)/U379)+VLOOKUP(R379,Start!$C$33:$D$40,2,FALSE)</f>
        <v>74.784675324675334</v>
      </c>
      <c r="AA379" s="234"/>
      <c r="AB379" s="278"/>
    </row>
    <row r="380" spans="2:28" ht="18.75" customHeight="1" x14ac:dyDescent="0.3">
      <c r="B380" s="229"/>
      <c r="C380" s="289" t="s">
        <v>2485</v>
      </c>
      <c r="D380" s="299" t="s">
        <v>596</v>
      </c>
      <c r="E380" s="300" t="s">
        <v>597</v>
      </c>
      <c r="F380" s="300" t="s">
        <v>598</v>
      </c>
      <c r="G380" s="302">
        <v>79427</v>
      </c>
      <c r="H380" s="300" t="s">
        <v>599</v>
      </c>
      <c r="I380" s="300" t="s">
        <v>600</v>
      </c>
      <c r="J380" s="306" t="s">
        <v>20</v>
      </c>
      <c r="K380" s="300"/>
      <c r="L380" s="304" t="s">
        <v>2341</v>
      </c>
      <c r="M380" s="300" t="s">
        <v>6</v>
      </c>
      <c r="N380" s="132" t="s">
        <v>601</v>
      </c>
      <c r="O380" s="300"/>
      <c r="P380" s="300" t="s">
        <v>6</v>
      </c>
      <c r="Q380" s="300" t="s">
        <v>6</v>
      </c>
      <c r="R380" s="300" t="s">
        <v>6</v>
      </c>
      <c r="S380" s="300" t="s">
        <v>1981</v>
      </c>
      <c r="T380" s="300" t="s">
        <v>2458</v>
      </c>
      <c r="U380" s="303">
        <v>0.33</v>
      </c>
      <c r="V380" s="300" t="s">
        <v>2458</v>
      </c>
      <c r="W380" s="307">
        <v>13.6</v>
      </c>
      <c r="X380" s="297">
        <f>(1-VLOOKUP(R380,Start!$H$33:$I$40,2,FALSE)/100)*W380</f>
        <v>11.559999999999999</v>
      </c>
      <c r="Y380" s="297">
        <f>VLOOKUP(Q380,Start!$C$9:$D$15,2,FALSE)+VLOOKUP(Q380,Start!$C$23:$D$29,2,FALSE)</f>
        <v>0</v>
      </c>
      <c r="Z380" s="298">
        <f>(Y380/U380)+Start!$D$19*(VLOOKUP(Q380,Start!$M$33:$N$39,2,FALSE)/U380)+VLOOKUP(R380,Start!$C$33:$D$40,2,FALSE)</f>
        <v>1</v>
      </c>
      <c r="AA380" s="234"/>
      <c r="AB380" s="278"/>
    </row>
    <row r="381" spans="2:28" ht="18.75" customHeight="1" x14ac:dyDescent="0.3">
      <c r="B381" s="229"/>
      <c r="C381" s="289" t="s">
        <v>2485</v>
      </c>
      <c r="D381" s="299" t="s">
        <v>621</v>
      </c>
      <c r="E381" s="300" t="s">
        <v>622</v>
      </c>
      <c r="F381" s="300" t="s">
        <v>623</v>
      </c>
      <c r="G381" s="302">
        <v>53879</v>
      </c>
      <c r="H381" s="300" t="s">
        <v>624</v>
      </c>
      <c r="I381" s="300" t="s">
        <v>625</v>
      </c>
      <c r="J381" s="306" t="s">
        <v>19</v>
      </c>
      <c r="K381" s="300" t="s">
        <v>626</v>
      </c>
      <c r="L381" s="304" t="s">
        <v>2090</v>
      </c>
      <c r="M381" s="300" t="s">
        <v>47</v>
      </c>
      <c r="N381" s="300" t="s">
        <v>627</v>
      </c>
      <c r="O381" s="300" t="s">
        <v>628</v>
      </c>
      <c r="P381" s="300" t="s">
        <v>2</v>
      </c>
      <c r="Q381" s="300" t="s">
        <v>2</v>
      </c>
      <c r="R381" s="300" t="s">
        <v>2</v>
      </c>
      <c r="S381" s="300" t="s">
        <v>1981</v>
      </c>
      <c r="T381" s="300" t="s">
        <v>2458</v>
      </c>
      <c r="U381" s="303">
        <v>0.37840000000000001</v>
      </c>
      <c r="V381" s="300" t="s">
        <v>2458</v>
      </c>
      <c r="W381" s="307">
        <v>14.5</v>
      </c>
      <c r="X381" s="297">
        <f>(1-VLOOKUP(R381,Start!$H$33:$I$40,2,FALSE)/100)*W381</f>
        <v>12.615</v>
      </c>
      <c r="Y381" s="297">
        <f>VLOOKUP(Q381,Start!$C$9:$D$15,2,FALSE)+VLOOKUP(Q381,Start!$C$23:$D$29,2,FALSE)</f>
        <v>3.1</v>
      </c>
      <c r="Z381" s="298">
        <f>(Y381/U381)+Start!$D$19*(VLOOKUP(Q381,Start!$M$33:$N$39,2,FALSE)/U381)+VLOOKUP(R381,Start!$C$33:$D$40,2,FALSE)</f>
        <v>36.156659619450323</v>
      </c>
      <c r="AA381" s="234"/>
      <c r="AB381" s="278"/>
    </row>
    <row r="382" spans="2:28" ht="18.75" customHeight="1" x14ac:dyDescent="0.3">
      <c r="B382" s="229"/>
      <c r="C382" s="289" t="s">
        <v>2485</v>
      </c>
      <c r="D382" s="299" t="s">
        <v>707</v>
      </c>
      <c r="E382" s="300" t="s">
        <v>708</v>
      </c>
      <c r="F382" s="300" t="s">
        <v>709</v>
      </c>
      <c r="G382" s="302">
        <v>73037</v>
      </c>
      <c r="H382" s="300" t="s">
        <v>710</v>
      </c>
      <c r="I382" s="300"/>
      <c r="J382" s="306" t="s">
        <v>20</v>
      </c>
      <c r="K382" s="300" t="s">
        <v>711</v>
      </c>
      <c r="L382" s="304" t="s">
        <v>2344</v>
      </c>
      <c r="M382" s="300" t="s">
        <v>6</v>
      </c>
      <c r="N382" s="132" t="s">
        <v>601</v>
      </c>
      <c r="O382" s="132"/>
      <c r="P382" s="300" t="s">
        <v>6</v>
      </c>
      <c r="Q382" s="300" t="s">
        <v>6</v>
      </c>
      <c r="R382" s="300" t="s">
        <v>6</v>
      </c>
      <c r="S382" s="300" t="s">
        <v>1981</v>
      </c>
      <c r="T382" s="300" t="s">
        <v>2458</v>
      </c>
      <c r="U382" s="303">
        <v>0.33</v>
      </c>
      <c r="V382" s="300" t="s">
        <v>2458</v>
      </c>
      <c r="W382" s="307">
        <v>11</v>
      </c>
      <c r="X382" s="297">
        <f>(1-VLOOKUP(R382,Start!$H$33:$I$40,2,FALSE)/100)*W382</f>
        <v>9.35</v>
      </c>
      <c r="Y382" s="297">
        <f>VLOOKUP(Q382,Start!$C$9:$D$15,2,FALSE)+VLOOKUP(Q382,Start!$C$23:$D$29,2,FALSE)</f>
        <v>0</v>
      </c>
      <c r="Z382" s="298">
        <f>(Y382/U382)+Start!$D$19*(VLOOKUP(Q382,Start!$M$33:$N$39,2,FALSE)/U382)+VLOOKUP(R382,Start!$C$33:$D$40,2,FALSE)</f>
        <v>1</v>
      </c>
      <c r="AA382" s="234"/>
      <c r="AB382" s="278"/>
    </row>
    <row r="383" spans="2:28" ht="18.75" customHeight="1" x14ac:dyDescent="0.3">
      <c r="B383" s="229"/>
      <c r="C383" s="289" t="s">
        <v>2485</v>
      </c>
      <c r="D383" s="299" t="s">
        <v>806</v>
      </c>
      <c r="E383" s="300" t="s">
        <v>807</v>
      </c>
      <c r="F383" s="300" t="s">
        <v>808</v>
      </c>
      <c r="G383" s="302">
        <v>59075</v>
      </c>
      <c r="H383" s="300" t="s">
        <v>809</v>
      </c>
      <c r="I383" s="300" t="s">
        <v>810</v>
      </c>
      <c r="J383" s="306" t="s">
        <v>19</v>
      </c>
      <c r="K383" s="300"/>
      <c r="L383" s="304" t="s">
        <v>2348</v>
      </c>
      <c r="M383" s="300" t="s">
        <v>6</v>
      </c>
      <c r="N383" s="300" t="s">
        <v>6</v>
      </c>
      <c r="O383" s="300" t="s">
        <v>377</v>
      </c>
      <c r="P383" s="300" t="s">
        <v>6</v>
      </c>
      <c r="Q383" s="300" t="s">
        <v>6</v>
      </c>
      <c r="R383" s="300" t="s">
        <v>6</v>
      </c>
      <c r="S383" s="300" t="s">
        <v>1981</v>
      </c>
      <c r="T383" s="300" t="s">
        <v>2458</v>
      </c>
      <c r="U383" s="303">
        <v>0.33</v>
      </c>
      <c r="V383" s="300" t="s">
        <v>2458</v>
      </c>
      <c r="W383" s="307">
        <v>14.58</v>
      </c>
      <c r="X383" s="297">
        <f>(1-VLOOKUP(R383,Start!$H$33:$I$40,2,FALSE)/100)*W383</f>
        <v>12.392999999999999</v>
      </c>
      <c r="Y383" s="297">
        <f>VLOOKUP(Q383,Start!$C$9:$D$15,2,FALSE)+VLOOKUP(Q383,Start!$C$23:$D$29,2,FALSE)</f>
        <v>0</v>
      </c>
      <c r="Z383" s="298">
        <f>(Y383/U383)+Start!$D$19*(VLOOKUP(Q383,Start!$M$33:$N$39,2,FALSE)/U383)+VLOOKUP(R383,Start!$C$33:$D$40,2,FALSE)</f>
        <v>1</v>
      </c>
      <c r="AA383" s="234"/>
      <c r="AB383" s="278"/>
    </row>
    <row r="384" spans="2:28" ht="18.75" customHeight="1" x14ac:dyDescent="0.3">
      <c r="B384" s="229"/>
      <c r="C384" s="289" t="s">
        <v>2485</v>
      </c>
      <c r="D384" s="299" t="s">
        <v>844</v>
      </c>
      <c r="E384" s="300" t="s">
        <v>28</v>
      </c>
      <c r="F384" s="300" t="s">
        <v>845</v>
      </c>
      <c r="G384" s="302">
        <v>69120</v>
      </c>
      <c r="H384" s="300" t="s">
        <v>846</v>
      </c>
      <c r="I384" s="300" t="s">
        <v>847</v>
      </c>
      <c r="J384" s="306" t="s">
        <v>20</v>
      </c>
      <c r="K384" s="300"/>
      <c r="L384" s="304" t="s">
        <v>2186</v>
      </c>
      <c r="M384" s="300" t="s">
        <v>7</v>
      </c>
      <c r="N384" s="300"/>
      <c r="O384" s="300"/>
      <c r="P384" s="300" t="s">
        <v>7</v>
      </c>
      <c r="Q384" s="300" t="s">
        <v>7</v>
      </c>
      <c r="R384" s="300" t="s">
        <v>226</v>
      </c>
      <c r="S384" s="300" t="s">
        <v>1981</v>
      </c>
      <c r="T384" s="300" t="s">
        <v>2458</v>
      </c>
      <c r="U384" s="303">
        <v>0.3861</v>
      </c>
      <c r="V384" s="300" t="s">
        <v>2458</v>
      </c>
      <c r="W384" s="307">
        <v>13.5</v>
      </c>
      <c r="X384" s="297">
        <f>(1-VLOOKUP(R384,Start!$H$33:$I$40,2,FALSE)/100)*W384</f>
        <v>12.015000000000001</v>
      </c>
      <c r="Y384" s="297">
        <f>VLOOKUP(Q384,Start!$C$9:$D$15,2,FALSE)+VLOOKUP(Q384,Start!$C$23:$D$29,2,FALSE)</f>
        <v>23.27</v>
      </c>
      <c r="Z384" s="298">
        <f>(Y384/U384)+Start!$D$19*(VLOOKUP(Q384,Start!$M$33:$N$39,2,FALSE)/U384)+VLOOKUP(R384,Start!$C$33:$D$40,2,FALSE)</f>
        <v>74.575887075887081</v>
      </c>
      <c r="AA384" s="234"/>
      <c r="AB384" s="278"/>
    </row>
    <row r="385" spans="2:28" ht="18.75" customHeight="1" x14ac:dyDescent="0.3">
      <c r="B385" s="229"/>
      <c r="C385" s="289" t="s">
        <v>2485</v>
      </c>
      <c r="D385" s="299" t="s">
        <v>884</v>
      </c>
      <c r="E385" s="300" t="s">
        <v>885</v>
      </c>
      <c r="F385" s="300" t="s">
        <v>886</v>
      </c>
      <c r="G385" s="302">
        <v>45699</v>
      </c>
      <c r="H385" s="300" t="s">
        <v>887</v>
      </c>
      <c r="I385" s="300" t="s">
        <v>888</v>
      </c>
      <c r="J385" s="306" t="s">
        <v>19</v>
      </c>
      <c r="K385" s="300" t="s">
        <v>889</v>
      </c>
      <c r="L385" s="304" t="s">
        <v>2350</v>
      </c>
      <c r="M385" s="132" t="s">
        <v>6</v>
      </c>
      <c r="N385" s="132"/>
      <c r="O385" s="132"/>
      <c r="P385" s="132" t="s">
        <v>6</v>
      </c>
      <c r="Q385" s="300" t="s">
        <v>6</v>
      </c>
      <c r="R385" s="300" t="s">
        <v>6</v>
      </c>
      <c r="S385" s="300" t="s">
        <v>1981</v>
      </c>
      <c r="T385" s="300" t="s">
        <v>2458</v>
      </c>
      <c r="U385" s="303">
        <v>0.33</v>
      </c>
      <c r="V385" s="300" t="s">
        <v>2458</v>
      </c>
      <c r="W385" s="307">
        <v>15.5</v>
      </c>
      <c r="X385" s="297">
        <f>(1-VLOOKUP(R385,Start!$H$33:$I$40,2,FALSE)/100)*W385</f>
        <v>13.174999999999999</v>
      </c>
      <c r="Y385" s="297">
        <f>VLOOKUP(Q385,Start!$C$9:$D$15,2,FALSE)+VLOOKUP(Q385,Start!$C$23:$D$29,2,FALSE)</f>
        <v>0</v>
      </c>
      <c r="Z385" s="298">
        <f>(Y385/U385)+Start!$D$19*(VLOOKUP(Q385,Start!$M$33:$N$39,2,FALSE)/U385)+VLOOKUP(R385,Start!$C$33:$D$40,2,FALSE)</f>
        <v>1</v>
      </c>
      <c r="AA385" s="234"/>
      <c r="AB385" s="278"/>
    </row>
    <row r="386" spans="2:28" ht="18.75" customHeight="1" x14ac:dyDescent="0.3">
      <c r="B386" s="229"/>
      <c r="C386" s="289" t="s">
        <v>2485</v>
      </c>
      <c r="D386" s="299" t="s">
        <v>890</v>
      </c>
      <c r="E386" s="300" t="s">
        <v>885</v>
      </c>
      <c r="F386" s="300" t="s">
        <v>891</v>
      </c>
      <c r="G386" s="302">
        <v>45699</v>
      </c>
      <c r="H386" s="300" t="s">
        <v>887</v>
      </c>
      <c r="I386" s="300" t="s">
        <v>888</v>
      </c>
      <c r="J386" s="306" t="s">
        <v>19</v>
      </c>
      <c r="K386" s="300" t="s">
        <v>892</v>
      </c>
      <c r="L386" s="304" t="s">
        <v>2351</v>
      </c>
      <c r="M386" s="300" t="s">
        <v>6</v>
      </c>
      <c r="N386" s="300"/>
      <c r="O386" s="300"/>
      <c r="P386" s="300" t="s">
        <v>6</v>
      </c>
      <c r="Q386" s="300" t="s">
        <v>6</v>
      </c>
      <c r="R386" s="300" t="s">
        <v>6</v>
      </c>
      <c r="S386" s="300" t="s">
        <v>1981</v>
      </c>
      <c r="T386" s="300" t="s">
        <v>2458</v>
      </c>
      <c r="U386" s="303">
        <v>0.33</v>
      </c>
      <c r="V386" s="300" t="s">
        <v>2458</v>
      </c>
      <c r="W386" s="307">
        <v>19.5</v>
      </c>
      <c r="X386" s="297">
        <f>(1-VLOOKUP(R386,Start!$H$33:$I$40,2,FALSE)/100)*W386</f>
        <v>16.574999999999999</v>
      </c>
      <c r="Y386" s="297">
        <f>VLOOKUP(Q386,Start!$C$9:$D$15,2,FALSE)+VLOOKUP(Q386,Start!$C$23:$D$29,2,FALSE)</f>
        <v>0</v>
      </c>
      <c r="Z386" s="298">
        <f>(Y386/U386)+Start!$D$19*(VLOOKUP(Q386,Start!$M$33:$N$39,2,FALSE)/U386)+VLOOKUP(R386,Start!$C$33:$D$40,2,FALSE)</f>
        <v>1</v>
      </c>
      <c r="AA386" s="234"/>
      <c r="AB386" s="278"/>
    </row>
    <row r="387" spans="2:28" ht="18.75" customHeight="1" x14ac:dyDescent="0.3">
      <c r="B387" s="229"/>
      <c r="C387" s="289" t="s">
        <v>2485</v>
      </c>
      <c r="D387" s="299" t="s">
        <v>923</v>
      </c>
      <c r="E387" s="300" t="s">
        <v>924</v>
      </c>
      <c r="F387" s="300" t="s">
        <v>925</v>
      </c>
      <c r="G387" s="327">
        <v>85055</v>
      </c>
      <c r="H387" s="328" t="s">
        <v>750</v>
      </c>
      <c r="I387" s="300" t="s">
        <v>926</v>
      </c>
      <c r="J387" s="306" t="s">
        <v>55</v>
      </c>
      <c r="K387" s="300" t="s">
        <v>927</v>
      </c>
      <c r="L387" s="304" t="s">
        <v>2352</v>
      </c>
      <c r="M387" s="300" t="s">
        <v>6</v>
      </c>
      <c r="N387" s="300"/>
      <c r="O387" s="300"/>
      <c r="P387" s="300" t="s">
        <v>6</v>
      </c>
      <c r="Q387" s="300" t="s">
        <v>6</v>
      </c>
      <c r="R387" s="300" t="s">
        <v>6</v>
      </c>
      <c r="S387" s="300" t="s">
        <v>1981</v>
      </c>
      <c r="T387" s="300" t="s">
        <v>2458</v>
      </c>
      <c r="U387" s="303">
        <v>0.33</v>
      </c>
      <c r="V387" s="300" t="s">
        <v>2458</v>
      </c>
      <c r="W387" s="307">
        <v>25.5</v>
      </c>
      <c r="X387" s="297">
        <f>(1-VLOOKUP(R387,Start!$H$33:$I$40,2,FALSE)/100)*W387</f>
        <v>21.675000000000001</v>
      </c>
      <c r="Y387" s="297">
        <f>VLOOKUP(Q387,Start!$C$9:$D$15,2,FALSE)+VLOOKUP(Q387,Start!$C$23:$D$29,2,FALSE)</f>
        <v>0</v>
      </c>
      <c r="Z387" s="298">
        <f>(Y387/U387)+Start!$D$19*(VLOOKUP(Q387,Start!$M$33:$N$39,2,FALSE)/U387)+VLOOKUP(R387,Start!$C$33:$D$40,2,FALSE)</f>
        <v>1</v>
      </c>
      <c r="AA387" s="234"/>
      <c r="AB387" s="278"/>
    </row>
    <row r="388" spans="2:28" ht="18.75" customHeight="1" x14ac:dyDescent="0.3">
      <c r="B388" s="229"/>
      <c r="C388" s="289" t="s">
        <v>2485</v>
      </c>
      <c r="D388" s="299" t="s">
        <v>935</v>
      </c>
      <c r="E388" s="300" t="s">
        <v>622</v>
      </c>
      <c r="F388" s="300" t="s">
        <v>936</v>
      </c>
      <c r="G388" s="311">
        <v>52428</v>
      </c>
      <c r="H388" s="312" t="s">
        <v>937</v>
      </c>
      <c r="I388" s="300" t="s">
        <v>938</v>
      </c>
      <c r="J388" s="306" t="s">
        <v>19</v>
      </c>
      <c r="K388" s="300" t="s">
        <v>939</v>
      </c>
      <c r="L388" s="304" t="s">
        <v>2100</v>
      </c>
      <c r="M388" s="300" t="s">
        <v>2</v>
      </c>
      <c r="N388" s="300"/>
      <c r="O388" s="300"/>
      <c r="P388" s="314" t="s">
        <v>2</v>
      </c>
      <c r="Q388" s="300" t="s">
        <v>2</v>
      </c>
      <c r="R388" s="300" t="s">
        <v>2</v>
      </c>
      <c r="S388" s="300" t="s">
        <v>1981</v>
      </c>
      <c r="T388" s="300" t="s">
        <v>2458</v>
      </c>
      <c r="U388" s="303">
        <v>0.43120000000000003</v>
      </c>
      <c r="V388" s="300" t="s">
        <v>2458</v>
      </c>
      <c r="W388" s="315">
        <v>23.22</v>
      </c>
      <c r="X388" s="297">
        <f>(1-VLOOKUP(R388,Start!$H$33:$I$40,2,FALSE)/100)*W388</f>
        <v>20.2014</v>
      </c>
      <c r="Y388" s="297">
        <f>VLOOKUP(Q388,Start!$C$9:$D$15,2,FALSE)+VLOOKUP(Q388,Start!$C$23:$D$29,2,FALSE)</f>
        <v>3.1</v>
      </c>
      <c r="Z388" s="298">
        <f>(Y388/U388)+Start!$D$19*(VLOOKUP(Q388,Start!$M$33:$N$39,2,FALSE)/U388)+VLOOKUP(R388,Start!$C$33:$D$40,2,FALSE)</f>
        <v>31.93747680890538</v>
      </c>
      <c r="AA388" s="234"/>
      <c r="AB388" s="278"/>
    </row>
    <row r="389" spans="2:28" ht="18.75" customHeight="1" x14ac:dyDescent="0.3">
      <c r="B389" s="229"/>
      <c r="C389" s="289" t="s">
        <v>2485</v>
      </c>
      <c r="D389" s="299" t="s">
        <v>945</v>
      </c>
      <c r="E389" s="300" t="s">
        <v>622</v>
      </c>
      <c r="F389" s="300" t="s">
        <v>946</v>
      </c>
      <c r="G389" s="311">
        <v>47546</v>
      </c>
      <c r="H389" s="312" t="s">
        <v>947</v>
      </c>
      <c r="I389" s="300" t="s">
        <v>948</v>
      </c>
      <c r="J389" s="306" t="s">
        <v>19</v>
      </c>
      <c r="K389" s="300" t="s">
        <v>949</v>
      </c>
      <c r="L389" s="304" t="s">
        <v>2196</v>
      </c>
      <c r="M389" s="300" t="s">
        <v>47</v>
      </c>
      <c r="N389" s="300" t="s">
        <v>7</v>
      </c>
      <c r="O389" s="300" t="s">
        <v>950</v>
      </c>
      <c r="P389" s="314" t="s">
        <v>7</v>
      </c>
      <c r="Q389" s="300" t="s">
        <v>7</v>
      </c>
      <c r="R389" s="300" t="s">
        <v>226</v>
      </c>
      <c r="S389" s="300" t="s">
        <v>1981</v>
      </c>
      <c r="T389" s="300" t="s">
        <v>2458</v>
      </c>
      <c r="U389" s="303">
        <v>0.38719999999999999</v>
      </c>
      <c r="V389" s="300" t="s">
        <v>2458</v>
      </c>
      <c r="W389" s="315">
        <v>11.4</v>
      </c>
      <c r="X389" s="297">
        <f>(1-VLOOKUP(R389,Start!$H$33:$I$40,2,FALSE)/100)*W389</f>
        <v>10.146000000000001</v>
      </c>
      <c r="Y389" s="297">
        <f>VLOOKUP(Q389,Start!$C$9:$D$15,2,FALSE)+VLOOKUP(Q389,Start!$C$23:$D$29,2,FALSE)</f>
        <v>23.27</v>
      </c>
      <c r="Z389" s="298">
        <f>(Y389/U389)+Start!$D$19*(VLOOKUP(Q389,Start!$M$33:$N$39,2,FALSE)/U389)+VLOOKUP(R389,Start!$C$33:$D$40,2,FALSE)</f>
        <v>74.368285123966942</v>
      </c>
      <c r="AA389" s="234"/>
      <c r="AB389" s="278"/>
    </row>
    <row r="390" spans="2:28" ht="18.75" customHeight="1" x14ac:dyDescent="0.3">
      <c r="B390" s="229"/>
      <c r="C390" s="289" t="s">
        <v>2485</v>
      </c>
      <c r="D390" s="299" t="s">
        <v>957</v>
      </c>
      <c r="E390" s="300" t="s">
        <v>952</v>
      </c>
      <c r="F390" s="300" t="s">
        <v>953</v>
      </c>
      <c r="G390" s="311">
        <v>47475</v>
      </c>
      <c r="H390" s="312" t="s">
        <v>954</v>
      </c>
      <c r="I390" s="300" t="s">
        <v>955</v>
      </c>
      <c r="J390" s="306" t="s">
        <v>19</v>
      </c>
      <c r="K390" s="300" t="s">
        <v>86</v>
      </c>
      <c r="L390" s="304" t="s">
        <v>2297</v>
      </c>
      <c r="M390" s="300" t="s">
        <v>48</v>
      </c>
      <c r="N390" s="300" t="s">
        <v>115</v>
      </c>
      <c r="O390" s="300" t="s">
        <v>377</v>
      </c>
      <c r="P390" s="314" t="s">
        <v>48</v>
      </c>
      <c r="Q390" s="300" t="s">
        <v>4</v>
      </c>
      <c r="R390" s="300" t="s">
        <v>4</v>
      </c>
      <c r="S390" s="300" t="s">
        <v>1981</v>
      </c>
      <c r="T390" s="300" t="s">
        <v>2458</v>
      </c>
      <c r="U390" s="303">
        <v>0.38169999999999998</v>
      </c>
      <c r="V390" s="300" t="s">
        <v>2458</v>
      </c>
      <c r="W390" s="315">
        <v>4.8</v>
      </c>
      <c r="X390" s="297">
        <f>(1-VLOOKUP(R390,Start!$H$33:$I$40,2,FALSE)/100)*W390</f>
        <v>4.08</v>
      </c>
      <c r="Y390" s="297">
        <f>VLOOKUP(Q390,Start!$C$9:$D$15,2,FALSE)+VLOOKUP(Q390,Start!$C$23:$D$29,2,FALSE)</f>
        <v>33.223832923832894</v>
      </c>
      <c r="Z390" s="298">
        <f>(Y390/U390)+Start!$D$19*(VLOOKUP(Q390,Start!$M$33:$N$39,2,FALSE)/U390)+VLOOKUP(R390,Start!$C$33:$D$40,2,FALSE)</f>
        <v>106.08732754475477</v>
      </c>
      <c r="AA390" s="234"/>
      <c r="AB390" s="278"/>
    </row>
    <row r="391" spans="2:28" ht="18.75" customHeight="1" x14ac:dyDescent="0.3">
      <c r="B391" s="229"/>
      <c r="C391" s="289" t="s">
        <v>2485</v>
      </c>
      <c r="D391" s="299" t="s">
        <v>951</v>
      </c>
      <c r="E391" s="300" t="s">
        <v>952</v>
      </c>
      <c r="F391" s="300" t="s">
        <v>953</v>
      </c>
      <c r="G391" s="311">
        <v>47475</v>
      </c>
      <c r="H391" s="312" t="s">
        <v>954</v>
      </c>
      <c r="I391" s="300" t="s">
        <v>955</v>
      </c>
      <c r="J391" s="306" t="s">
        <v>19</v>
      </c>
      <c r="K391" s="300" t="s">
        <v>956</v>
      </c>
      <c r="L391" s="304" t="s">
        <v>2297</v>
      </c>
      <c r="M391" s="300" t="s">
        <v>6</v>
      </c>
      <c r="N391" s="300" t="s">
        <v>6</v>
      </c>
      <c r="O391" s="300" t="s">
        <v>377</v>
      </c>
      <c r="P391" s="314" t="s">
        <v>6</v>
      </c>
      <c r="Q391" s="300" t="s">
        <v>6</v>
      </c>
      <c r="R391" s="300" t="s">
        <v>6</v>
      </c>
      <c r="S391" s="300" t="s">
        <v>1981</v>
      </c>
      <c r="T391" s="300" t="s">
        <v>2458</v>
      </c>
      <c r="U391" s="303">
        <v>0.33</v>
      </c>
      <c r="V391" s="300" t="s">
        <v>2458</v>
      </c>
      <c r="W391" s="315">
        <v>16</v>
      </c>
      <c r="X391" s="297">
        <f>(1-VLOOKUP(R391,Start!$H$33:$I$40,2,FALSE)/100)*W391</f>
        <v>13.6</v>
      </c>
      <c r="Y391" s="297">
        <f>VLOOKUP(Q391,Start!$C$9:$D$15,2,FALSE)+VLOOKUP(Q391,Start!$C$23:$D$29,2,FALSE)</f>
        <v>0</v>
      </c>
      <c r="Z391" s="298">
        <f>(Y391/U391)+Start!$D$19*(VLOOKUP(Q391,Start!$M$33:$N$39,2,FALSE)/U391)+VLOOKUP(R391,Start!$C$33:$D$40,2,FALSE)</f>
        <v>1</v>
      </c>
      <c r="AA391" s="234"/>
      <c r="AB391" s="278"/>
    </row>
    <row r="392" spans="2:28" ht="18.75" customHeight="1" x14ac:dyDescent="0.3">
      <c r="B392" s="229"/>
      <c r="C392" s="289" t="s">
        <v>2485</v>
      </c>
      <c r="D392" s="299" t="s">
        <v>975</v>
      </c>
      <c r="E392" s="300" t="s">
        <v>976</v>
      </c>
      <c r="F392" s="300" t="s">
        <v>977</v>
      </c>
      <c r="G392" s="311">
        <v>34123</v>
      </c>
      <c r="H392" s="312" t="s">
        <v>978</v>
      </c>
      <c r="I392" s="300"/>
      <c r="J392" s="301" t="s">
        <v>105</v>
      </c>
      <c r="K392" s="300"/>
      <c r="L392" s="304" t="s">
        <v>2354</v>
      </c>
      <c r="M392" s="300" t="s">
        <v>419</v>
      </c>
      <c r="N392" s="300" t="s">
        <v>6</v>
      </c>
      <c r="O392" s="300" t="s">
        <v>979</v>
      </c>
      <c r="P392" s="314" t="s">
        <v>6</v>
      </c>
      <c r="Q392" s="300" t="s">
        <v>6</v>
      </c>
      <c r="R392" s="300" t="s">
        <v>6</v>
      </c>
      <c r="S392" s="300" t="s">
        <v>1981</v>
      </c>
      <c r="T392" s="300" t="s">
        <v>2458</v>
      </c>
      <c r="U392" s="303">
        <v>0.33</v>
      </c>
      <c r="V392" s="300" t="s">
        <v>2458</v>
      </c>
      <c r="W392" s="315">
        <v>14.7</v>
      </c>
      <c r="X392" s="297">
        <f>(1-VLOOKUP(R392,Start!$H$33:$I$40,2,FALSE)/100)*W392</f>
        <v>12.494999999999999</v>
      </c>
      <c r="Y392" s="297">
        <f>VLOOKUP(Q392,Start!$C$9:$D$15,2,FALSE)+VLOOKUP(Q392,Start!$C$23:$D$29,2,FALSE)</f>
        <v>0</v>
      </c>
      <c r="Z392" s="298">
        <f>(Y392/U392)+Start!$D$19*(VLOOKUP(Q392,Start!$M$33:$N$39,2,FALSE)/U392)+VLOOKUP(R392,Start!$C$33:$D$40,2,FALSE)</f>
        <v>1</v>
      </c>
      <c r="AA392" s="234"/>
      <c r="AB392" s="278"/>
    </row>
    <row r="393" spans="2:28" ht="18.75" customHeight="1" x14ac:dyDescent="0.3">
      <c r="B393" s="229"/>
      <c r="C393" s="289" t="s">
        <v>2485</v>
      </c>
      <c r="D393" s="305" t="s">
        <v>1018</v>
      </c>
      <c r="E393" s="300" t="s">
        <v>1013</v>
      </c>
      <c r="F393" s="300" t="s">
        <v>1014</v>
      </c>
      <c r="G393" s="302">
        <v>50769</v>
      </c>
      <c r="H393" s="300" t="s">
        <v>1005</v>
      </c>
      <c r="I393" s="300"/>
      <c r="J393" s="306" t="s">
        <v>19</v>
      </c>
      <c r="K393" s="300" t="s">
        <v>319</v>
      </c>
      <c r="L393" s="304" t="s">
        <v>2202</v>
      </c>
      <c r="M393" s="300" t="s">
        <v>7</v>
      </c>
      <c r="N393" s="300"/>
      <c r="O393" s="300"/>
      <c r="P393" s="300" t="s">
        <v>7</v>
      </c>
      <c r="Q393" s="300" t="s">
        <v>7</v>
      </c>
      <c r="R393" s="300" t="s">
        <v>226</v>
      </c>
      <c r="S393" s="300" t="s">
        <v>1981</v>
      </c>
      <c r="T393" s="300" t="s">
        <v>2458</v>
      </c>
      <c r="U393" s="303">
        <v>0.39600000000000002</v>
      </c>
      <c r="V393" s="300" t="s">
        <v>2458</v>
      </c>
      <c r="W393" s="307">
        <v>15.5</v>
      </c>
      <c r="X393" s="297">
        <f>(1-VLOOKUP(R393,Start!$H$33:$I$40,2,FALSE)/100)*W393</f>
        <v>13.795</v>
      </c>
      <c r="Y393" s="297">
        <f>VLOOKUP(Q393,Start!$C$9:$D$15,2,FALSE)+VLOOKUP(Q393,Start!$C$23:$D$29,2,FALSE)</f>
        <v>23.27</v>
      </c>
      <c r="Z393" s="298">
        <f>(Y393/U393)+Start!$D$19*(VLOOKUP(Q393,Start!$M$33:$N$39,2,FALSE)/U393)+VLOOKUP(R393,Start!$C$33:$D$40,2,FALSE)</f>
        <v>72.74898989898989</v>
      </c>
      <c r="AA393" s="234"/>
      <c r="AB393" s="278"/>
    </row>
    <row r="394" spans="2:28" ht="18.75" customHeight="1" x14ac:dyDescent="0.3">
      <c r="B394" s="229"/>
      <c r="C394" s="289" t="s">
        <v>2485</v>
      </c>
      <c r="D394" s="305" t="s">
        <v>1019</v>
      </c>
      <c r="E394" s="300" t="s">
        <v>1013</v>
      </c>
      <c r="F394" s="300" t="s">
        <v>1020</v>
      </c>
      <c r="G394" s="302">
        <v>51109</v>
      </c>
      <c r="H394" s="300" t="s">
        <v>1005</v>
      </c>
      <c r="I394" s="300"/>
      <c r="J394" s="306" t="s">
        <v>19</v>
      </c>
      <c r="K394" s="300" t="s">
        <v>226</v>
      </c>
      <c r="L394" s="304" t="s">
        <v>2203</v>
      </c>
      <c r="M394" s="132" t="s">
        <v>7</v>
      </c>
      <c r="N394" s="132"/>
      <c r="O394" s="132"/>
      <c r="P394" s="132" t="s">
        <v>7</v>
      </c>
      <c r="Q394" s="300" t="s">
        <v>7</v>
      </c>
      <c r="R394" s="300" t="s">
        <v>226</v>
      </c>
      <c r="S394" s="300" t="s">
        <v>1996</v>
      </c>
      <c r="T394" s="300" t="s">
        <v>2458</v>
      </c>
      <c r="U394" s="303">
        <v>0.54449999999999998</v>
      </c>
      <c r="V394" s="300" t="s">
        <v>2458</v>
      </c>
      <c r="W394" s="307">
        <v>15.8</v>
      </c>
      <c r="X394" s="297">
        <f>(1-VLOOKUP(R394,Start!$H$33:$I$40,2,FALSE)/100)*W394</f>
        <v>14.062000000000001</v>
      </c>
      <c r="Y394" s="297">
        <f>VLOOKUP(Q394,Start!$C$9:$D$15,2,FALSE)+VLOOKUP(Q394,Start!$C$23:$D$29,2,FALSE)</f>
        <v>23.27</v>
      </c>
      <c r="Z394" s="298">
        <f>(Y394/U394)+Start!$D$19*(VLOOKUP(Q394,Start!$M$33:$N$39,2,FALSE)/U394)+VLOOKUP(R394,Start!$C$33:$D$40,2,FALSE)</f>
        <v>53.317447199265381</v>
      </c>
      <c r="AA394" s="234"/>
      <c r="AB394" s="278"/>
    </row>
    <row r="395" spans="2:28" ht="18.75" customHeight="1" x14ac:dyDescent="0.3">
      <c r="B395" s="229"/>
      <c r="C395" s="289" t="s">
        <v>2485</v>
      </c>
      <c r="D395" s="305" t="s">
        <v>1002</v>
      </c>
      <c r="E395" s="300" t="s">
        <v>1003</v>
      </c>
      <c r="F395" s="300" t="s">
        <v>1004</v>
      </c>
      <c r="G395" s="302">
        <v>50735</v>
      </c>
      <c r="H395" s="300" t="s">
        <v>1005</v>
      </c>
      <c r="I395" s="300" t="s">
        <v>1006</v>
      </c>
      <c r="J395" s="306" t="s">
        <v>19</v>
      </c>
      <c r="K395" s="300" t="s">
        <v>1004</v>
      </c>
      <c r="L395" s="304" t="s">
        <v>2355</v>
      </c>
      <c r="M395" s="300" t="s">
        <v>6</v>
      </c>
      <c r="N395" s="300" t="s">
        <v>6</v>
      </c>
      <c r="O395" s="300" t="s">
        <v>1007</v>
      </c>
      <c r="P395" s="300" t="s">
        <v>6</v>
      </c>
      <c r="Q395" s="300" t="s">
        <v>6</v>
      </c>
      <c r="R395" s="300" t="s">
        <v>6</v>
      </c>
      <c r="S395" s="300" t="s">
        <v>1981</v>
      </c>
      <c r="T395" s="300" t="s">
        <v>2458</v>
      </c>
      <c r="U395" s="303">
        <v>0.33</v>
      </c>
      <c r="V395" s="300" t="s">
        <v>2458</v>
      </c>
      <c r="W395" s="307">
        <v>45.1</v>
      </c>
      <c r="X395" s="297">
        <f>(1-VLOOKUP(R395,Start!$H$33:$I$40,2,FALSE)/100)*W395</f>
        <v>38.335000000000001</v>
      </c>
      <c r="Y395" s="297">
        <f>VLOOKUP(Q395,Start!$C$9:$D$15,2,FALSE)+VLOOKUP(Q395,Start!$C$23:$D$29,2,FALSE)</f>
        <v>0</v>
      </c>
      <c r="Z395" s="298">
        <f>(Y395/U395)+Start!$D$19*(VLOOKUP(Q395,Start!$M$33:$N$39,2,FALSE)/U395)+VLOOKUP(R395,Start!$C$33:$D$40,2,FALSE)</f>
        <v>1</v>
      </c>
      <c r="AA395" s="234"/>
      <c r="AB395" s="278"/>
    </row>
    <row r="396" spans="2:28" ht="18.75" customHeight="1" x14ac:dyDescent="0.3">
      <c r="B396" s="229"/>
      <c r="C396" s="289" t="s">
        <v>2485</v>
      </c>
      <c r="D396" s="299" t="s">
        <v>1048</v>
      </c>
      <c r="E396" s="300" t="s">
        <v>622</v>
      </c>
      <c r="F396" s="300" t="s">
        <v>1049</v>
      </c>
      <c r="G396" s="302">
        <v>6420</v>
      </c>
      <c r="H396" s="300" t="s">
        <v>1050</v>
      </c>
      <c r="I396" s="300" t="s">
        <v>1051</v>
      </c>
      <c r="J396" s="306" t="s">
        <v>38</v>
      </c>
      <c r="K396" s="300" t="s">
        <v>1052</v>
      </c>
      <c r="L396" s="304" t="s">
        <v>2103</v>
      </c>
      <c r="M396" s="300" t="s">
        <v>47</v>
      </c>
      <c r="N396" s="300" t="s">
        <v>2</v>
      </c>
      <c r="O396" s="300" t="s">
        <v>82</v>
      </c>
      <c r="P396" s="300" t="s">
        <v>2</v>
      </c>
      <c r="Q396" s="300" t="s">
        <v>2</v>
      </c>
      <c r="R396" s="300" t="s">
        <v>2</v>
      </c>
      <c r="S396" s="300" t="s">
        <v>1981</v>
      </c>
      <c r="T396" s="300" t="s">
        <v>2458</v>
      </c>
      <c r="U396" s="303">
        <v>0.43359999999999999</v>
      </c>
      <c r="V396" s="300" t="s">
        <v>2458</v>
      </c>
      <c r="W396" s="307">
        <v>20.3</v>
      </c>
      <c r="X396" s="297">
        <f>(1-VLOOKUP(R396,Start!$H$33:$I$40,2,FALSE)/100)*W396</f>
        <v>17.661000000000001</v>
      </c>
      <c r="Y396" s="297">
        <f>VLOOKUP(Q396,Start!$C$9:$D$15,2,FALSE)+VLOOKUP(Q396,Start!$C$23:$D$29,2,FALSE)</f>
        <v>3.1</v>
      </c>
      <c r="Z396" s="298">
        <f>(Y396/U396)+Start!$D$19*(VLOOKUP(Q396,Start!$M$33:$N$39,2,FALSE)/U396)+VLOOKUP(R396,Start!$C$33:$D$40,2,FALSE)</f>
        <v>31.770110701107011</v>
      </c>
      <c r="AA396" s="234"/>
      <c r="AB396" s="278"/>
    </row>
    <row r="397" spans="2:28" ht="18.75" customHeight="1" x14ac:dyDescent="0.3">
      <c r="B397" s="229"/>
      <c r="C397" s="289" t="s">
        <v>2485</v>
      </c>
      <c r="D397" s="299" t="s">
        <v>1062</v>
      </c>
      <c r="E397" s="300" t="s">
        <v>1057</v>
      </c>
      <c r="F397" s="300" t="s">
        <v>1058</v>
      </c>
      <c r="G397" s="311">
        <v>47829</v>
      </c>
      <c r="H397" s="312" t="s">
        <v>1059</v>
      </c>
      <c r="I397" s="300" t="s">
        <v>1060</v>
      </c>
      <c r="J397" s="301" t="s">
        <v>19</v>
      </c>
      <c r="K397" s="300" t="s">
        <v>1063</v>
      </c>
      <c r="L397" s="304" t="s">
        <v>2152</v>
      </c>
      <c r="M397" s="300" t="s">
        <v>6</v>
      </c>
      <c r="N397" s="300" t="s">
        <v>21</v>
      </c>
      <c r="O397" s="300" t="s">
        <v>21</v>
      </c>
      <c r="P397" s="300" t="s">
        <v>6</v>
      </c>
      <c r="Q397" s="300" t="s">
        <v>6</v>
      </c>
      <c r="R397" s="300" t="s">
        <v>6</v>
      </c>
      <c r="S397" s="300" t="s">
        <v>1981</v>
      </c>
      <c r="T397" s="300" t="s">
        <v>2458</v>
      </c>
      <c r="U397" s="303">
        <v>0.33</v>
      </c>
      <c r="V397" s="300" t="s">
        <v>2458</v>
      </c>
      <c r="W397" s="315">
        <v>13.8</v>
      </c>
      <c r="X397" s="297">
        <f>(1-VLOOKUP(R397,Start!$H$33:$I$40,2,FALSE)/100)*W397</f>
        <v>11.73</v>
      </c>
      <c r="Y397" s="297">
        <f>VLOOKUP(Q397,Start!$C$9:$D$15,2,FALSE)+VLOOKUP(Q397,Start!$C$23:$D$29,2,FALSE)</f>
        <v>0</v>
      </c>
      <c r="Z397" s="298">
        <f>(Y397/U397)+Start!$D$19*(VLOOKUP(Q397,Start!$M$33:$N$39,2,FALSE)/U397)+VLOOKUP(R397,Start!$C$33:$D$40,2,FALSE)</f>
        <v>1</v>
      </c>
      <c r="AA397" s="234"/>
      <c r="AB397" s="278"/>
    </row>
    <row r="398" spans="2:28" ht="18.75" customHeight="1" x14ac:dyDescent="0.3">
      <c r="B398" s="229"/>
      <c r="C398" s="289" t="s">
        <v>2485</v>
      </c>
      <c r="D398" s="318" t="s">
        <v>1064</v>
      </c>
      <c r="E398" s="319" t="s">
        <v>1057</v>
      </c>
      <c r="F398" s="320" t="s">
        <v>1058</v>
      </c>
      <c r="G398" s="311">
        <v>47829</v>
      </c>
      <c r="H398" s="320" t="s">
        <v>1059</v>
      </c>
      <c r="I398" s="321" t="s">
        <v>1060</v>
      </c>
      <c r="J398" s="320" t="s">
        <v>19</v>
      </c>
      <c r="K398" s="319" t="s">
        <v>1065</v>
      </c>
      <c r="L398" s="304" t="s">
        <v>2053</v>
      </c>
      <c r="M398" s="322" t="s">
        <v>6</v>
      </c>
      <c r="N398" s="321" t="s">
        <v>21</v>
      </c>
      <c r="O398" s="319" t="s">
        <v>21</v>
      </c>
      <c r="P398" s="314" t="s">
        <v>6</v>
      </c>
      <c r="Q398" s="300" t="s">
        <v>6</v>
      </c>
      <c r="R398" s="300" t="s">
        <v>6</v>
      </c>
      <c r="S398" s="300" t="s">
        <v>1981</v>
      </c>
      <c r="T398" s="300" t="s">
        <v>2458</v>
      </c>
      <c r="U398" s="303">
        <v>0.33</v>
      </c>
      <c r="V398" s="300" t="s">
        <v>2458</v>
      </c>
      <c r="W398" s="315">
        <v>1.5</v>
      </c>
      <c r="X398" s="297">
        <f>(1-VLOOKUP(R398,Start!$H$33:$I$40,2,FALSE)/100)*W398</f>
        <v>1.2749999999999999</v>
      </c>
      <c r="Y398" s="297">
        <f>VLOOKUP(Q398,Start!$C$9:$D$15,2,FALSE)+VLOOKUP(Q398,Start!$C$23:$D$29,2,FALSE)</f>
        <v>0</v>
      </c>
      <c r="Z398" s="298">
        <f>(Y398/U398)+Start!$D$19*(VLOOKUP(Q398,Start!$M$33:$N$39,2,FALSE)/U398)+VLOOKUP(R398,Start!$C$33:$D$40,2,FALSE)</f>
        <v>1</v>
      </c>
      <c r="AA398" s="234"/>
      <c r="AB398" s="278"/>
    </row>
    <row r="399" spans="2:28" ht="18.75" customHeight="1" x14ac:dyDescent="0.3">
      <c r="B399" s="229"/>
      <c r="C399" s="289" t="s">
        <v>2485</v>
      </c>
      <c r="D399" s="299" t="s">
        <v>1066</v>
      </c>
      <c r="E399" s="317" t="s">
        <v>1057</v>
      </c>
      <c r="F399" s="303" t="s">
        <v>1058</v>
      </c>
      <c r="G399" s="308">
        <v>47829</v>
      </c>
      <c r="H399" s="303" t="s">
        <v>1059</v>
      </c>
      <c r="I399" s="303" t="s">
        <v>1060</v>
      </c>
      <c r="J399" s="306" t="s">
        <v>19</v>
      </c>
      <c r="K399" s="303" t="s">
        <v>33</v>
      </c>
      <c r="L399" s="304" t="s">
        <v>1988</v>
      </c>
      <c r="M399" s="303" t="s">
        <v>6</v>
      </c>
      <c r="N399" s="303" t="s">
        <v>21</v>
      </c>
      <c r="O399" s="303" t="s">
        <v>21</v>
      </c>
      <c r="P399" s="303" t="s">
        <v>6</v>
      </c>
      <c r="Q399" s="300" t="s">
        <v>6</v>
      </c>
      <c r="R399" s="300" t="s">
        <v>6</v>
      </c>
      <c r="S399" s="300" t="s">
        <v>1981</v>
      </c>
      <c r="T399" s="300" t="s">
        <v>2458</v>
      </c>
      <c r="U399" s="303">
        <v>0.33</v>
      </c>
      <c r="V399" s="300" t="s">
        <v>2458</v>
      </c>
      <c r="W399" s="297">
        <v>2.8</v>
      </c>
      <c r="X399" s="297">
        <f>(1-VLOOKUP(R399,Start!$H$33:$I$40,2,FALSE)/100)*W399</f>
        <v>2.38</v>
      </c>
      <c r="Y399" s="297">
        <f>VLOOKUP(Q399,Start!$C$9:$D$15,2,FALSE)+VLOOKUP(Q399,Start!$C$23:$D$29,2,FALSE)</f>
        <v>0</v>
      </c>
      <c r="Z399" s="298">
        <f>(Y399/U399)+Start!$D$19*(VLOOKUP(Q399,Start!$M$33:$N$39,2,FALSE)/U399)+VLOOKUP(R399,Start!$C$33:$D$40,2,FALSE)</f>
        <v>1</v>
      </c>
      <c r="AA399" s="234"/>
      <c r="AB399" s="278"/>
    </row>
    <row r="400" spans="2:28" ht="18.75" customHeight="1" x14ac:dyDescent="0.3">
      <c r="B400" s="229"/>
      <c r="C400" s="289" t="s">
        <v>2485</v>
      </c>
      <c r="D400" s="299" t="s">
        <v>1067</v>
      </c>
      <c r="E400" s="317" t="s">
        <v>1057</v>
      </c>
      <c r="F400" s="303" t="s">
        <v>1058</v>
      </c>
      <c r="G400" s="308">
        <v>47829</v>
      </c>
      <c r="H400" s="303" t="s">
        <v>1059</v>
      </c>
      <c r="I400" s="303" t="s">
        <v>1060</v>
      </c>
      <c r="J400" s="306" t="s">
        <v>19</v>
      </c>
      <c r="K400" s="303" t="s">
        <v>1068</v>
      </c>
      <c r="L400" s="304" t="s">
        <v>2053</v>
      </c>
      <c r="M400" s="303" t="s">
        <v>6</v>
      </c>
      <c r="N400" s="303" t="s">
        <v>21</v>
      </c>
      <c r="O400" s="303" t="s">
        <v>21</v>
      </c>
      <c r="P400" s="303" t="s">
        <v>6</v>
      </c>
      <c r="Q400" s="300" t="s">
        <v>6</v>
      </c>
      <c r="R400" s="300" t="s">
        <v>6</v>
      </c>
      <c r="S400" s="300" t="s">
        <v>1981</v>
      </c>
      <c r="T400" s="300" t="s">
        <v>2458</v>
      </c>
      <c r="U400" s="303">
        <v>0.33</v>
      </c>
      <c r="V400" s="300" t="s">
        <v>2458</v>
      </c>
      <c r="W400" s="297">
        <v>1.5</v>
      </c>
      <c r="X400" s="297">
        <f>(1-VLOOKUP(R400,Start!$H$33:$I$40,2,FALSE)/100)*W400</f>
        <v>1.2749999999999999</v>
      </c>
      <c r="Y400" s="297">
        <f>VLOOKUP(Q400,Start!$C$9:$D$15,2,FALSE)+VLOOKUP(Q400,Start!$C$23:$D$29,2,FALSE)</f>
        <v>0</v>
      </c>
      <c r="Z400" s="298">
        <f>(Y400/U400)+Start!$D$19*(VLOOKUP(Q400,Start!$M$33:$N$39,2,FALSE)/U400)+VLOOKUP(R400,Start!$C$33:$D$40,2,FALSE)</f>
        <v>1</v>
      </c>
      <c r="AA400" s="234"/>
      <c r="AB400" s="278"/>
    </row>
    <row r="401" spans="2:28" ht="18.75" customHeight="1" x14ac:dyDescent="0.3">
      <c r="B401" s="229"/>
      <c r="C401" s="289" t="s">
        <v>2485</v>
      </c>
      <c r="D401" s="318" t="s">
        <v>1100</v>
      </c>
      <c r="E401" s="300" t="s">
        <v>622</v>
      </c>
      <c r="F401" s="320" t="s">
        <v>1101</v>
      </c>
      <c r="G401" s="311">
        <v>32791</v>
      </c>
      <c r="H401" s="320" t="s">
        <v>1102</v>
      </c>
      <c r="I401" s="321" t="s">
        <v>1103</v>
      </c>
      <c r="J401" s="320" t="s">
        <v>19</v>
      </c>
      <c r="K401" s="319" t="s">
        <v>1104</v>
      </c>
      <c r="L401" s="304" t="s">
        <v>2208</v>
      </c>
      <c r="M401" s="322" t="s">
        <v>47</v>
      </c>
      <c r="N401" s="321" t="s">
        <v>7</v>
      </c>
      <c r="O401" s="319" t="s">
        <v>69</v>
      </c>
      <c r="P401" s="314" t="s">
        <v>7</v>
      </c>
      <c r="Q401" s="300" t="s">
        <v>7</v>
      </c>
      <c r="R401" s="300" t="s">
        <v>226</v>
      </c>
      <c r="S401" s="300" t="s">
        <v>1981</v>
      </c>
      <c r="T401" s="300" t="s">
        <v>2458</v>
      </c>
      <c r="U401" s="303">
        <v>0.4037</v>
      </c>
      <c r="V401" s="300" t="s">
        <v>2458</v>
      </c>
      <c r="W401" s="315">
        <v>10.199999999999999</v>
      </c>
      <c r="X401" s="297">
        <f>(1-VLOOKUP(R401,Start!$H$33:$I$40,2,FALSE)/100)*W401</f>
        <v>9.0779999999999994</v>
      </c>
      <c r="Y401" s="297">
        <f>VLOOKUP(Q401,Start!$C$9:$D$15,2,FALSE)+VLOOKUP(Q401,Start!$C$23:$D$29,2,FALSE)</f>
        <v>23.27</v>
      </c>
      <c r="Z401" s="298">
        <f>(Y401/U401)+Start!$D$19*(VLOOKUP(Q401,Start!$M$33:$N$39,2,FALSE)/U401)+VLOOKUP(R401,Start!$C$33:$D$40,2,FALSE)</f>
        <v>71.390017339608619</v>
      </c>
      <c r="AA401" s="234"/>
      <c r="AB401" s="278"/>
    </row>
    <row r="402" spans="2:28" ht="18.75" customHeight="1" x14ac:dyDescent="0.3">
      <c r="B402" s="229"/>
      <c r="C402" s="289" t="s">
        <v>2485</v>
      </c>
      <c r="D402" s="299" t="s">
        <v>1108</v>
      </c>
      <c r="E402" s="300" t="s">
        <v>458</v>
      </c>
      <c r="F402" s="300" t="s">
        <v>1109</v>
      </c>
      <c r="G402" s="302">
        <v>2991</v>
      </c>
      <c r="H402" s="300" t="s">
        <v>1110</v>
      </c>
      <c r="I402" s="300" t="s">
        <v>1111</v>
      </c>
      <c r="J402" s="306" t="s">
        <v>78</v>
      </c>
      <c r="K402" s="300"/>
      <c r="L402" s="304" t="s">
        <v>2357</v>
      </c>
      <c r="M402" s="300" t="s">
        <v>6</v>
      </c>
      <c r="N402" s="300" t="s">
        <v>6</v>
      </c>
      <c r="O402" s="300" t="s">
        <v>115</v>
      </c>
      <c r="P402" s="314" t="s">
        <v>6</v>
      </c>
      <c r="Q402" s="300" t="s">
        <v>6</v>
      </c>
      <c r="R402" s="300" t="s">
        <v>6</v>
      </c>
      <c r="S402" s="300" t="s">
        <v>1981</v>
      </c>
      <c r="T402" s="300" t="s">
        <v>2458</v>
      </c>
      <c r="U402" s="303">
        <v>0.33</v>
      </c>
      <c r="V402" s="300" t="s">
        <v>2458</v>
      </c>
      <c r="W402" s="307">
        <v>15.7</v>
      </c>
      <c r="X402" s="297">
        <f>(1-VLOOKUP(R402,Start!$H$33:$I$40,2,FALSE)/100)*W402</f>
        <v>13.344999999999999</v>
      </c>
      <c r="Y402" s="297">
        <f>VLOOKUP(Q402,Start!$C$9:$D$15,2,FALSE)+VLOOKUP(Q402,Start!$C$23:$D$29,2,FALSE)</f>
        <v>0</v>
      </c>
      <c r="Z402" s="298">
        <f>(Y402/U402)+Start!$D$19*(VLOOKUP(Q402,Start!$M$33:$N$39,2,FALSE)/U402)+VLOOKUP(R402,Start!$C$33:$D$40,2,FALSE)</f>
        <v>1</v>
      </c>
      <c r="AA402" s="234"/>
      <c r="AB402" s="278"/>
    </row>
    <row r="403" spans="2:28" ht="18.75" customHeight="1" x14ac:dyDescent="0.3">
      <c r="B403" s="229"/>
      <c r="C403" s="289" t="s">
        <v>2485</v>
      </c>
      <c r="D403" s="299" t="s">
        <v>1119</v>
      </c>
      <c r="E403" s="300" t="s">
        <v>1116</v>
      </c>
      <c r="F403" s="300" t="s">
        <v>1120</v>
      </c>
      <c r="G403" s="302">
        <v>32657</v>
      </c>
      <c r="H403" s="300" t="s">
        <v>1121</v>
      </c>
      <c r="I403" s="300" t="s">
        <v>1122</v>
      </c>
      <c r="J403" s="306" t="s">
        <v>19</v>
      </c>
      <c r="K403" s="300"/>
      <c r="L403" s="304" t="s">
        <v>2211</v>
      </c>
      <c r="M403" s="300" t="s">
        <v>7</v>
      </c>
      <c r="N403" s="300"/>
      <c r="O403" s="300"/>
      <c r="P403" s="300" t="s">
        <v>7</v>
      </c>
      <c r="Q403" s="300" t="s">
        <v>7</v>
      </c>
      <c r="R403" s="300" t="s">
        <v>226</v>
      </c>
      <c r="S403" s="300" t="s">
        <v>1981</v>
      </c>
      <c r="T403" s="300" t="s">
        <v>2458</v>
      </c>
      <c r="U403" s="303">
        <v>0.3861</v>
      </c>
      <c r="V403" s="300" t="s">
        <v>2458</v>
      </c>
      <c r="W403" s="307">
        <v>12.8</v>
      </c>
      <c r="X403" s="297">
        <f>(1-VLOOKUP(R403,Start!$H$33:$I$40,2,FALSE)/100)*W403</f>
        <v>11.392000000000001</v>
      </c>
      <c r="Y403" s="297">
        <f>VLOOKUP(Q403,Start!$C$9:$D$15,2,FALSE)+VLOOKUP(Q403,Start!$C$23:$D$29,2,FALSE)</f>
        <v>23.27</v>
      </c>
      <c r="Z403" s="298">
        <f>(Y403/U403)+Start!$D$19*(VLOOKUP(Q403,Start!$M$33:$N$39,2,FALSE)/U403)+VLOOKUP(R403,Start!$C$33:$D$40,2,FALSE)</f>
        <v>74.575887075887081</v>
      </c>
      <c r="AA403" s="234"/>
      <c r="AB403" s="278"/>
    </row>
    <row r="404" spans="2:28" ht="18.75" customHeight="1" x14ac:dyDescent="0.3">
      <c r="B404" s="229"/>
      <c r="C404" s="289" t="s">
        <v>2485</v>
      </c>
      <c r="D404" s="299" t="s">
        <v>1203</v>
      </c>
      <c r="E404" s="300" t="s">
        <v>641</v>
      </c>
      <c r="F404" s="300" t="s">
        <v>1204</v>
      </c>
      <c r="G404" s="302">
        <v>67065</v>
      </c>
      <c r="H404" s="300" t="s">
        <v>1187</v>
      </c>
      <c r="I404" s="300" t="s">
        <v>1205</v>
      </c>
      <c r="J404" s="306" t="s">
        <v>37</v>
      </c>
      <c r="K404" s="132" t="s">
        <v>1206</v>
      </c>
      <c r="L404" s="304" t="s">
        <v>2217</v>
      </c>
      <c r="M404" s="132" t="s">
        <v>7</v>
      </c>
      <c r="N404" s="132"/>
      <c r="O404" s="132"/>
      <c r="P404" s="132" t="s">
        <v>7</v>
      </c>
      <c r="Q404" s="300" t="s">
        <v>7</v>
      </c>
      <c r="R404" s="300" t="s">
        <v>226</v>
      </c>
      <c r="S404" s="300" t="s">
        <v>1981</v>
      </c>
      <c r="T404" s="300" t="s">
        <v>2458</v>
      </c>
      <c r="U404" s="303">
        <v>0.39379999999999998</v>
      </c>
      <c r="V404" s="300" t="s">
        <v>2458</v>
      </c>
      <c r="W404" s="307">
        <v>12.5</v>
      </c>
      <c r="X404" s="297">
        <f>(1-VLOOKUP(R404,Start!$H$33:$I$40,2,FALSE)/100)*W404</f>
        <v>11.125</v>
      </c>
      <c r="Y404" s="297">
        <f>VLOOKUP(Q404,Start!$C$9:$D$15,2,FALSE)+VLOOKUP(Q404,Start!$C$23:$D$29,2,FALSE)</f>
        <v>23.27</v>
      </c>
      <c r="Z404" s="298">
        <f>(Y404/U404)+Start!$D$19*(VLOOKUP(Q404,Start!$M$33:$N$39,2,FALSE)/U404)+VLOOKUP(R404,Start!$C$33:$D$40,2,FALSE)</f>
        <v>73.147028948704929</v>
      </c>
      <c r="AA404" s="234"/>
      <c r="AB404" s="278"/>
    </row>
    <row r="405" spans="2:28" ht="18.75" customHeight="1" x14ac:dyDescent="0.3">
      <c r="B405" s="229"/>
      <c r="C405" s="289" t="s">
        <v>2485</v>
      </c>
      <c r="D405" s="305" t="s">
        <v>1207</v>
      </c>
      <c r="E405" s="300" t="s">
        <v>641</v>
      </c>
      <c r="F405" s="300" t="s">
        <v>1208</v>
      </c>
      <c r="G405" s="302">
        <v>67065</v>
      </c>
      <c r="H405" s="300" t="s">
        <v>1187</v>
      </c>
      <c r="I405" s="300" t="s">
        <v>1209</v>
      </c>
      <c r="J405" s="306" t="s">
        <v>37</v>
      </c>
      <c r="K405" s="300" t="s">
        <v>226</v>
      </c>
      <c r="L405" s="304" t="s">
        <v>2218</v>
      </c>
      <c r="M405" s="300" t="s">
        <v>7</v>
      </c>
      <c r="N405" s="300"/>
      <c r="O405" s="300"/>
      <c r="P405" s="300" t="s">
        <v>7</v>
      </c>
      <c r="Q405" s="300" t="s">
        <v>7</v>
      </c>
      <c r="R405" s="300" t="s">
        <v>226</v>
      </c>
      <c r="S405" s="300" t="s">
        <v>1996</v>
      </c>
      <c r="T405" s="300" t="s">
        <v>2458</v>
      </c>
      <c r="U405" s="303">
        <v>0.55349999999999999</v>
      </c>
      <c r="V405" s="300" t="s">
        <v>2458</v>
      </c>
      <c r="W405" s="307">
        <v>11.96</v>
      </c>
      <c r="X405" s="297">
        <f>(1-VLOOKUP(R405,Start!$H$33:$I$40,2,FALSE)/100)*W405</f>
        <v>10.644400000000001</v>
      </c>
      <c r="Y405" s="297">
        <f>VLOOKUP(Q405,Start!$C$9:$D$15,2,FALSE)+VLOOKUP(Q405,Start!$C$23:$D$29,2,FALSE)</f>
        <v>23.27</v>
      </c>
      <c r="Z405" s="298">
        <f>(Y405/U405)+Start!$D$19*(VLOOKUP(Q405,Start!$M$33:$N$39,2,FALSE)/U405)+VLOOKUP(R405,Start!$C$33:$D$40,2,FALSE)</f>
        <v>52.474887082204162</v>
      </c>
      <c r="AA405" s="234"/>
      <c r="AB405" s="278"/>
    </row>
    <row r="406" spans="2:28" ht="18.75" customHeight="1" x14ac:dyDescent="0.3">
      <c r="B406" s="229"/>
      <c r="C406" s="289" t="s">
        <v>2485</v>
      </c>
      <c r="D406" s="299" t="s">
        <v>1188</v>
      </c>
      <c r="E406" s="300" t="s">
        <v>121</v>
      </c>
      <c r="F406" s="132" t="s">
        <v>1189</v>
      </c>
      <c r="G406" s="311">
        <v>67063</v>
      </c>
      <c r="H406" s="312" t="s">
        <v>1187</v>
      </c>
      <c r="I406" s="132" t="s">
        <v>1190</v>
      </c>
      <c r="J406" s="301" t="s">
        <v>37</v>
      </c>
      <c r="K406" s="300" t="s">
        <v>1191</v>
      </c>
      <c r="L406" s="304" t="s">
        <v>2360</v>
      </c>
      <c r="M406" s="300" t="s">
        <v>6</v>
      </c>
      <c r="N406" s="132" t="s">
        <v>7</v>
      </c>
      <c r="O406" s="300" t="s">
        <v>104</v>
      </c>
      <c r="P406" s="314" t="s">
        <v>6</v>
      </c>
      <c r="Q406" s="300" t="s">
        <v>6</v>
      </c>
      <c r="R406" s="300" t="s">
        <v>6</v>
      </c>
      <c r="S406" s="300" t="s">
        <v>1981</v>
      </c>
      <c r="T406" s="300" t="s">
        <v>2458</v>
      </c>
      <c r="U406" s="303">
        <v>0.33</v>
      </c>
      <c r="V406" s="300" t="s">
        <v>2458</v>
      </c>
      <c r="W406" s="315">
        <v>28</v>
      </c>
      <c r="X406" s="297">
        <f>(1-VLOOKUP(R406,Start!$H$33:$I$40,2,FALSE)/100)*W406</f>
        <v>23.8</v>
      </c>
      <c r="Y406" s="297">
        <f>VLOOKUP(Q406,Start!$C$9:$D$15,2,FALSE)+VLOOKUP(Q406,Start!$C$23:$D$29,2,FALSE)</f>
        <v>0</v>
      </c>
      <c r="Z406" s="298">
        <f>(Y406/U406)+Start!$D$19*(VLOOKUP(Q406,Start!$M$33:$N$39,2,FALSE)/U406)+VLOOKUP(R406,Start!$C$33:$D$40,2,FALSE)</f>
        <v>1</v>
      </c>
      <c r="AA406" s="234"/>
      <c r="AB406" s="278"/>
    </row>
    <row r="407" spans="2:28" ht="18.75" customHeight="1" x14ac:dyDescent="0.3">
      <c r="B407" s="229"/>
      <c r="C407" s="289" t="s">
        <v>2485</v>
      </c>
      <c r="D407" s="299" t="s">
        <v>1221</v>
      </c>
      <c r="E407" s="300" t="s">
        <v>1222</v>
      </c>
      <c r="F407" s="132" t="s">
        <v>1223</v>
      </c>
      <c r="G407" s="311">
        <v>6686</v>
      </c>
      <c r="H407" s="312" t="s">
        <v>1224</v>
      </c>
      <c r="I407" s="132" t="s">
        <v>1225</v>
      </c>
      <c r="J407" s="301" t="s">
        <v>38</v>
      </c>
      <c r="K407" s="301"/>
      <c r="L407" s="304" t="s">
        <v>2361</v>
      </c>
      <c r="M407" s="300" t="s">
        <v>6</v>
      </c>
      <c r="N407" s="132"/>
      <c r="O407" s="300"/>
      <c r="P407" s="132" t="s">
        <v>6</v>
      </c>
      <c r="Q407" s="300" t="s">
        <v>6</v>
      </c>
      <c r="R407" s="300" t="s">
        <v>6</v>
      </c>
      <c r="S407" s="300" t="s">
        <v>1981</v>
      </c>
      <c r="T407" s="300" t="s">
        <v>2458</v>
      </c>
      <c r="U407" s="303">
        <v>0.33</v>
      </c>
      <c r="V407" s="300" t="s">
        <v>2458</v>
      </c>
      <c r="W407" s="315">
        <v>25.4</v>
      </c>
      <c r="X407" s="297">
        <f>(1-VLOOKUP(R407,Start!$H$33:$I$40,2,FALSE)/100)*W407</f>
        <v>21.59</v>
      </c>
      <c r="Y407" s="297">
        <f>VLOOKUP(Q407,Start!$C$9:$D$15,2,FALSE)+VLOOKUP(Q407,Start!$C$23:$D$29,2,FALSE)</f>
        <v>0</v>
      </c>
      <c r="Z407" s="298">
        <f>(Y407/U407)+Start!$D$19*(VLOOKUP(Q407,Start!$M$33:$N$39,2,FALSE)/U407)+VLOOKUP(R407,Start!$C$33:$D$40,2,FALSE)</f>
        <v>1</v>
      </c>
      <c r="AA407" s="234"/>
      <c r="AB407" s="278"/>
    </row>
    <row r="408" spans="2:28" ht="18.75" customHeight="1" x14ac:dyDescent="0.3">
      <c r="B408" s="229"/>
      <c r="C408" s="289" t="s">
        <v>2485</v>
      </c>
      <c r="D408" s="299" t="s">
        <v>1231</v>
      </c>
      <c r="E408" s="300" t="s">
        <v>1232</v>
      </c>
      <c r="F408" s="300" t="s">
        <v>1233</v>
      </c>
      <c r="G408" s="302">
        <v>55120</v>
      </c>
      <c r="H408" s="300" t="s">
        <v>1234</v>
      </c>
      <c r="I408" s="300" t="s">
        <v>1235</v>
      </c>
      <c r="J408" s="306" t="s">
        <v>37</v>
      </c>
      <c r="K408" s="300"/>
      <c r="L408" s="304" t="s">
        <v>2364</v>
      </c>
      <c r="M408" s="132" t="s">
        <v>6</v>
      </c>
      <c r="N408" s="132"/>
      <c r="O408" s="132"/>
      <c r="P408" s="132" t="s">
        <v>6</v>
      </c>
      <c r="Q408" s="300" t="s">
        <v>6</v>
      </c>
      <c r="R408" s="300" t="s">
        <v>6</v>
      </c>
      <c r="S408" s="300" t="s">
        <v>1981</v>
      </c>
      <c r="T408" s="300" t="s">
        <v>2458</v>
      </c>
      <c r="U408" s="303">
        <v>0.33</v>
      </c>
      <c r="V408" s="300" t="s">
        <v>2458</v>
      </c>
      <c r="W408" s="307">
        <v>15.6</v>
      </c>
      <c r="X408" s="297">
        <f>(1-VLOOKUP(R408,Start!$H$33:$I$40,2,FALSE)/100)*W408</f>
        <v>13.26</v>
      </c>
      <c r="Y408" s="297">
        <f>VLOOKUP(Q408,Start!$C$9:$D$15,2,FALSE)+VLOOKUP(Q408,Start!$C$23:$D$29,2,FALSE)</f>
        <v>0</v>
      </c>
      <c r="Z408" s="298">
        <f>(Y408/U408)+Start!$D$19*(VLOOKUP(Q408,Start!$M$33:$N$39,2,FALSE)/U408)+VLOOKUP(R408,Start!$C$33:$D$40,2,FALSE)</f>
        <v>1</v>
      </c>
      <c r="AA408" s="234"/>
      <c r="AB408" s="278"/>
    </row>
    <row r="409" spans="2:28" ht="18.75" customHeight="1" x14ac:dyDescent="0.3">
      <c r="B409" s="229"/>
      <c r="C409" s="289" t="s">
        <v>2485</v>
      </c>
      <c r="D409" s="299" t="s">
        <v>1292</v>
      </c>
      <c r="E409" s="300" t="s">
        <v>1293</v>
      </c>
      <c r="F409" s="300" t="s">
        <v>1294</v>
      </c>
      <c r="G409" s="311">
        <v>87719</v>
      </c>
      <c r="H409" s="312" t="s">
        <v>1295</v>
      </c>
      <c r="I409" s="300" t="s">
        <v>1296</v>
      </c>
      <c r="J409" s="301" t="s">
        <v>55</v>
      </c>
      <c r="K409" s="300"/>
      <c r="L409" s="304" t="s">
        <v>2300</v>
      </c>
      <c r="M409" s="300" t="s">
        <v>48</v>
      </c>
      <c r="N409" s="300" t="s">
        <v>48</v>
      </c>
      <c r="O409" s="300" t="s">
        <v>104</v>
      </c>
      <c r="P409" s="314" t="s">
        <v>48</v>
      </c>
      <c r="Q409" s="300" t="s">
        <v>4</v>
      </c>
      <c r="R409" s="300" t="s">
        <v>4</v>
      </c>
      <c r="S409" s="300" t="s">
        <v>1981</v>
      </c>
      <c r="T409" s="300" t="s">
        <v>2458</v>
      </c>
      <c r="U409" s="303">
        <v>0.37180000000000002</v>
      </c>
      <c r="V409" s="300" t="s">
        <v>2458</v>
      </c>
      <c r="W409" s="315">
        <v>11.4</v>
      </c>
      <c r="X409" s="297">
        <f>(1-VLOOKUP(R409,Start!$H$33:$I$40,2,FALSE)/100)*W409</f>
        <v>9.69</v>
      </c>
      <c r="Y409" s="297">
        <f>VLOOKUP(Q409,Start!$C$9:$D$15,2,FALSE)+VLOOKUP(Q409,Start!$C$23:$D$29,2,FALSE)</f>
        <v>33.223832923832894</v>
      </c>
      <c r="Z409" s="298">
        <f>(Y409/U409)+Start!$D$19*(VLOOKUP(Q409,Start!$M$33:$N$39,2,FALSE)/U409)+VLOOKUP(R409,Start!$C$33:$D$40,2,FALSE)</f>
        <v>108.88551082257368</v>
      </c>
      <c r="AA409" s="234"/>
      <c r="AB409" s="278"/>
    </row>
    <row r="410" spans="2:28" ht="18.75" customHeight="1" x14ac:dyDescent="0.3">
      <c r="B410" s="229"/>
      <c r="C410" s="289" t="s">
        <v>2485</v>
      </c>
      <c r="D410" s="305" t="s">
        <v>1425</v>
      </c>
      <c r="E410" s="300" t="s">
        <v>1426</v>
      </c>
      <c r="F410" s="300" t="s">
        <v>1427</v>
      </c>
      <c r="G410" s="302">
        <v>63069</v>
      </c>
      <c r="H410" s="300" t="s">
        <v>1428</v>
      </c>
      <c r="I410" s="300"/>
      <c r="J410" s="306" t="s">
        <v>105</v>
      </c>
      <c r="K410" s="300"/>
      <c r="L410" s="304" t="s">
        <v>2301</v>
      </c>
      <c r="M410" s="300" t="s">
        <v>6</v>
      </c>
      <c r="N410" s="300"/>
      <c r="O410" s="300"/>
      <c r="P410" s="300" t="s">
        <v>6</v>
      </c>
      <c r="Q410" s="300" t="s">
        <v>6</v>
      </c>
      <c r="R410" s="300" t="s">
        <v>6</v>
      </c>
      <c r="S410" s="300" t="s">
        <v>1981</v>
      </c>
      <c r="T410" s="300" t="s">
        <v>2458</v>
      </c>
      <c r="U410" s="303">
        <v>0.33</v>
      </c>
      <c r="V410" s="300" t="s">
        <v>2458</v>
      </c>
      <c r="W410" s="307">
        <v>14.5</v>
      </c>
      <c r="X410" s="297">
        <f>(1-VLOOKUP(R410,Start!$H$33:$I$40,2,FALSE)/100)*W410</f>
        <v>12.324999999999999</v>
      </c>
      <c r="Y410" s="297">
        <f>VLOOKUP(Q410,Start!$C$9:$D$15,2,FALSE)+VLOOKUP(Q410,Start!$C$23:$D$29,2,FALSE)</f>
        <v>0</v>
      </c>
      <c r="Z410" s="298">
        <f>(Y410/U410)+Start!$D$19*(VLOOKUP(Q410,Start!$M$33:$N$39,2,FALSE)/U410)+VLOOKUP(R410,Start!$C$33:$D$40,2,FALSE)</f>
        <v>1</v>
      </c>
      <c r="AA410" s="234"/>
      <c r="AB410" s="278"/>
    </row>
    <row r="411" spans="2:28" ht="18.75" customHeight="1" x14ac:dyDescent="0.3">
      <c r="B411" s="229"/>
      <c r="C411" s="289" t="s">
        <v>2485</v>
      </c>
      <c r="D411" s="305" t="s">
        <v>1472</v>
      </c>
      <c r="E411" s="300" t="s">
        <v>1293</v>
      </c>
      <c r="F411" s="300" t="s">
        <v>1473</v>
      </c>
      <c r="G411" s="302">
        <v>87666</v>
      </c>
      <c r="H411" s="300" t="s">
        <v>1474</v>
      </c>
      <c r="I411" s="300" t="s">
        <v>267</v>
      </c>
      <c r="J411" s="306" t="s">
        <v>55</v>
      </c>
      <c r="K411" s="300"/>
      <c r="L411" s="304" t="s">
        <v>2307</v>
      </c>
      <c r="M411" s="300" t="s">
        <v>48</v>
      </c>
      <c r="N411" s="300" t="s">
        <v>48</v>
      </c>
      <c r="O411" s="300" t="s">
        <v>104</v>
      </c>
      <c r="P411" s="300" t="s">
        <v>48</v>
      </c>
      <c r="Q411" s="300" t="s">
        <v>4</v>
      </c>
      <c r="R411" s="300" t="s">
        <v>4</v>
      </c>
      <c r="S411" s="300" t="s">
        <v>1981</v>
      </c>
      <c r="T411" s="300" t="s">
        <v>2458</v>
      </c>
      <c r="U411" s="303">
        <v>0.36080000000000001</v>
      </c>
      <c r="V411" s="300" t="s">
        <v>2458</v>
      </c>
      <c r="W411" s="307">
        <v>11.4</v>
      </c>
      <c r="X411" s="297">
        <f>(1-VLOOKUP(R411,Start!$H$33:$I$40,2,FALSE)/100)*W411</f>
        <v>9.69</v>
      </c>
      <c r="Y411" s="297">
        <f>VLOOKUP(Q411,Start!$C$9:$D$15,2,FALSE)+VLOOKUP(Q411,Start!$C$23:$D$29,2,FALSE)</f>
        <v>33.223832923832894</v>
      </c>
      <c r="Z411" s="298">
        <f>(Y411/U411)+Start!$D$19*(VLOOKUP(Q411,Start!$M$33:$N$39,2,FALSE)/U411)+VLOOKUP(R411,Start!$C$33:$D$40,2,FALSE)</f>
        <v>112.17470322570092</v>
      </c>
      <c r="AA411" s="234"/>
      <c r="AB411" s="278"/>
    </row>
    <row r="412" spans="2:28" ht="18.75" customHeight="1" x14ac:dyDescent="0.3">
      <c r="B412" s="229"/>
      <c r="C412" s="289" t="s">
        <v>2485</v>
      </c>
      <c r="D412" s="305" t="s">
        <v>1492</v>
      </c>
      <c r="E412" s="300" t="s">
        <v>597</v>
      </c>
      <c r="F412" s="300" t="s">
        <v>1493</v>
      </c>
      <c r="G412" s="302">
        <v>66954</v>
      </c>
      <c r="H412" s="325" t="s">
        <v>1494</v>
      </c>
      <c r="I412" s="300" t="s">
        <v>1495</v>
      </c>
      <c r="J412" s="306" t="s">
        <v>37</v>
      </c>
      <c r="K412" s="300"/>
      <c r="L412" s="304" t="s">
        <v>2263</v>
      </c>
      <c r="M412" s="300" t="s">
        <v>6</v>
      </c>
      <c r="N412" s="300" t="s">
        <v>1496</v>
      </c>
      <c r="O412" s="300"/>
      <c r="P412" s="300" t="s">
        <v>6</v>
      </c>
      <c r="Q412" s="300" t="s">
        <v>6</v>
      </c>
      <c r="R412" s="300" t="s">
        <v>6</v>
      </c>
      <c r="S412" s="300" t="s">
        <v>1981</v>
      </c>
      <c r="T412" s="300" t="s">
        <v>2458</v>
      </c>
      <c r="U412" s="303">
        <v>0.33</v>
      </c>
      <c r="V412" s="300" t="s">
        <v>2458</v>
      </c>
      <c r="W412" s="307">
        <v>15</v>
      </c>
      <c r="X412" s="297">
        <f>(1-VLOOKUP(R412,Start!$H$33:$I$40,2,FALSE)/100)*W412</f>
        <v>12.75</v>
      </c>
      <c r="Y412" s="297">
        <f>VLOOKUP(Q412,Start!$C$9:$D$15,2,FALSE)+VLOOKUP(Q412,Start!$C$23:$D$29,2,FALSE)</f>
        <v>0</v>
      </c>
      <c r="Z412" s="298">
        <f>(Y412/U412)+Start!$D$19*(VLOOKUP(Q412,Start!$M$33:$N$39,2,FALSE)/U412)+VLOOKUP(R412,Start!$C$33:$D$40,2,FALSE)</f>
        <v>1</v>
      </c>
      <c r="AA412" s="234"/>
      <c r="AB412" s="278"/>
    </row>
    <row r="413" spans="2:28" ht="18.75" customHeight="1" x14ac:dyDescent="0.3">
      <c r="B413" s="229"/>
      <c r="C413" s="289" t="s">
        <v>2485</v>
      </c>
      <c r="D413" s="305" t="s">
        <v>1505</v>
      </c>
      <c r="E413" s="300" t="s">
        <v>1506</v>
      </c>
      <c r="F413" s="300" t="s">
        <v>1507</v>
      </c>
      <c r="G413" s="302">
        <v>14727</v>
      </c>
      <c r="H413" s="300" t="s">
        <v>1508</v>
      </c>
      <c r="I413" s="300" t="s">
        <v>1509</v>
      </c>
      <c r="J413" s="306" t="s">
        <v>24</v>
      </c>
      <c r="K413" s="300" t="s">
        <v>1507</v>
      </c>
      <c r="L413" s="304" t="s">
        <v>2373</v>
      </c>
      <c r="M413" s="300" t="s">
        <v>6</v>
      </c>
      <c r="N413" s="300" t="s">
        <v>221</v>
      </c>
      <c r="O413" s="300"/>
      <c r="P413" s="300" t="s">
        <v>6</v>
      </c>
      <c r="Q413" s="300" t="s">
        <v>6</v>
      </c>
      <c r="R413" s="300" t="s">
        <v>6</v>
      </c>
      <c r="S413" s="300" t="s">
        <v>1981</v>
      </c>
      <c r="T413" s="300" t="s">
        <v>2458</v>
      </c>
      <c r="U413" s="303">
        <v>0.33</v>
      </c>
      <c r="V413" s="300" t="s">
        <v>2458</v>
      </c>
      <c r="W413" s="307">
        <v>2.5</v>
      </c>
      <c r="X413" s="297">
        <f>(1-VLOOKUP(R413,Start!$H$33:$I$40,2,FALSE)/100)*W413</f>
        <v>2.125</v>
      </c>
      <c r="Y413" s="297">
        <f>VLOOKUP(Q413,Start!$C$9:$D$15,2,FALSE)+VLOOKUP(Q413,Start!$C$23:$D$29,2,FALSE)</f>
        <v>0</v>
      </c>
      <c r="Z413" s="298">
        <f>(Y413/U413)+Start!$D$19*(VLOOKUP(Q413,Start!$M$33:$N$39,2,FALSE)/U413)+VLOOKUP(R413,Start!$C$33:$D$40,2,FALSE)</f>
        <v>1</v>
      </c>
      <c r="AA413" s="234"/>
      <c r="AB413" s="278"/>
    </row>
    <row r="414" spans="2:28" ht="18.75" customHeight="1" x14ac:dyDescent="0.3">
      <c r="B414" s="229"/>
      <c r="C414" s="289" t="s">
        <v>2485</v>
      </c>
      <c r="D414" s="299" t="s">
        <v>1510</v>
      </c>
      <c r="E414" s="300" t="s">
        <v>1506</v>
      </c>
      <c r="F414" s="300" t="s">
        <v>1511</v>
      </c>
      <c r="G414" s="302">
        <v>14727</v>
      </c>
      <c r="H414" s="300" t="s">
        <v>1508</v>
      </c>
      <c r="I414" s="300" t="s">
        <v>1509</v>
      </c>
      <c r="J414" s="306" t="s">
        <v>24</v>
      </c>
      <c r="K414" s="300" t="s">
        <v>1511</v>
      </c>
      <c r="L414" s="304" t="s">
        <v>2374</v>
      </c>
      <c r="M414" s="132" t="s">
        <v>6</v>
      </c>
      <c r="N414" s="132" t="s">
        <v>221</v>
      </c>
      <c r="O414" s="132"/>
      <c r="P414" s="132" t="s">
        <v>6</v>
      </c>
      <c r="Q414" s="300" t="s">
        <v>6</v>
      </c>
      <c r="R414" s="300" t="s">
        <v>6</v>
      </c>
      <c r="S414" s="300" t="s">
        <v>1981</v>
      </c>
      <c r="T414" s="300" t="s">
        <v>2458</v>
      </c>
      <c r="U414" s="303">
        <v>0.33</v>
      </c>
      <c r="V414" s="300" t="s">
        <v>2458</v>
      </c>
      <c r="W414" s="307">
        <v>14.5</v>
      </c>
      <c r="X414" s="297">
        <f>(1-VLOOKUP(R414,Start!$H$33:$I$40,2,FALSE)/100)*W414</f>
        <v>12.324999999999999</v>
      </c>
      <c r="Y414" s="297">
        <f>VLOOKUP(Q414,Start!$C$9:$D$15,2,FALSE)+VLOOKUP(Q414,Start!$C$23:$D$29,2,FALSE)</f>
        <v>0</v>
      </c>
      <c r="Z414" s="298">
        <f>(Y414/U414)+Start!$D$19*(VLOOKUP(Q414,Start!$M$33:$N$39,2,FALSE)/U414)+VLOOKUP(R414,Start!$C$33:$D$40,2,FALSE)</f>
        <v>1</v>
      </c>
      <c r="AA414" s="234"/>
      <c r="AB414" s="278"/>
    </row>
    <row r="415" spans="2:28" ht="18.75" customHeight="1" x14ac:dyDescent="0.3">
      <c r="B415" s="229"/>
      <c r="C415" s="289" t="s">
        <v>2485</v>
      </c>
      <c r="D415" s="299" t="s">
        <v>1522</v>
      </c>
      <c r="E415" s="300" t="s">
        <v>1523</v>
      </c>
      <c r="F415" s="300" t="s">
        <v>1524</v>
      </c>
      <c r="G415" s="302">
        <v>83512</v>
      </c>
      <c r="H415" s="300" t="s">
        <v>1525</v>
      </c>
      <c r="I415" s="300" t="s">
        <v>1526</v>
      </c>
      <c r="J415" s="306" t="s">
        <v>55</v>
      </c>
      <c r="K415" s="300"/>
      <c r="L415" s="304" t="s">
        <v>2243</v>
      </c>
      <c r="M415" s="300" t="s">
        <v>7</v>
      </c>
      <c r="N415" s="300"/>
      <c r="O415" s="300"/>
      <c r="P415" s="303" t="s">
        <v>7</v>
      </c>
      <c r="Q415" s="300" t="s">
        <v>7</v>
      </c>
      <c r="R415" s="300" t="s">
        <v>226</v>
      </c>
      <c r="S415" s="300" t="s">
        <v>1981</v>
      </c>
      <c r="T415" s="300" t="s">
        <v>2458</v>
      </c>
      <c r="U415" s="303">
        <v>0.38500000000000001</v>
      </c>
      <c r="V415" s="300" t="s">
        <v>2458</v>
      </c>
      <c r="W415" s="307">
        <v>15.1</v>
      </c>
      <c r="X415" s="297">
        <f>(1-VLOOKUP(R415,Start!$H$33:$I$40,2,FALSE)/100)*W415</f>
        <v>13.439</v>
      </c>
      <c r="Y415" s="297">
        <f>VLOOKUP(Q415,Start!$C$9:$D$15,2,FALSE)+VLOOKUP(Q415,Start!$C$23:$D$29,2,FALSE)</f>
        <v>23.27</v>
      </c>
      <c r="Z415" s="298">
        <f>(Y415/U415)+Start!$D$19*(VLOOKUP(Q415,Start!$M$33:$N$39,2,FALSE)/U415)+VLOOKUP(R415,Start!$C$33:$D$40,2,FALSE)</f>
        <v>74.784675324675334</v>
      </c>
      <c r="AA415" s="234"/>
      <c r="AB415" s="278"/>
    </row>
    <row r="416" spans="2:28" ht="18.75" customHeight="1" x14ac:dyDescent="0.3">
      <c r="B416" s="229"/>
      <c r="C416" s="289" t="s">
        <v>2485</v>
      </c>
      <c r="D416" s="299" t="s">
        <v>1558</v>
      </c>
      <c r="E416" s="300" t="s">
        <v>1559</v>
      </c>
      <c r="F416" s="300" t="s">
        <v>1560</v>
      </c>
      <c r="G416" s="311">
        <v>18147</v>
      </c>
      <c r="H416" s="312" t="s">
        <v>1561</v>
      </c>
      <c r="I416" s="300" t="s">
        <v>1562</v>
      </c>
      <c r="J416" s="306" t="s">
        <v>66</v>
      </c>
      <c r="K416" s="300"/>
      <c r="L416" s="332">
        <v>2009</v>
      </c>
      <c r="M416" s="300" t="s">
        <v>6</v>
      </c>
      <c r="N416" s="300"/>
      <c r="O416" s="300"/>
      <c r="P416" s="314" t="s">
        <v>6</v>
      </c>
      <c r="Q416" s="300" t="s">
        <v>6</v>
      </c>
      <c r="R416" s="300" t="s">
        <v>6</v>
      </c>
      <c r="S416" s="300" t="s">
        <v>1981</v>
      </c>
      <c r="T416" s="300" t="s">
        <v>2458</v>
      </c>
      <c r="U416" s="303">
        <v>0.33</v>
      </c>
      <c r="V416" s="300" t="s">
        <v>2458</v>
      </c>
      <c r="W416" s="315">
        <v>17</v>
      </c>
      <c r="X416" s="297">
        <f>(1-VLOOKUP(R416,Start!$H$33:$I$40,2,FALSE)/100)*W416</f>
        <v>14.45</v>
      </c>
      <c r="Y416" s="297">
        <f>VLOOKUP(Q416,Start!$C$9:$D$15,2,FALSE)+VLOOKUP(Q416,Start!$C$23:$D$29,2,FALSE)</f>
        <v>0</v>
      </c>
      <c r="Z416" s="298">
        <f>(Y416/U416)+Start!$D$19*(VLOOKUP(Q416,Start!$M$33:$N$39,2,FALSE)/U416)+VLOOKUP(R416,Start!$C$33:$D$40,2,FALSE)</f>
        <v>1</v>
      </c>
      <c r="AA416" s="234"/>
      <c r="AB416" s="278"/>
    </row>
    <row r="417" spans="2:28" ht="18.75" customHeight="1" x14ac:dyDescent="0.3">
      <c r="B417" s="229"/>
      <c r="C417" s="289" t="s">
        <v>2485</v>
      </c>
      <c r="D417" s="299" t="s">
        <v>1594</v>
      </c>
      <c r="E417" s="300" t="s">
        <v>1595</v>
      </c>
      <c r="F417" s="132" t="s">
        <v>1596</v>
      </c>
      <c r="G417" s="311">
        <v>66127</v>
      </c>
      <c r="H417" s="312" t="s">
        <v>1597</v>
      </c>
      <c r="I417" s="132" t="s">
        <v>1598</v>
      </c>
      <c r="J417" s="301" t="s">
        <v>213</v>
      </c>
      <c r="K417" s="300"/>
      <c r="L417" s="304" t="s">
        <v>2376</v>
      </c>
      <c r="M417" s="300" t="s">
        <v>6</v>
      </c>
      <c r="N417" s="132"/>
      <c r="O417" s="300"/>
      <c r="P417" s="314" t="s">
        <v>6</v>
      </c>
      <c r="Q417" s="300" t="s">
        <v>6</v>
      </c>
      <c r="R417" s="300" t="s">
        <v>6</v>
      </c>
      <c r="S417" s="300" t="s">
        <v>1981</v>
      </c>
      <c r="T417" s="300" t="s">
        <v>2458</v>
      </c>
      <c r="U417" s="303">
        <v>0.33</v>
      </c>
      <c r="V417" s="300" t="s">
        <v>2458</v>
      </c>
      <c r="W417" s="315">
        <v>16</v>
      </c>
      <c r="X417" s="297">
        <f>(1-VLOOKUP(R417,Start!$H$33:$I$40,2,FALSE)/100)*W417</f>
        <v>13.6</v>
      </c>
      <c r="Y417" s="297">
        <f>VLOOKUP(Q417,Start!$C$9:$D$15,2,FALSE)+VLOOKUP(Q417,Start!$C$23:$D$29,2,FALSE)</f>
        <v>0</v>
      </c>
      <c r="Z417" s="298">
        <f>(Y417/U417)+Start!$D$19*(VLOOKUP(Q417,Start!$M$33:$N$39,2,FALSE)/U417)+VLOOKUP(R417,Start!$C$33:$D$40,2,FALSE)</f>
        <v>1</v>
      </c>
      <c r="AA417" s="234"/>
      <c r="AB417" s="278"/>
    </row>
    <row r="418" spans="2:28" ht="18.75" customHeight="1" x14ac:dyDescent="0.3">
      <c r="B418" s="229"/>
      <c r="C418" s="289" t="s">
        <v>2485</v>
      </c>
      <c r="D418" s="305" t="s">
        <v>1618</v>
      </c>
      <c r="E418" s="300" t="s">
        <v>1614</v>
      </c>
      <c r="F418" s="300" t="s">
        <v>1619</v>
      </c>
      <c r="G418" s="311">
        <v>86956</v>
      </c>
      <c r="H418" s="300" t="s">
        <v>1616</v>
      </c>
      <c r="I418" s="300" t="s">
        <v>1617</v>
      </c>
      <c r="J418" s="301" t="s">
        <v>55</v>
      </c>
      <c r="K418" s="300" t="s">
        <v>1620</v>
      </c>
      <c r="L418" s="304" t="s">
        <v>2256</v>
      </c>
      <c r="M418" s="300" t="s">
        <v>7</v>
      </c>
      <c r="N418" s="132"/>
      <c r="O418" s="132"/>
      <c r="P418" s="132" t="s">
        <v>7</v>
      </c>
      <c r="Q418" s="300" t="s">
        <v>7</v>
      </c>
      <c r="R418" s="300" t="s">
        <v>226</v>
      </c>
      <c r="S418" s="300" t="s">
        <v>1981</v>
      </c>
      <c r="T418" s="300" t="s">
        <v>2458</v>
      </c>
      <c r="U418" s="332">
        <v>0.40039999999999998</v>
      </c>
      <c r="V418" s="300" t="s">
        <v>2458</v>
      </c>
      <c r="W418" s="307">
        <v>76</v>
      </c>
      <c r="X418" s="297">
        <f>(1-VLOOKUP(R418,Start!$H$33:$I$40,2,FALSE)/100)*W418</f>
        <v>67.64</v>
      </c>
      <c r="Y418" s="297">
        <f>VLOOKUP(Q418,Start!$C$9:$D$15,2,FALSE)+VLOOKUP(Q418,Start!$C$23:$D$29,2,FALSE)</f>
        <v>23.27</v>
      </c>
      <c r="Z418" s="298">
        <f>(Y418/U418)+Start!$D$19*(VLOOKUP(Q418,Start!$M$33:$N$39,2,FALSE)/U418)+VLOOKUP(R418,Start!$C$33:$D$40,2,FALSE)</f>
        <v>71.966033966033962</v>
      </c>
      <c r="AA418" s="234"/>
      <c r="AB418" s="278"/>
    </row>
    <row r="419" spans="2:28" ht="18.75" customHeight="1" x14ac:dyDescent="0.3">
      <c r="B419" s="229"/>
      <c r="C419" s="289" t="s">
        <v>2485</v>
      </c>
      <c r="D419" s="299" t="s">
        <v>1621</v>
      </c>
      <c r="E419" s="300" t="s">
        <v>1614</v>
      </c>
      <c r="F419" s="300" t="s">
        <v>1615</v>
      </c>
      <c r="G419" s="302">
        <v>86956</v>
      </c>
      <c r="H419" s="300" t="s">
        <v>1616</v>
      </c>
      <c r="I419" s="300" t="s">
        <v>1617</v>
      </c>
      <c r="J419" s="306" t="s">
        <v>55</v>
      </c>
      <c r="K419" s="300" t="s">
        <v>1622</v>
      </c>
      <c r="L419" s="304" t="s">
        <v>2329</v>
      </c>
      <c r="M419" s="300" t="s">
        <v>47</v>
      </c>
      <c r="N419" s="300" t="s">
        <v>1623</v>
      </c>
      <c r="O419" s="300"/>
      <c r="P419" s="314" t="s">
        <v>214</v>
      </c>
      <c r="Q419" s="300" t="s">
        <v>7</v>
      </c>
      <c r="R419" s="300" t="s">
        <v>226</v>
      </c>
      <c r="S419" s="300" t="s">
        <v>1981</v>
      </c>
      <c r="T419" s="300" t="s">
        <v>2458</v>
      </c>
      <c r="U419" s="303">
        <v>0.36299999999999999</v>
      </c>
      <c r="V419" s="303" t="s">
        <v>2461</v>
      </c>
      <c r="W419" s="307">
        <v>6</v>
      </c>
      <c r="X419" s="297">
        <f>(1-VLOOKUP(R419,Start!$H$33:$I$40,2,FALSE)/100)*W419</f>
        <v>5.34</v>
      </c>
      <c r="Y419" s="297">
        <f>VLOOKUP(Q419,Start!$C$9:$D$15,2,FALSE)+VLOOKUP(Q419,Start!$C$23:$D$29,2,FALSE)</f>
        <v>23.27</v>
      </c>
      <c r="Z419" s="298">
        <f>(Y419/U419)+Start!$D$19*(VLOOKUP(Q419,Start!$M$33:$N$39,2,FALSE)/U419)+VLOOKUP(R419,Start!$C$33:$D$40,2,FALSE)</f>
        <v>79.226170798898067</v>
      </c>
      <c r="AA419" s="234"/>
      <c r="AB419" s="278"/>
    </row>
    <row r="420" spans="2:28" ht="18.75" customHeight="1" x14ac:dyDescent="0.3">
      <c r="B420" s="229"/>
      <c r="C420" s="289" t="s">
        <v>2485</v>
      </c>
      <c r="D420" s="299" t="s">
        <v>1624</v>
      </c>
      <c r="E420" s="300" t="s">
        <v>1625</v>
      </c>
      <c r="F420" s="300" t="s">
        <v>1626</v>
      </c>
      <c r="G420" s="302">
        <v>92421</v>
      </c>
      <c r="H420" s="300" t="s">
        <v>1627</v>
      </c>
      <c r="I420" s="300" t="s">
        <v>1628</v>
      </c>
      <c r="J420" s="306" t="s">
        <v>55</v>
      </c>
      <c r="K420" s="300"/>
      <c r="L420" s="304" t="s">
        <v>2377</v>
      </c>
      <c r="M420" s="300" t="s">
        <v>6</v>
      </c>
      <c r="N420" s="300"/>
      <c r="O420" s="300" t="s">
        <v>1629</v>
      </c>
      <c r="P420" s="300" t="s">
        <v>6</v>
      </c>
      <c r="Q420" s="300" t="s">
        <v>6</v>
      </c>
      <c r="R420" s="300" t="s">
        <v>6</v>
      </c>
      <c r="S420" s="300" t="s">
        <v>1981</v>
      </c>
      <c r="T420" s="300" t="s">
        <v>2458</v>
      </c>
      <c r="U420" s="303">
        <v>0.33</v>
      </c>
      <c r="V420" s="300" t="s">
        <v>2458</v>
      </c>
      <c r="W420" s="307">
        <v>54</v>
      </c>
      <c r="X420" s="297">
        <f>(1-VLOOKUP(R420,Start!$H$33:$I$40,2,FALSE)/100)*W420</f>
        <v>45.9</v>
      </c>
      <c r="Y420" s="297">
        <f>VLOOKUP(Q420,Start!$C$9:$D$15,2,FALSE)+VLOOKUP(Q420,Start!$C$23:$D$29,2,FALSE)</f>
        <v>0</v>
      </c>
      <c r="Z420" s="298">
        <f>(Y420/U420)+Start!$D$19*(VLOOKUP(Q420,Start!$M$33:$N$39,2,FALSE)/U420)+VLOOKUP(R420,Start!$C$33:$D$40,2,FALSE)</f>
        <v>1</v>
      </c>
      <c r="AA420" s="234"/>
      <c r="AB420" s="278"/>
    </row>
    <row r="421" spans="2:28" ht="18.75" customHeight="1" x14ac:dyDescent="0.3">
      <c r="B421" s="229"/>
      <c r="C421" s="289" t="s">
        <v>2485</v>
      </c>
      <c r="D421" s="299" t="s">
        <v>1635</v>
      </c>
      <c r="E421" s="300" t="s">
        <v>1636</v>
      </c>
      <c r="F421" s="300" t="s">
        <v>1637</v>
      </c>
      <c r="G421" s="311">
        <v>16303</v>
      </c>
      <c r="H421" s="312" t="s">
        <v>1638</v>
      </c>
      <c r="I421" s="313"/>
      <c r="J421" s="306" t="s">
        <v>24</v>
      </c>
      <c r="K421" s="300"/>
      <c r="L421" s="304" t="s">
        <v>2378</v>
      </c>
      <c r="M421" s="300" t="s">
        <v>47</v>
      </c>
      <c r="N421" s="300" t="s">
        <v>705</v>
      </c>
      <c r="O421" s="313" t="s">
        <v>1639</v>
      </c>
      <c r="P421" s="314" t="s">
        <v>6</v>
      </c>
      <c r="Q421" s="300" t="s">
        <v>6</v>
      </c>
      <c r="R421" s="300" t="s">
        <v>6</v>
      </c>
      <c r="S421" s="300" t="s">
        <v>1981</v>
      </c>
      <c r="T421" s="300" t="s">
        <v>2458</v>
      </c>
      <c r="U421" s="303">
        <v>0.33</v>
      </c>
      <c r="V421" s="300" t="s">
        <v>2458</v>
      </c>
      <c r="W421" s="315">
        <v>28.9</v>
      </c>
      <c r="X421" s="297">
        <f>(1-VLOOKUP(R421,Start!$H$33:$I$40,2,FALSE)/100)*W421</f>
        <v>24.564999999999998</v>
      </c>
      <c r="Y421" s="297">
        <f>VLOOKUP(Q421,Start!$C$9:$D$15,2,FALSE)+VLOOKUP(Q421,Start!$C$23:$D$29,2,FALSE)</f>
        <v>0</v>
      </c>
      <c r="Z421" s="298">
        <f>(Y421/U421)+Start!$D$19*(VLOOKUP(Q421,Start!$M$33:$N$39,2,FALSE)/U421)+VLOOKUP(R421,Start!$C$33:$D$40,2,FALSE)</f>
        <v>1</v>
      </c>
      <c r="AA421" s="234"/>
      <c r="AB421" s="278"/>
    </row>
    <row r="422" spans="2:28" ht="18.75" customHeight="1" x14ac:dyDescent="0.3">
      <c r="B422" s="229"/>
      <c r="C422" s="289" t="s">
        <v>2485</v>
      </c>
      <c r="D422" s="305" t="s">
        <v>1657</v>
      </c>
      <c r="E422" s="300" t="s">
        <v>512</v>
      </c>
      <c r="F422" s="300" t="s">
        <v>1658</v>
      </c>
      <c r="G422" s="311">
        <v>71059</v>
      </c>
      <c r="H422" s="300" t="s">
        <v>1659</v>
      </c>
      <c r="I422" s="300"/>
      <c r="J422" s="301" t="s">
        <v>20</v>
      </c>
      <c r="K422" s="300" t="s">
        <v>1660</v>
      </c>
      <c r="L422" s="304" t="s">
        <v>2258</v>
      </c>
      <c r="M422" s="300" t="s">
        <v>7</v>
      </c>
      <c r="N422" s="132" t="s">
        <v>7</v>
      </c>
      <c r="O422" s="132" t="s">
        <v>377</v>
      </c>
      <c r="P422" s="132" t="s">
        <v>7</v>
      </c>
      <c r="Q422" s="300" t="s">
        <v>7</v>
      </c>
      <c r="R422" s="300" t="s">
        <v>226</v>
      </c>
      <c r="S422" s="300" t="s">
        <v>1981</v>
      </c>
      <c r="T422" s="300" t="s">
        <v>2458</v>
      </c>
      <c r="U422" s="303">
        <v>0.39929999999999999</v>
      </c>
      <c r="V422" s="300" t="s">
        <v>2458</v>
      </c>
      <c r="W422" s="307">
        <v>95</v>
      </c>
      <c r="X422" s="297">
        <f>(1-VLOOKUP(R422,Start!$H$33:$I$40,2,FALSE)/100)*W422</f>
        <v>84.55</v>
      </c>
      <c r="Y422" s="297">
        <f>VLOOKUP(Q422,Start!$C$9:$D$15,2,FALSE)+VLOOKUP(Q422,Start!$C$23:$D$29,2,FALSE)</f>
        <v>23.27</v>
      </c>
      <c r="Z422" s="298">
        <f>(Y422/U422)+Start!$D$19*(VLOOKUP(Q422,Start!$M$33:$N$39,2,FALSE)/U422)+VLOOKUP(R422,Start!$C$33:$D$40,2,FALSE)</f>
        <v>72.160155271725515</v>
      </c>
      <c r="AA422" s="234"/>
      <c r="AB422" s="278"/>
    </row>
    <row r="423" spans="2:28" ht="18.75" customHeight="1" x14ac:dyDescent="0.3">
      <c r="B423" s="229"/>
      <c r="C423" s="289" t="s">
        <v>2485</v>
      </c>
      <c r="D423" s="299" t="s">
        <v>1688</v>
      </c>
      <c r="E423" s="300" t="s">
        <v>1689</v>
      </c>
      <c r="F423" s="300"/>
      <c r="G423" s="311">
        <v>22145</v>
      </c>
      <c r="H423" s="312" t="s">
        <v>1690</v>
      </c>
      <c r="I423" s="300"/>
      <c r="J423" s="301" t="s">
        <v>27</v>
      </c>
      <c r="K423" s="300"/>
      <c r="L423" s="304" t="s">
        <v>2443</v>
      </c>
      <c r="M423" s="300" t="s">
        <v>6</v>
      </c>
      <c r="N423" s="300" t="s">
        <v>1691</v>
      </c>
      <c r="O423" s="300" t="s">
        <v>1691</v>
      </c>
      <c r="P423" s="300" t="s">
        <v>6</v>
      </c>
      <c r="Q423" s="300" t="s">
        <v>6</v>
      </c>
      <c r="R423" s="300" t="s">
        <v>6</v>
      </c>
      <c r="S423" s="300" t="s">
        <v>1981</v>
      </c>
      <c r="T423" s="300" t="s">
        <v>2460</v>
      </c>
      <c r="U423" s="303">
        <v>0.33</v>
      </c>
      <c r="V423" s="300" t="s">
        <v>2460</v>
      </c>
      <c r="W423" s="315">
        <v>16.399999999999999</v>
      </c>
      <c r="X423" s="297">
        <f>(1-VLOOKUP(R423,Start!$H$33:$I$40,2,FALSE)/100)*W423</f>
        <v>13.939999999999998</v>
      </c>
      <c r="Y423" s="297">
        <f>VLOOKUP(Q423,Start!$C$9:$D$15,2,FALSE)+VLOOKUP(Q423,Start!$C$23:$D$29,2,FALSE)</f>
        <v>0</v>
      </c>
      <c r="Z423" s="298">
        <f>(Y423/U423)+Start!$D$19*(VLOOKUP(Q423,Start!$M$33:$N$39,2,FALSE)/U423)+VLOOKUP(R423,Start!$C$33:$D$40,2,FALSE)</f>
        <v>1</v>
      </c>
      <c r="AA423" s="234"/>
      <c r="AB423" s="278"/>
    </row>
    <row r="424" spans="2:28" ht="18.75" customHeight="1" x14ac:dyDescent="0.3">
      <c r="B424" s="229"/>
      <c r="C424" s="289" t="s">
        <v>2485</v>
      </c>
      <c r="D424" s="305" t="s">
        <v>1692</v>
      </c>
      <c r="E424" s="300" t="s">
        <v>1693</v>
      </c>
      <c r="F424" s="300" t="s">
        <v>1693</v>
      </c>
      <c r="G424" s="302">
        <v>39418</v>
      </c>
      <c r="H424" s="300" t="s">
        <v>1694</v>
      </c>
      <c r="I424" s="336" t="s">
        <v>1695</v>
      </c>
      <c r="J424" s="306" t="s">
        <v>38</v>
      </c>
      <c r="K424" s="300"/>
      <c r="L424" s="304" t="s">
        <v>2380</v>
      </c>
      <c r="M424" s="300" t="s">
        <v>6</v>
      </c>
      <c r="N424" s="300"/>
      <c r="O424" s="300"/>
      <c r="P424" s="300" t="s">
        <v>6</v>
      </c>
      <c r="Q424" s="300" t="s">
        <v>6</v>
      </c>
      <c r="R424" s="300" t="s">
        <v>6</v>
      </c>
      <c r="S424" s="300" t="s">
        <v>1981</v>
      </c>
      <c r="T424" s="300" t="s">
        <v>2458</v>
      </c>
      <c r="U424" s="303">
        <v>0.33</v>
      </c>
      <c r="V424" s="300" t="s">
        <v>2458</v>
      </c>
      <c r="W424" s="307">
        <v>24</v>
      </c>
      <c r="X424" s="297">
        <f>(1-VLOOKUP(R424,Start!$H$33:$I$40,2,FALSE)/100)*W424</f>
        <v>20.399999999999999</v>
      </c>
      <c r="Y424" s="297">
        <f>VLOOKUP(Q424,Start!$C$9:$D$15,2,FALSE)+VLOOKUP(Q424,Start!$C$23:$D$29,2,FALSE)</f>
        <v>0</v>
      </c>
      <c r="Z424" s="298">
        <f>(Y424/U424)+Start!$D$19*(VLOOKUP(Q424,Start!$M$33:$N$39,2,FALSE)/U424)+VLOOKUP(R424,Start!$C$33:$D$40,2,FALSE)</f>
        <v>1</v>
      </c>
      <c r="AA424" s="234"/>
      <c r="AB424" s="278"/>
    </row>
    <row r="425" spans="2:28" ht="18.75" customHeight="1" x14ac:dyDescent="0.3">
      <c r="B425" s="229"/>
      <c r="C425" s="289" t="s">
        <v>2485</v>
      </c>
      <c r="D425" s="305" t="s">
        <v>1750</v>
      </c>
      <c r="E425" s="300" t="s">
        <v>1751</v>
      </c>
      <c r="F425" s="300" t="s">
        <v>1752</v>
      </c>
      <c r="G425" s="301">
        <v>98528</v>
      </c>
      <c r="H425" s="301" t="s">
        <v>1753</v>
      </c>
      <c r="I425" s="301" t="s">
        <v>1754</v>
      </c>
      <c r="J425" s="306" t="s">
        <v>77</v>
      </c>
      <c r="K425" s="301"/>
      <c r="L425" s="304" t="s">
        <v>2268</v>
      </c>
      <c r="M425" s="301" t="s">
        <v>47</v>
      </c>
      <c r="N425" s="301" t="s">
        <v>7</v>
      </c>
      <c r="O425" s="301" t="s">
        <v>115</v>
      </c>
      <c r="P425" s="301" t="s">
        <v>7</v>
      </c>
      <c r="Q425" s="300" t="s">
        <v>7</v>
      </c>
      <c r="R425" s="300" t="s">
        <v>226</v>
      </c>
      <c r="S425" s="300" t="s">
        <v>1981</v>
      </c>
      <c r="T425" s="300" t="s">
        <v>2458</v>
      </c>
      <c r="U425" s="303">
        <v>0.3795</v>
      </c>
      <c r="V425" s="300" t="s">
        <v>2458</v>
      </c>
      <c r="W425" s="297">
        <v>13.5</v>
      </c>
      <c r="X425" s="297">
        <f>(1-VLOOKUP(R425,Start!$H$33:$I$40,2,FALSE)/100)*W425</f>
        <v>12.015000000000001</v>
      </c>
      <c r="Y425" s="297">
        <f>VLOOKUP(Q425,Start!$C$9:$D$15,2,FALSE)+VLOOKUP(Q425,Start!$C$23:$D$29,2,FALSE)</f>
        <v>23.27</v>
      </c>
      <c r="Z425" s="298">
        <f>(Y425/U425)+Start!$D$19*(VLOOKUP(Q425,Start!$M$33:$N$39,2,FALSE)/U425)+VLOOKUP(R425,Start!$C$33:$D$40,2,FALSE)</f>
        <v>75.8467720685112</v>
      </c>
      <c r="AA425" s="234"/>
      <c r="AB425" s="278"/>
    </row>
    <row r="426" spans="2:28" ht="18.75" customHeight="1" x14ac:dyDescent="0.3">
      <c r="B426" s="229"/>
      <c r="C426" s="289" t="s">
        <v>2485</v>
      </c>
      <c r="D426" s="305" t="s">
        <v>1769</v>
      </c>
      <c r="E426" s="300" t="s">
        <v>875</v>
      </c>
      <c r="F426" s="300" t="s">
        <v>1770</v>
      </c>
      <c r="G426" s="311">
        <v>36414</v>
      </c>
      <c r="H426" s="300" t="s">
        <v>1770</v>
      </c>
      <c r="I426" s="300"/>
      <c r="J426" s="301" t="s">
        <v>77</v>
      </c>
      <c r="K426" s="300" t="s">
        <v>1770</v>
      </c>
      <c r="L426" s="304" t="s">
        <v>2235</v>
      </c>
      <c r="M426" s="300" t="s">
        <v>7</v>
      </c>
      <c r="N426" s="132"/>
      <c r="O426" s="132"/>
      <c r="P426" s="132" t="s">
        <v>7</v>
      </c>
      <c r="Q426" s="300" t="s">
        <v>7</v>
      </c>
      <c r="R426" s="300" t="s">
        <v>226</v>
      </c>
      <c r="S426" s="300" t="s">
        <v>1981</v>
      </c>
      <c r="T426" s="300" t="s">
        <v>2458</v>
      </c>
      <c r="U426" s="303">
        <v>0.3795</v>
      </c>
      <c r="V426" s="300" t="s">
        <v>2458</v>
      </c>
      <c r="W426" s="307">
        <v>20</v>
      </c>
      <c r="X426" s="297">
        <f>(1-VLOOKUP(R426,Start!$H$33:$I$40,2,FALSE)/100)*W426</f>
        <v>17.8</v>
      </c>
      <c r="Y426" s="297">
        <f>VLOOKUP(Q426,Start!$C$9:$D$15,2,FALSE)+VLOOKUP(Q426,Start!$C$23:$D$29,2,FALSE)</f>
        <v>23.27</v>
      </c>
      <c r="Z426" s="298">
        <f>(Y426/U426)+Start!$D$19*(VLOOKUP(Q426,Start!$M$33:$N$39,2,FALSE)/U426)+VLOOKUP(R426,Start!$C$33:$D$40,2,FALSE)</f>
        <v>75.8467720685112</v>
      </c>
      <c r="AA426" s="234"/>
      <c r="AB426" s="278"/>
    </row>
    <row r="427" spans="2:28" ht="18.75" customHeight="1" x14ac:dyDescent="0.3">
      <c r="B427" s="229"/>
      <c r="C427" s="289" t="s">
        <v>2485</v>
      </c>
      <c r="D427" s="305" t="s">
        <v>1839</v>
      </c>
      <c r="E427" s="317" t="s">
        <v>1840</v>
      </c>
      <c r="F427" s="300" t="s">
        <v>96</v>
      </c>
      <c r="G427" s="302">
        <v>50389</v>
      </c>
      <c r="H427" s="300" t="s">
        <v>1841</v>
      </c>
      <c r="I427" s="300"/>
      <c r="J427" s="306" t="s">
        <v>19</v>
      </c>
      <c r="K427" s="300" t="s">
        <v>1842</v>
      </c>
      <c r="L427" s="304" t="s">
        <v>2274</v>
      </c>
      <c r="M427" s="300" t="s">
        <v>47</v>
      </c>
      <c r="N427" s="300" t="s">
        <v>7</v>
      </c>
      <c r="O427" s="300" t="s">
        <v>104</v>
      </c>
      <c r="P427" s="300" t="s">
        <v>7</v>
      </c>
      <c r="Q427" s="300" t="s">
        <v>7</v>
      </c>
      <c r="R427" s="300" t="s">
        <v>226</v>
      </c>
      <c r="S427" s="300" t="s">
        <v>1996</v>
      </c>
      <c r="T427" s="300" t="s">
        <v>2458</v>
      </c>
      <c r="U427" s="303">
        <v>0.52200000000000002</v>
      </c>
      <c r="V427" s="300" t="s">
        <v>2458</v>
      </c>
      <c r="W427" s="307">
        <v>51.9</v>
      </c>
      <c r="X427" s="297">
        <f>(1-VLOOKUP(R427,Start!$H$33:$I$40,2,FALSE)/100)*W427</f>
        <v>46.191000000000003</v>
      </c>
      <c r="Y427" s="297">
        <f>VLOOKUP(Q427,Start!$C$9:$D$15,2,FALSE)+VLOOKUP(Q427,Start!$C$23:$D$29,2,FALSE)</f>
        <v>23.27</v>
      </c>
      <c r="Z427" s="298">
        <f>(Y427/U427)+Start!$D$19*(VLOOKUP(Q427,Start!$M$33:$N$39,2,FALSE)/U427)+VLOOKUP(R427,Start!$C$33:$D$40,2,FALSE)</f>
        <v>55.550957854406128</v>
      </c>
      <c r="AA427" s="234"/>
      <c r="AB427" s="278"/>
    </row>
    <row r="428" spans="2:28" ht="18.75" customHeight="1" x14ac:dyDescent="0.3">
      <c r="B428" s="229"/>
      <c r="C428" s="289" t="s">
        <v>2485</v>
      </c>
      <c r="D428" s="305" t="s">
        <v>1843</v>
      </c>
      <c r="E428" s="317" t="s">
        <v>1840</v>
      </c>
      <c r="F428" s="300" t="s">
        <v>148</v>
      </c>
      <c r="G428" s="302">
        <v>50389</v>
      </c>
      <c r="H428" s="300" t="s">
        <v>1841</v>
      </c>
      <c r="I428" s="300"/>
      <c r="J428" s="306" t="s">
        <v>19</v>
      </c>
      <c r="K428" s="300" t="s">
        <v>1844</v>
      </c>
      <c r="L428" s="304" t="s">
        <v>2311</v>
      </c>
      <c r="M428" s="300" t="s">
        <v>47</v>
      </c>
      <c r="N428" s="300" t="s">
        <v>1845</v>
      </c>
      <c r="O428" s="300" t="s">
        <v>2</v>
      </c>
      <c r="P428" s="300" t="s">
        <v>48</v>
      </c>
      <c r="Q428" s="300" t="s">
        <v>4</v>
      </c>
      <c r="R428" s="300" t="s">
        <v>4</v>
      </c>
      <c r="S428" s="300" t="s">
        <v>1996</v>
      </c>
      <c r="T428" s="300" t="s">
        <v>2458</v>
      </c>
      <c r="U428" s="303">
        <v>0.38</v>
      </c>
      <c r="V428" s="300" t="s">
        <v>2458</v>
      </c>
      <c r="W428" s="307">
        <v>66.3</v>
      </c>
      <c r="X428" s="297">
        <f>(1-VLOOKUP(R428,Start!$H$33:$I$40,2,FALSE)/100)*W428</f>
        <v>56.354999999999997</v>
      </c>
      <c r="Y428" s="297">
        <f>VLOOKUP(Q428,Start!$C$9:$D$15,2,FALSE)+VLOOKUP(Q428,Start!$C$23:$D$29,2,FALSE)</f>
        <v>33.223832923832894</v>
      </c>
      <c r="Z428" s="298">
        <f>(Y428/U428)+Start!$D$19*(VLOOKUP(Q428,Start!$M$33:$N$39,2,FALSE)/U428)+VLOOKUP(R428,Start!$C$33:$D$40,2,FALSE)</f>
        <v>106.55745506271813</v>
      </c>
      <c r="AA428" s="234"/>
      <c r="AB428" s="278"/>
    </row>
    <row r="429" spans="2:28" ht="18.75" customHeight="1" x14ac:dyDescent="0.3">
      <c r="B429" s="229"/>
      <c r="C429" s="289" t="s">
        <v>2485</v>
      </c>
      <c r="D429" s="299" t="s">
        <v>1891</v>
      </c>
      <c r="E429" s="300" t="s">
        <v>1892</v>
      </c>
      <c r="F429" s="300" t="s">
        <v>1893</v>
      </c>
      <c r="G429" s="311">
        <v>67547</v>
      </c>
      <c r="H429" s="312" t="s">
        <v>1887</v>
      </c>
      <c r="I429" s="300" t="s">
        <v>1894</v>
      </c>
      <c r="J429" s="306" t="s">
        <v>37</v>
      </c>
      <c r="K429" s="300" t="s">
        <v>70</v>
      </c>
      <c r="L429" s="304" t="s">
        <v>2280</v>
      </c>
      <c r="M429" s="300" t="s">
        <v>7</v>
      </c>
      <c r="N429" s="300"/>
      <c r="O429" s="300"/>
      <c r="P429" s="314" t="s">
        <v>7</v>
      </c>
      <c r="Q429" s="300" t="s">
        <v>7</v>
      </c>
      <c r="R429" s="300" t="s">
        <v>226</v>
      </c>
      <c r="S429" s="300" t="s">
        <v>1981</v>
      </c>
      <c r="T429" s="300" t="s">
        <v>2458</v>
      </c>
      <c r="U429" s="303">
        <v>0.37509999999999999</v>
      </c>
      <c r="V429" s="300" t="s">
        <v>2458</v>
      </c>
      <c r="W429" s="315">
        <v>11.5</v>
      </c>
      <c r="X429" s="297">
        <f>(1-VLOOKUP(R429,Start!$H$33:$I$40,2,FALSE)/100)*W429</f>
        <v>10.234999999999999</v>
      </c>
      <c r="Y429" s="297">
        <f>VLOOKUP(Q429,Start!$C$9:$D$15,2,FALSE)+VLOOKUP(Q429,Start!$C$23:$D$29,2,FALSE)</f>
        <v>23.27</v>
      </c>
      <c r="Z429" s="298">
        <f>(Y429/U429)+Start!$D$19*(VLOOKUP(Q429,Start!$M$33:$N$39,2,FALSE)/U429)+VLOOKUP(R429,Start!$C$33:$D$40,2,FALSE)</f>
        <v>76.718874966675557</v>
      </c>
      <c r="AA429" s="234"/>
      <c r="AB429" s="278"/>
    </row>
    <row r="430" spans="2:28" ht="18.75" customHeight="1" x14ac:dyDescent="0.3">
      <c r="B430" s="229"/>
      <c r="C430" s="289" t="s">
        <v>2485</v>
      </c>
      <c r="D430" s="305" t="s">
        <v>1900</v>
      </c>
      <c r="E430" s="300" t="s">
        <v>875</v>
      </c>
      <c r="F430" s="301" t="s">
        <v>1901</v>
      </c>
      <c r="G430" s="302">
        <v>31515</v>
      </c>
      <c r="H430" s="303" t="s">
        <v>1902</v>
      </c>
      <c r="I430" s="303"/>
      <c r="J430" s="301" t="s">
        <v>22</v>
      </c>
      <c r="K430" s="301" t="s">
        <v>1901</v>
      </c>
      <c r="L430" s="304" t="s">
        <v>1788</v>
      </c>
      <c r="M430" s="300" t="s">
        <v>7</v>
      </c>
      <c r="N430" s="132"/>
      <c r="O430" s="303"/>
      <c r="P430" s="303" t="s">
        <v>7</v>
      </c>
      <c r="Q430" s="300" t="s">
        <v>7</v>
      </c>
      <c r="R430" s="300" t="s">
        <v>226</v>
      </c>
      <c r="S430" s="300" t="s">
        <v>1981</v>
      </c>
      <c r="T430" s="300" t="s">
        <v>2458</v>
      </c>
      <c r="U430" s="303">
        <v>0.35639999999999999</v>
      </c>
      <c r="V430" s="300" t="s">
        <v>2458</v>
      </c>
      <c r="W430" s="297">
        <v>11</v>
      </c>
      <c r="X430" s="297">
        <f>(1-VLOOKUP(R430,Start!$H$33:$I$40,2,FALSE)/100)*W430</f>
        <v>9.7900000000000009</v>
      </c>
      <c r="Y430" s="297">
        <f>VLOOKUP(Q430,Start!$C$9:$D$15,2,FALSE)+VLOOKUP(Q430,Start!$C$23:$D$29,2,FALSE)</f>
        <v>23.27</v>
      </c>
      <c r="Z430" s="298">
        <f>(Y430/U430)+Start!$D$19*(VLOOKUP(Q430,Start!$M$33:$N$39,2,FALSE)/U430)+VLOOKUP(R430,Start!$C$33:$D$40,2,FALSE)</f>
        <v>80.665544332210999</v>
      </c>
      <c r="AA430" s="234"/>
      <c r="AB430" s="278"/>
    </row>
    <row r="431" spans="2:28" ht="18.75" customHeight="1" x14ac:dyDescent="0.3">
      <c r="B431" s="229"/>
      <c r="C431" s="289" t="s">
        <v>2485</v>
      </c>
      <c r="D431" s="305" t="s">
        <v>1937</v>
      </c>
      <c r="E431" s="300" t="s">
        <v>1938</v>
      </c>
      <c r="F431" s="301" t="s">
        <v>1939</v>
      </c>
      <c r="G431" s="302">
        <v>98544</v>
      </c>
      <c r="H431" s="303" t="s">
        <v>1940</v>
      </c>
      <c r="I431" s="303"/>
      <c r="J431" s="301" t="s">
        <v>77</v>
      </c>
      <c r="K431" s="301">
        <v>1</v>
      </c>
      <c r="L431" s="304" t="s">
        <v>2387</v>
      </c>
      <c r="M431" s="300" t="s">
        <v>6</v>
      </c>
      <c r="N431" s="132" t="s">
        <v>6</v>
      </c>
      <c r="O431" s="303" t="s">
        <v>104</v>
      </c>
      <c r="P431" s="303" t="s">
        <v>6</v>
      </c>
      <c r="Q431" s="300" t="s">
        <v>6</v>
      </c>
      <c r="R431" s="300" t="s">
        <v>6</v>
      </c>
      <c r="S431" s="300" t="s">
        <v>1981</v>
      </c>
      <c r="T431" s="300" t="s">
        <v>2458</v>
      </c>
      <c r="U431" s="303">
        <v>0.33</v>
      </c>
      <c r="V431" s="300" t="s">
        <v>2458</v>
      </c>
      <c r="W431" s="297">
        <v>12.1</v>
      </c>
      <c r="X431" s="297">
        <f>(1-VLOOKUP(R431,Start!$H$33:$I$40,2,FALSE)/100)*W431</f>
        <v>10.285</v>
      </c>
      <c r="Y431" s="297">
        <f>VLOOKUP(Q431,Start!$C$9:$D$15,2,FALSE)+VLOOKUP(Q431,Start!$C$23:$D$29,2,FALSE)</f>
        <v>0</v>
      </c>
      <c r="Z431" s="298">
        <f>(Y431/U431)+Start!$D$19*(VLOOKUP(Q431,Start!$M$33:$N$39,2,FALSE)/U431)+VLOOKUP(R431,Start!$C$33:$D$40,2,FALSE)</f>
        <v>1</v>
      </c>
      <c r="AA431" s="234"/>
      <c r="AB431" s="278"/>
    </row>
    <row r="432" spans="2:28" ht="18.75" customHeight="1" x14ac:dyDescent="0.3">
      <c r="B432" s="229"/>
      <c r="C432" s="289" t="s">
        <v>2485</v>
      </c>
      <c r="D432" s="299" t="s">
        <v>928</v>
      </c>
      <c r="E432" s="300" t="s">
        <v>929</v>
      </c>
      <c r="F432" s="300" t="s">
        <v>929</v>
      </c>
      <c r="G432" s="302">
        <v>58636</v>
      </c>
      <c r="H432" s="300" t="s">
        <v>930</v>
      </c>
      <c r="I432" s="300" t="s">
        <v>931</v>
      </c>
      <c r="J432" s="306" t="s">
        <v>19</v>
      </c>
      <c r="K432" s="300"/>
      <c r="L432" s="304" t="s">
        <v>2353</v>
      </c>
      <c r="M432" s="300" t="s">
        <v>6</v>
      </c>
      <c r="N432" s="300" t="s">
        <v>6</v>
      </c>
      <c r="O432" s="300" t="s">
        <v>390</v>
      </c>
      <c r="P432" s="300" t="s">
        <v>6</v>
      </c>
      <c r="Q432" s="300" t="s">
        <v>6</v>
      </c>
      <c r="R432" s="300" t="s">
        <v>6</v>
      </c>
      <c r="S432" s="300" t="s">
        <v>1981</v>
      </c>
      <c r="T432" s="300" t="s">
        <v>2458</v>
      </c>
      <c r="U432" s="303">
        <v>0.33</v>
      </c>
      <c r="V432" s="300" t="s">
        <v>2458</v>
      </c>
      <c r="W432" s="307">
        <v>12.61</v>
      </c>
      <c r="X432" s="297">
        <f>(1-VLOOKUP(R432,Start!$H$33:$I$40,2,FALSE)/100)*W432</f>
        <v>10.718499999999999</v>
      </c>
      <c r="Y432" s="297">
        <f>VLOOKUP(Q432,Start!$C$9:$D$15,2,FALSE)+VLOOKUP(Q432,Start!$C$23:$D$29,2,FALSE)</f>
        <v>0</v>
      </c>
      <c r="Z432" s="298">
        <f>(Y432/U432)+Start!$D$19*(VLOOKUP(Q432,Start!$M$33:$N$39,2,FALSE)/U432)+VLOOKUP(R432,Start!$C$33:$D$40,2,FALSE)</f>
        <v>1</v>
      </c>
      <c r="AA432" s="234"/>
      <c r="AB432" s="278"/>
    </row>
    <row r="433" spans="2:28" ht="18.75" customHeight="1" x14ac:dyDescent="0.3">
      <c r="B433" s="229"/>
      <c r="C433" s="289" t="s">
        <v>2485</v>
      </c>
      <c r="D433" s="299" t="s">
        <v>56</v>
      </c>
      <c r="E433" s="300" t="s">
        <v>57</v>
      </c>
      <c r="F433" s="300" t="s">
        <v>58</v>
      </c>
      <c r="G433" s="329">
        <v>56626</v>
      </c>
      <c r="H433" s="300" t="s">
        <v>59</v>
      </c>
      <c r="I433" s="300" t="s">
        <v>60</v>
      </c>
      <c r="J433" s="306" t="s">
        <v>37</v>
      </c>
      <c r="K433" s="300"/>
      <c r="L433" s="304" t="s">
        <v>2331</v>
      </c>
      <c r="M433" s="300" t="s">
        <v>6</v>
      </c>
      <c r="N433" s="300"/>
      <c r="O433" s="300"/>
      <c r="P433" s="300" t="s">
        <v>6</v>
      </c>
      <c r="Q433" s="300" t="s">
        <v>6</v>
      </c>
      <c r="R433" s="300" t="s">
        <v>6</v>
      </c>
      <c r="S433" s="300" t="s">
        <v>1981</v>
      </c>
      <c r="T433" s="300" t="s">
        <v>2458</v>
      </c>
      <c r="U433" s="303">
        <v>0.33</v>
      </c>
      <c r="V433" s="300" t="s">
        <v>2458</v>
      </c>
      <c r="W433" s="307">
        <v>12.5</v>
      </c>
      <c r="X433" s="297">
        <f>(1-VLOOKUP(R433,Start!$H$33:$I$40,2,FALSE)/100)*W433</f>
        <v>10.625</v>
      </c>
      <c r="Y433" s="297">
        <f>VLOOKUP(Q433,Start!$C$9:$D$15,2,FALSE)+VLOOKUP(Q433,Start!$C$23:$D$29,2,FALSE)</f>
        <v>0</v>
      </c>
      <c r="Z433" s="298">
        <f>(Y433/U433)+Start!$D$19*(VLOOKUP(Q433,Start!$M$33:$N$39,2,FALSE)/U433)+VLOOKUP(R433,Start!$C$33:$D$40,2,FALSE)</f>
        <v>1</v>
      </c>
      <c r="AA433" s="234"/>
      <c r="AB433" s="278"/>
    </row>
    <row r="434" spans="2:28" ht="18.75" customHeight="1" x14ac:dyDescent="0.3">
      <c r="B434" s="229"/>
      <c r="C434" s="289" t="s">
        <v>2485</v>
      </c>
      <c r="D434" s="299" t="s">
        <v>848</v>
      </c>
      <c r="E434" s="300" t="s">
        <v>256</v>
      </c>
      <c r="F434" s="303" t="s">
        <v>849</v>
      </c>
      <c r="G434" s="308">
        <v>89522</v>
      </c>
      <c r="H434" s="303" t="s">
        <v>850</v>
      </c>
      <c r="I434" s="303" t="s">
        <v>851</v>
      </c>
      <c r="J434" s="306" t="s">
        <v>20</v>
      </c>
      <c r="K434" s="303" t="s">
        <v>852</v>
      </c>
      <c r="L434" s="304" t="s">
        <v>2187</v>
      </c>
      <c r="M434" s="309" t="s">
        <v>7</v>
      </c>
      <c r="N434" s="309" t="s">
        <v>7</v>
      </c>
      <c r="O434" s="303" t="s">
        <v>115</v>
      </c>
      <c r="P434" s="309" t="s">
        <v>7</v>
      </c>
      <c r="Q434" s="300" t="s">
        <v>7</v>
      </c>
      <c r="R434" s="300" t="s">
        <v>226</v>
      </c>
      <c r="S434" s="300" t="s">
        <v>1981</v>
      </c>
      <c r="T434" s="300" t="s">
        <v>2458</v>
      </c>
      <c r="U434" s="303">
        <v>0.40039999999999998</v>
      </c>
      <c r="V434" s="300" t="s">
        <v>2458</v>
      </c>
      <c r="W434" s="310">
        <v>18.899999999999999</v>
      </c>
      <c r="X434" s="297">
        <f>(1-VLOOKUP(R434,Start!$H$33:$I$40,2,FALSE)/100)*W434</f>
        <v>16.820999999999998</v>
      </c>
      <c r="Y434" s="297">
        <f>VLOOKUP(Q434,Start!$C$9:$D$15,2,FALSE)+VLOOKUP(Q434,Start!$C$23:$D$29,2,FALSE)</f>
        <v>23.27</v>
      </c>
      <c r="Z434" s="298">
        <f>(Y434/U434)+Start!$D$19*(VLOOKUP(Q434,Start!$M$33:$N$39,2,FALSE)/U434)+VLOOKUP(R434,Start!$C$33:$D$40,2,FALSE)</f>
        <v>71.966033966033962</v>
      </c>
      <c r="AA434" s="234"/>
      <c r="AB434" s="278"/>
    </row>
    <row r="435" spans="2:28" ht="18.75" customHeight="1" x14ac:dyDescent="0.3">
      <c r="B435" s="229"/>
      <c r="C435" s="289" t="s">
        <v>2485</v>
      </c>
      <c r="D435" s="305" t="s">
        <v>146</v>
      </c>
      <c r="E435" s="300" t="s">
        <v>147</v>
      </c>
      <c r="F435" s="300" t="s">
        <v>148</v>
      </c>
      <c r="G435" s="302">
        <v>50127</v>
      </c>
      <c r="H435" s="300" t="s">
        <v>130</v>
      </c>
      <c r="I435" s="300" t="s">
        <v>149</v>
      </c>
      <c r="J435" s="306" t="s">
        <v>19</v>
      </c>
      <c r="K435" s="300" t="s">
        <v>150</v>
      </c>
      <c r="L435" s="304" t="s">
        <v>2074</v>
      </c>
      <c r="M435" s="300" t="s">
        <v>2</v>
      </c>
      <c r="N435" s="300"/>
      <c r="O435" s="300"/>
      <c r="P435" s="300" t="s">
        <v>2</v>
      </c>
      <c r="Q435" s="300" t="s">
        <v>2</v>
      </c>
      <c r="R435" s="300" t="s">
        <v>2</v>
      </c>
      <c r="S435" s="300" t="s">
        <v>1981</v>
      </c>
      <c r="T435" s="300" t="s">
        <v>2458</v>
      </c>
      <c r="U435" s="303">
        <v>0.38800000000000001</v>
      </c>
      <c r="V435" s="300" t="s">
        <v>2458</v>
      </c>
      <c r="W435" s="307">
        <v>10</v>
      </c>
      <c r="X435" s="297">
        <f>(1-VLOOKUP(R435,Start!$H$33:$I$40,2,FALSE)/100)*W435</f>
        <v>8.6999999999999993</v>
      </c>
      <c r="Y435" s="297">
        <f>VLOOKUP(Q435,Start!$C$9:$D$15,2,FALSE)+VLOOKUP(Q435,Start!$C$23:$D$29,2,FALSE)</f>
        <v>3.1</v>
      </c>
      <c r="Z435" s="298">
        <f>(Y435/U435)+Start!$D$19*(VLOOKUP(Q435,Start!$M$33:$N$39,2,FALSE)/U435)+VLOOKUP(R435,Start!$C$33:$D$40,2,FALSE)</f>
        <v>35.30412371134021</v>
      </c>
      <c r="AA435" s="234"/>
      <c r="AB435" s="278"/>
    </row>
    <row r="436" spans="2:28" ht="18.75" customHeight="1" x14ac:dyDescent="0.3">
      <c r="B436" s="229"/>
      <c r="C436" s="289" t="s">
        <v>2485</v>
      </c>
      <c r="D436" s="305" t="s">
        <v>151</v>
      </c>
      <c r="E436" s="317" t="s">
        <v>147</v>
      </c>
      <c r="F436" s="303" t="s">
        <v>148</v>
      </c>
      <c r="G436" s="308">
        <v>50127</v>
      </c>
      <c r="H436" s="303" t="s">
        <v>130</v>
      </c>
      <c r="I436" s="303" t="s">
        <v>149</v>
      </c>
      <c r="J436" s="306" t="s">
        <v>19</v>
      </c>
      <c r="K436" s="303" t="s">
        <v>152</v>
      </c>
      <c r="L436" s="304" t="s">
        <v>2074</v>
      </c>
      <c r="M436" s="303" t="s">
        <v>2</v>
      </c>
      <c r="N436" s="303"/>
      <c r="O436" s="303"/>
      <c r="P436" s="303" t="s">
        <v>2</v>
      </c>
      <c r="Q436" s="300" t="s">
        <v>2</v>
      </c>
      <c r="R436" s="300" t="s">
        <v>2</v>
      </c>
      <c r="S436" s="300" t="s">
        <v>1981</v>
      </c>
      <c r="T436" s="300" t="s">
        <v>2458</v>
      </c>
      <c r="U436" s="303">
        <v>0.38800000000000001</v>
      </c>
      <c r="V436" s="300" t="s">
        <v>2458</v>
      </c>
      <c r="W436" s="310">
        <v>10</v>
      </c>
      <c r="X436" s="297">
        <f>(1-VLOOKUP(R436,Start!$H$33:$I$40,2,FALSE)/100)*W436</f>
        <v>8.6999999999999993</v>
      </c>
      <c r="Y436" s="297">
        <f>VLOOKUP(Q436,Start!$C$9:$D$15,2,FALSE)+VLOOKUP(Q436,Start!$C$23:$D$29,2,FALSE)</f>
        <v>3.1</v>
      </c>
      <c r="Z436" s="298">
        <f>(Y436/U436)+Start!$D$19*(VLOOKUP(Q436,Start!$M$33:$N$39,2,FALSE)/U436)+VLOOKUP(R436,Start!$C$33:$D$40,2,FALSE)</f>
        <v>35.30412371134021</v>
      </c>
      <c r="AA436" s="234"/>
      <c r="AB436" s="278"/>
    </row>
    <row r="437" spans="2:28" ht="18.75" customHeight="1" x14ac:dyDescent="0.3">
      <c r="B437" s="229"/>
      <c r="C437" s="289" t="s">
        <v>2485</v>
      </c>
      <c r="D437" s="305" t="s">
        <v>153</v>
      </c>
      <c r="E437" s="317" t="s">
        <v>147</v>
      </c>
      <c r="F437" s="303" t="s">
        <v>148</v>
      </c>
      <c r="G437" s="308">
        <v>50127</v>
      </c>
      <c r="H437" s="303" t="s">
        <v>130</v>
      </c>
      <c r="I437" s="303" t="s">
        <v>149</v>
      </c>
      <c r="J437" s="306" t="s">
        <v>19</v>
      </c>
      <c r="K437" s="303" t="s">
        <v>154</v>
      </c>
      <c r="L437" s="304" t="s">
        <v>2074</v>
      </c>
      <c r="M437" s="303" t="s">
        <v>7</v>
      </c>
      <c r="N437" s="303"/>
      <c r="O437" s="303"/>
      <c r="P437" s="303" t="s">
        <v>7</v>
      </c>
      <c r="Q437" s="300" t="s">
        <v>7</v>
      </c>
      <c r="R437" s="300" t="s">
        <v>226</v>
      </c>
      <c r="S437" s="300" t="s">
        <v>1981</v>
      </c>
      <c r="T437" s="300" t="s">
        <v>2458</v>
      </c>
      <c r="U437" s="303">
        <v>0.3795</v>
      </c>
      <c r="V437" s="300" t="s">
        <v>2458</v>
      </c>
      <c r="W437" s="310">
        <v>3</v>
      </c>
      <c r="X437" s="297">
        <f>(1-VLOOKUP(R437,Start!$H$33:$I$40,2,FALSE)/100)*W437</f>
        <v>2.67</v>
      </c>
      <c r="Y437" s="297">
        <f>VLOOKUP(Q437,Start!$C$9:$D$15,2,FALSE)+VLOOKUP(Q437,Start!$C$23:$D$29,2,FALSE)</f>
        <v>23.27</v>
      </c>
      <c r="Z437" s="298">
        <f>(Y437/U437)+Start!$D$19*(VLOOKUP(Q437,Start!$M$33:$N$39,2,FALSE)/U437)+VLOOKUP(R437,Start!$C$33:$D$40,2,FALSE)</f>
        <v>75.8467720685112</v>
      </c>
      <c r="AA437" s="234"/>
      <c r="AB437" s="278"/>
    </row>
    <row r="438" spans="2:28" ht="18.75" customHeight="1" x14ac:dyDescent="0.3">
      <c r="B438" s="229"/>
      <c r="C438" s="289" t="s">
        <v>2485</v>
      </c>
      <c r="D438" s="299" t="s">
        <v>156</v>
      </c>
      <c r="E438" s="300" t="s">
        <v>147</v>
      </c>
      <c r="F438" s="300" t="s">
        <v>148</v>
      </c>
      <c r="G438" s="302">
        <v>50127</v>
      </c>
      <c r="H438" s="300" t="s">
        <v>130</v>
      </c>
      <c r="I438" s="300" t="s">
        <v>149</v>
      </c>
      <c r="J438" s="306" t="s">
        <v>19</v>
      </c>
      <c r="K438" s="300" t="s">
        <v>157</v>
      </c>
      <c r="L438" s="304" t="s">
        <v>2074</v>
      </c>
      <c r="M438" s="300" t="s">
        <v>48</v>
      </c>
      <c r="N438" s="300"/>
      <c r="O438" s="300"/>
      <c r="P438" s="300" t="s">
        <v>48</v>
      </c>
      <c r="Q438" s="300" t="s">
        <v>4</v>
      </c>
      <c r="R438" s="300" t="s">
        <v>4</v>
      </c>
      <c r="S438" s="300" t="s">
        <v>1981</v>
      </c>
      <c r="T438" s="300" t="s">
        <v>2458</v>
      </c>
      <c r="U438" s="303">
        <v>0.3795</v>
      </c>
      <c r="V438" s="300" t="s">
        <v>2458</v>
      </c>
      <c r="W438" s="307">
        <v>0.76</v>
      </c>
      <c r="X438" s="297">
        <f>(1-VLOOKUP(R438,Start!$H$33:$I$40,2,FALSE)/100)*W438</f>
        <v>0.64600000000000002</v>
      </c>
      <c r="Y438" s="297">
        <f>VLOOKUP(Q438,Start!$C$9:$D$15,2,FALSE)+VLOOKUP(Q438,Start!$C$23:$D$29,2,FALSE)</f>
        <v>33.223832923832894</v>
      </c>
      <c r="Z438" s="298">
        <f>(Y438/U438)+Start!$D$19*(VLOOKUP(Q438,Start!$M$33:$N$39,2,FALSE)/U438)+VLOOKUP(R438,Start!$C$33:$D$40,2,FALSE)</f>
        <v>106.69652944356494</v>
      </c>
      <c r="AA438" s="234"/>
      <c r="AB438" s="278"/>
    </row>
    <row r="439" spans="2:28" ht="18.75" customHeight="1" x14ac:dyDescent="0.3">
      <c r="B439" s="229"/>
      <c r="C439" s="289" t="s">
        <v>2485</v>
      </c>
      <c r="D439" s="299" t="s">
        <v>88</v>
      </c>
      <c r="E439" s="300" t="s">
        <v>89</v>
      </c>
      <c r="F439" s="300" t="s">
        <v>90</v>
      </c>
      <c r="G439" s="302">
        <v>86167</v>
      </c>
      <c r="H439" s="300" t="s">
        <v>91</v>
      </c>
      <c r="I439" s="300" t="s">
        <v>92</v>
      </c>
      <c r="J439" s="306" t="s">
        <v>55</v>
      </c>
      <c r="K439" s="300" t="s">
        <v>93</v>
      </c>
      <c r="L439" s="304" t="s">
        <v>2332</v>
      </c>
      <c r="M439" s="300" t="s">
        <v>6</v>
      </c>
      <c r="N439" s="300"/>
      <c r="O439" s="300"/>
      <c r="P439" s="300" t="s">
        <v>6</v>
      </c>
      <c r="Q439" s="300" t="s">
        <v>6</v>
      </c>
      <c r="R439" s="300" t="s">
        <v>6</v>
      </c>
      <c r="S439" s="300" t="s">
        <v>1981</v>
      </c>
      <c r="T439" s="300" t="s">
        <v>2458</v>
      </c>
      <c r="U439" s="303">
        <v>0.33</v>
      </c>
      <c r="V439" s="300" t="s">
        <v>2458</v>
      </c>
      <c r="W439" s="307">
        <v>10</v>
      </c>
      <c r="X439" s="297">
        <f>(1-VLOOKUP(R439,Start!$H$33:$I$40,2,FALSE)/100)*W439</f>
        <v>8.5</v>
      </c>
      <c r="Y439" s="297">
        <f>VLOOKUP(Q439,Start!$C$9:$D$15,2,FALSE)+VLOOKUP(Q439,Start!$C$23:$D$29,2,FALSE)</f>
        <v>0</v>
      </c>
      <c r="Z439" s="298">
        <f>(Y439/U439)+Start!$D$19*(VLOOKUP(Q439,Start!$M$33:$N$39,2,FALSE)/U439)+VLOOKUP(R439,Start!$C$33:$D$40,2,FALSE)</f>
        <v>1</v>
      </c>
      <c r="AA439" s="234"/>
      <c r="AB439" s="278"/>
    </row>
    <row r="440" spans="2:28" ht="18.75" customHeight="1" x14ac:dyDescent="0.3">
      <c r="B440" s="229"/>
      <c r="C440" s="289" t="s">
        <v>2485</v>
      </c>
      <c r="D440" s="305" t="s">
        <v>680</v>
      </c>
      <c r="E440" s="300" t="s">
        <v>681</v>
      </c>
      <c r="F440" s="300" t="s">
        <v>276</v>
      </c>
      <c r="G440" s="302">
        <v>79106</v>
      </c>
      <c r="H440" s="300" t="s">
        <v>678</v>
      </c>
      <c r="I440" s="303" t="s">
        <v>682</v>
      </c>
      <c r="J440" s="306" t="s">
        <v>20</v>
      </c>
      <c r="K440" s="303" t="s">
        <v>276</v>
      </c>
      <c r="L440" s="304" t="s">
        <v>2174</v>
      </c>
      <c r="M440" s="300" t="s">
        <v>47</v>
      </c>
      <c r="N440" s="303" t="s">
        <v>7</v>
      </c>
      <c r="O440" s="303" t="s">
        <v>683</v>
      </c>
      <c r="P440" s="303" t="s">
        <v>7</v>
      </c>
      <c r="Q440" s="300" t="s">
        <v>7</v>
      </c>
      <c r="R440" s="300" t="s">
        <v>226</v>
      </c>
      <c r="S440" s="300" t="s">
        <v>1981</v>
      </c>
      <c r="T440" s="300" t="s">
        <v>2458</v>
      </c>
      <c r="U440" s="303">
        <v>0.3861</v>
      </c>
      <c r="V440" s="300" t="s">
        <v>2458</v>
      </c>
      <c r="W440" s="303">
        <v>27</v>
      </c>
      <c r="X440" s="297">
        <f>(1-VLOOKUP(R440,Start!$H$33:$I$40,2,FALSE)/100)*W440</f>
        <v>24.03</v>
      </c>
      <c r="Y440" s="297">
        <f>VLOOKUP(Q440,Start!$C$9:$D$15,2,FALSE)+VLOOKUP(Q440,Start!$C$23:$D$29,2,FALSE)</f>
        <v>23.27</v>
      </c>
      <c r="Z440" s="298">
        <f>(Y440/U440)+Start!$D$19*(VLOOKUP(Q440,Start!$M$33:$N$39,2,FALSE)/U440)+VLOOKUP(R440,Start!$C$33:$D$40,2,FALSE)</f>
        <v>74.575887075887081</v>
      </c>
      <c r="AA440" s="234"/>
      <c r="AB440" s="278"/>
    </row>
    <row r="441" spans="2:28" ht="18.75" customHeight="1" x14ac:dyDescent="0.3">
      <c r="B441" s="229"/>
      <c r="C441" s="289" t="s">
        <v>2485</v>
      </c>
      <c r="D441" s="305" t="s">
        <v>1903</v>
      </c>
      <c r="E441" s="300" t="s">
        <v>1904</v>
      </c>
      <c r="F441" s="301" t="s">
        <v>977</v>
      </c>
      <c r="G441" s="302">
        <v>42349</v>
      </c>
      <c r="H441" s="303" t="s">
        <v>1905</v>
      </c>
      <c r="I441" s="303" t="s">
        <v>1906</v>
      </c>
      <c r="J441" s="301" t="s">
        <v>19</v>
      </c>
      <c r="K441" s="301"/>
      <c r="L441" s="304" t="s">
        <v>2053</v>
      </c>
      <c r="M441" s="300" t="s">
        <v>6</v>
      </c>
      <c r="N441" s="132" t="s">
        <v>6</v>
      </c>
      <c r="O441" s="303" t="s">
        <v>104</v>
      </c>
      <c r="P441" s="303" t="s">
        <v>6</v>
      </c>
      <c r="Q441" s="300" t="s">
        <v>6</v>
      </c>
      <c r="R441" s="300" t="s">
        <v>6</v>
      </c>
      <c r="S441" s="300" t="s">
        <v>1981</v>
      </c>
      <c r="T441" s="300" t="s">
        <v>2458</v>
      </c>
      <c r="U441" s="303">
        <v>0.33</v>
      </c>
      <c r="V441" s="300" t="s">
        <v>2458</v>
      </c>
      <c r="W441" s="297">
        <v>30</v>
      </c>
      <c r="X441" s="297">
        <f>(1-VLOOKUP(R441,Start!$H$33:$I$40,2,FALSE)/100)*W441</f>
        <v>25.5</v>
      </c>
      <c r="Y441" s="297">
        <f>VLOOKUP(Q441,Start!$C$9:$D$15,2,FALSE)+VLOOKUP(Q441,Start!$C$23:$D$29,2,FALSE)</f>
        <v>0</v>
      </c>
      <c r="Z441" s="298">
        <f>(Y441/U441)+Start!$D$19*(VLOOKUP(Q441,Start!$M$33:$N$39,2,FALSE)/U441)+VLOOKUP(R441,Start!$C$33:$D$40,2,FALSE)</f>
        <v>1</v>
      </c>
      <c r="AA441" s="234"/>
      <c r="AB441" s="278"/>
    </row>
    <row r="442" spans="2:28" ht="18.75" customHeight="1" x14ac:dyDescent="0.3">
      <c r="B442" s="229"/>
      <c r="C442" s="289" t="s">
        <v>2485</v>
      </c>
      <c r="D442" s="305" t="s">
        <v>1328</v>
      </c>
      <c r="E442" s="300" t="s">
        <v>1329</v>
      </c>
      <c r="F442" s="300" t="s">
        <v>1330</v>
      </c>
      <c r="G442" s="302">
        <v>85326</v>
      </c>
      <c r="H442" s="300" t="s">
        <v>1315</v>
      </c>
      <c r="I442" s="300" t="s">
        <v>1327</v>
      </c>
      <c r="J442" s="306" t="s">
        <v>55</v>
      </c>
      <c r="K442" s="300" t="s">
        <v>1331</v>
      </c>
      <c r="L442" s="304" t="s">
        <v>2227</v>
      </c>
      <c r="M442" s="300" t="s">
        <v>7</v>
      </c>
      <c r="N442" s="300"/>
      <c r="O442" s="300"/>
      <c r="P442" s="300" t="s">
        <v>7</v>
      </c>
      <c r="Q442" s="300" t="s">
        <v>7</v>
      </c>
      <c r="R442" s="300" t="s">
        <v>226</v>
      </c>
      <c r="S442" s="300" t="s">
        <v>1981</v>
      </c>
      <c r="T442" s="300" t="s">
        <v>2458</v>
      </c>
      <c r="U442" s="303">
        <v>0.38829999999999998</v>
      </c>
      <c r="V442" s="300" t="s">
        <v>2458</v>
      </c>
      <c r="W442" s="307">
        <v>7.44</v>
      </c>
      <c r="X442" s="297">
        <f>(1-VLOOKUP(R442,Start!$H$33:$I$40,2,FALSE)/100)*W442</f>
        <v>6.6216000000000008</v>
      </c>
      <c r="Y442" s="297">
        <f>VLOOKUP(Q442,Start!$C$9:$D$15,2,FALSE)+VLOOKUP(Q442,Start!$C$23:$D$29,2,FALSE)</f>
        <v>23.27</v>
      </c>
      <c r="Z442" s="298">
        <f>(Y442/U442)+Start!$D$19*(VLOOKUP(Q442,Start!$M$33:$N$39,2,FALSE)/U442)+VLOOKUP(R442,Start!$C$33:$D$40,2,FALSE)</f>
        <v>74.161859387071857</v>
      </c>
      <c r="AA442" s="234"/>
      <c r="AB442" s="278"/>
    </row>
    <row r="443" spans="2:28" ht="18.75" customHeight="1" x14ac:dyDescent="0.3">
      <c r="B443" s="229"/>
      <c r="C443" s="289" t="s">
        <v>2485</v>
      </c>
      <c r="D443" s="299" t="s">
        <v>1512</v>
      </c>
      <c r="E443" s="300" t="s">
        <v>1513</v>
      </c>
      <c r="F443" s="300" t="s">
        <v>1514</v>
      </c>
      <c r="G443" s="311">
        <v>83064</v>
      </c>
      <c r="H443" s="312" t="s">
        <v>1515</v>
      </c>
      <c r="I443" s="300" t="s">
        <v>1516</v>
      </c>
      <c r="J443" s="301" t="s">
        <v>55</v>
      </c>
      <c r="K443" s="300" t="s">
        <v>1517</v>
      </c>
      <c r="L443" s="304" t="s">
        <v>2240</v>
      </c>
      <c r="M443" s="300" t="s">
        <v>7</v>
      </c>
      <c r="N443" s="300"/>
      <c r="O443" s="300"/>
      <c r="P443" s="314" t="s">
        <v>7</v>
      </c>
      <c r="Q443" s="300" t="s">
        <v>7</v>
      </c>
      <c r="R443" s="300" t="s">
        <v>226</v>
      </c>
      <c r="S443" s="300" t="s">
        <v>1981</v>
      </c>
      <c r="T443" s="300" t="s">
        <v>2458</v>
      </c>
      <c r="U443" s="303">
        <v>0.3861</v>
      </c>
      <c r="V443" s="300" t="s">
        <v>2458</v>
      </c>
      <c r="W443" s="315">
        <v>24</v>
      </c>
      <c r="X443" s="297">
        <f>(1-VLOOKUP(R443,Start!$H$33:$I$40,2,FALSE)/100)*W443</f>
        <v>21.36</v>
      </c>
      <c r="Y443" s="297">
        <f>VLOOKUP(Q443,Start!$C$9:$D$15,2,FALSE)+VLOOKUP(Q443,Start!$C$23:$D$29,2,FALSE)</f>
        <v>23.27</v>
      </c>
      <c r="Z443" s="298">
        <f>(Y443/U443)+Start!$D$19*(VLOOKUP(Q443,Start!$M$33:$N$39,2,FALSE)/U443)+VLOOKUP(R443,Start!$C$33:$D$40,2,FALSE)</f>
        <v>74.575887075887081</v>
      </c>
      <c r="AA443" s="234"/>
      <c r="AB443" s="278"/>
    </row>
    <row r="444" spans="2:28" ht="18.75" customHeight="1" x14ac:dyDescent="0.3">
      <c r="B444" s="229"/>
      <c r="C444" s="289" t="s">
        <v>2485</v>
      </c>
      <c r="D444" s="299" t="s">
        <v>1089</v>
      </c>
      <c r="E444" s="300" t="s">
        <v>1090</v>
      </c>
      <c r="F444" s="300" t="s">
        <v>1091</v>
      </c>
      <c r="G444" s="302">
        <v>9648</v>
      </c>
      <c r="H444" s="300" t="s">
        <v>1092</v>
      </c>
      <c r="I444" s="300" t="s">
        <v>1093</v>
      </c>
      <c r="J444" s="306" t="s">
        <v>78</v>
      </c>
      <c r="K444" s="300" t="s">
        <v>1094</v>
      </c>
      <c r="L444" s="304" t="s">
        <v>2206</v>
      </c>
      <c r="M444" s="300" t="s">
        <v>47</v>
      </c>
      <c r="N444" s="300" t="s">
        <v>7</v>
      </c>
      <c r="O444" s="300" t="s">
        <v>377</v>
      </c>
      <c r="P444" s="300" t="s">
        <v>7</v>
      </c>
      <c r="Q444" s="300" t="s">
        <v>7</v>
      </c>
      <c r="R444" s="300" t="s">
        <v>226</v>
      </c>
      <c r="S444" s="300" t="s">
        <v>1996</v>
      </c>
      <c r="T444" s="300" t="s">
        <v>2458</v>
      </c>
      <c r="U444" s="303">
        <v>0.50849999999999995</v>
      </c>
      <c r="V444" s="300" t="s">
        <v>2458</v>
      </c>
      <c r="W444" s="307">
        <v>13.11</v>
      </c>
      <c r="X444" s="297">
        <f>(1-VLOOKUP(R444,Start!$H$33:$I$40,2,FALSE)/100)*W444</f>
        <v>11.667899999999999</v>
      </c>
      <c r="Y444" s="297">
        <f>VLOOKUP(Q444,Start!$C$9:$D$15,2,FALSE)+VLOOKUP(Q444,Start!$C$23:$D$29,2,FALSE)</f>
        <v>23.27</v>
      </c>
      <c r="Z444" s="298">
        <f>(Y444/U444)+Start!$D$19*(VLOOKUP(Q444,Start!$M$33:$N$39,2,FALSE)/U444)+VLOOKUP(R444,Start!$C$33:$D$40,2,FALSE)</f>
        <v>56.985939036381517</v>
      </c>
      <c r="AA444" s="234"/>
      <c r="AB444" s="278"/>
    </row>
    <row r="445" spans="2:28" ht="18.75" customHeight="1" x14ac:dyDescent="0.3">
      <c r="B445" s="229"/>
      <c r="C445" s="289" t="s">
        <v>2485</v>
      </c>
      <c r="D445" s="305" t="s">
        <v>700</v>
      </c>
      <c r="E445" s="300" t="s">
        <v>701</v>
      </c>
      <c r="F445" s="300" t="s">
        <v>702</v>
      </c>
      <c r="G445" s="301">
        <v>25348</v>
      </c>
      <c r="H445" s="301" t="s">
        <v>703</v>
      </c>
      <c r="I445" s="301" t="s">
        <v>704</v>
      </c>
      <c r="J445" s="306" t="s">
        <v>27</v>
      </c>
      <c r="K445" s="301"/>
      <c r="L445" s="304" t="s">
        <v>2343</v>
      </c>
      <c r="M445" s="301" t="s">
        <v>6</v>
      </c>
      <c r="N445" s="301" t="s">
        <v>705</v>
      </c>
      <c r="O445" s="301" t="s">
        <v>706</v>
      </c>
      <c r="P445" s="337" t="s">
        <v>6</v>
      </c>
      <c r="Q445" s="300" t="s">
        <v>6</v>
      </c>
      <c r="R445" s="300" t="s">
        <v>6</v>
      </c>
      <c r="S445" s="300" t="s">
        <v>1981</v>
      </c>
      <c r="T445" s="300" t="s">
        <v>2458</v>
      </c>
      <c r="U445" s="303">
        <v>0.33</v>
      </c>
      <c r="V445" s="300" t="s">
        <v>2458</v>
      </c>
      <c r="W445" s="301">
        <v>17</v>
      </c>
      <c r="X445" s="297">
        <f>(1-VLOOKUP(R445,Start!$H$33:$I$40,2,FALSE)/100)*W445</f>
        <v>14.45</v>
      </c>
      <c r="Y445" s="297">
        <f>VLOOKUP(Q445,Start!$C$9:$D$15,2,FALSE)+VLOOKUP(Q445,Start!$C$23:$D$29,2,FALSE)</f>
        <v>0</v>
      </c>
      <c r="Z445" s="298">
        <f>(Y445/U445)+Start!$D$19*(VLOOKUP(Q445,Start!$M$33:$N$39,2,FALSE)/U445)+VLOOKUP(R445,Start!$C$33:$D$40,2,FALSE)</f>
        <v>1</v>
      </c>
      <c r="AA445" s="234"/>
      <c r="AB445" s="278"/>
    </row>
    <row r="446" spans="2:28" ht="18.75" customHeight="1" x14ac:dyDescent="0.3">
      <c r="B446" s="229"/>
      <c r="C446" s="289" t="s">
        <v>2485</v>
      </c>
      <c r="D446" s="299" t="s">
        <v>71</v>
      </c>
      <c r="E446" s="300" t="s">
        <v>72</v>
      </c>
      <c r="F446" s="300" t="s">
        <v>73</v>
      </c>
      <c r="G446" s="311">
        <v>59821</v>
      </c>
      <c r="H446" s="312" t="s">
        <v>74</v>
      </c>
      <c r="I446" s="300" t="s">
        <v>75</v>
      </c>
      <c r="J446" s="306" t="s">
        <v>19</v>
      </c>
      <c r="K446" s="300" t="s">
        <v>76</v>
      </c>
      <c r="L446" s="304" t="s">
        <v>1990</v>
      </c>
      <c r="M446" s="300" t="s">
        <v>3</v>
      </c>
      <c r="N446" s="300"/>
      <c r="O446" s="300"/>
      <c r="P446" s="314" t="s">
        <v>3</v>
      </c>
      <c r="Q446" s="300" t="s">
        <v>3</v>
      </c>
      <c r="R446" s="300" t="s">
        <v>3</v>
      </c>
      <c r="S446" s="300" t="s">
        <v>1981</v>
      </c>
      <c r="T446" s="300" t="s">
        <v>2458</v>
      </c>
      <c r="U446" s="303">
        <v>0.23250000000000001</v>
      </c>
      <c r="V446" s="300" t="s">
        <v>2458</v>
      </c>
      <c r="W446" s="315">
        <v>19.239999999999998</v>
      </c>
      <c r="X446" s="297">
        <f>(1-VLOOKUP(R446,Start!$H$33:$I$40,2,FALSE)/100)*W446</f>
        <v>15.007199999999999</v>
      </c>
      <c r="Y446" s="297">
        <f>VLOOKUP(Q446,Start!$C$9:$D$15,2,FALSE)+VLOOKUP(Q446,Start!$C$23:$D$29,2,FALSE)</f>
        <v>12.53</v>
      </c>
      <c r="Z446" s="298">
        <f>(Y446/U446)+Start!$D$19*(VLOOKUP(Q446,Start!$M$33:$N$39,2,FALSE)/U446)+VLOOKUP(R446,Start!$C$33:$D$40,2,FALSE)</f>
        <v>90.849247311827938</v>
      </c>
      <c r="AA446" s="234"/>
      <c r="AB446" s="278"/>
    </row>
    <row r="447" spans="2:28" ht="18.75" customHeight="1" x14ac:dyDescent="0.3">
      <c r="B447" s="229"/>
      <c r="C447" s="289" t="s">
        <v>2485</v>
      </c>
      <c r="D447" s="299" t="s">
        <v>1297</v>
      </c>
      <c r="E447" s="300" t="s">
        <v>1298</v>
      </c>
      <c r="F447" s="300" t="s">
        <v>1299</v>
      </c>
      <c r="G447" s="302">
        <v>47443</v>
      </c>
      <c r="H447" s="300" t="s">
        <v>1300</v>
      </c>
      <c r="I447" s="300" t="s">
        <v>1301</v>
      </c>
      <c r="J447" s="306" t="s">
        <v>19</v>
      </c>
      <c r="K447" s="300" t="s">
        <v>1302</v>
      </c>
      <c r="L447" s="304" t="s">
        <v>2222</v>
      </c>
      <c r="M447" s="300" t="s">
        <v>47</v>
      </c>
      <c r="N447" s="300" t="s">
        <v>7</v>
      </c>
      <c r="O447" s="300" t="s">
        <v>1303</v>
      </c>
      <c r="P447" s="300" t="s">
        <v>7</v>
      </c>
      <c r="Q447" s="300" t="s">
        <v>7</v>
      </c>
      <c r="R447" s="300" t="s">
        <v>226</v>
      </c>
      <c r="S447" s="300" t="s">
        <v>1981</v>
      </c>
      <c r="T447" s="300" t="s">
        <v>2458</v>
      </c>
      <c r="U447" s="303">
        <v>0.3795</v>
      </c>
      <c r="V447" s="300" t="s">
        <v>2458</v>
      </c>
      <c r="W447" s="307">
        <v>24</v>
      </c>
      <c r="X447" s="297">
        <f>(1-VLOOKUP(R447,Start!$H$33:$I$40,2,FALSE)/100)*W447</f>
        <v>21.36</v>
      </c>
      <c r="Y447" s="297">
        <f>VLOOKUP(Q447,Start!$C$9:$D$15,2,FALSE)+VLOOKUP(Q447,Start!$C$23:$D$29,2,FALSE)</f>
        <v>23.27</v>
      </c>
      <c r="Z447" s="298">
        <f>(Y447/U447)+Start!$D$19*(VLOOKUP(Q447,Start!$M$33:$N$39,2,FALSE)/U447)+VLOOKUP(R447,Start!$C$33:$D$40,2,FALSE)</f>
        <v>75.8467720685112</v>
      </c>
      <c r="AA447" s="234"/>
      <c r="AB447" s="278"/>
    </row>
    <row r="448" spans="2:28" ht="18.75" customHeight="1" x14ac:dyDescent="0.3">
      <c r="B448" s="229"/>
      <c r="C448" s="289" t="s">
        <v>2485</v>
      </c>
      <c r="D448" s="305" t="s">
        <v>1726</v>
      </c>
      <c r="E448" s="300" t="s">
        <v>1727</v>
      </c>
      <c r="F448" s="300" t="s">
        <v>1728</v>
      </c>
      <c r="G448" s="302">
        <v>70569</v>
      </c>
      <c r="H448" s="300" t="s">
        <v>1721</v>
      </c>
      <c r="I448" s="300" t="s">
        <v>1729</v>
      </c>
      <c r="J448" s="306" t="s">
        <v>20</v>
      </c>
      <c r="K448" s="300" t="s">
        <v>1730</v>
      </c>
      <c r="L448" s="304" t="s">
        <v>2265</v>
      </c>
      <c r="M448" s="300" t="s">
        <v>47</v>
      </c>
      <c r="N448" s="300" t="s">
        <v>1731</v>
      </c>
      <c r="O448" s="300" t="s">
        <v>377</v>
      </c>
      <c r="P448" s="300" t="s">
        <v>7</v>
      </c>
      <c r="Q448" s="300" t="s">
        <v>7</v>
      </c>
      <c r="R448" s="300" t="s">
        <v>226</v>
      </c>
      <c r="S448" s="300" t="s">
        <v>1981</v>
      </c>
      <c r="T448" s="300" t="s">
        <v>2458</v>
      </c>
      <c r="U448" s="303">
        <v>0.37180000000000002</v>
      </c>
      <c r="V448" s="300" t="s">
        <v>2458</v>
      </c>
      <c r="W448" s="307">
        <v>12.181000000000001</v>
      </c>
      <c r="X448" s="297">
        <f>(1-VLOOKUP(R448,Start!$H$33:$I$40,2,FALSE)/100)*W448</f>
        <v>10.841090000000001</v>
      </c>
      <c r="Y448" s="297">
        <f>VLOOKUP(Q448,Start!$C$9:$D$15,2,FALSE)+VLOOKUP(Q448,Start!$C$23:$D$29,2,FALSE)</f>
        <v>23.27</v>
      </c>
      <c r="Z448" s="298">
        <f>(Y448/U448)+Start!$D$19*(VLOOKUP(Q448,Start!$M$33:$N$39,2,FALSE)/U448)+VLOOKUP(R448,Start!$C$33:$D$40,2,FALSE)</f>
        <v>77.386498117267337</v>
      </c>
      <c r="AA448" s="234"/>
      <c r="AB448" s="278"/>
    </row>
    <row r="449" spans="2:28" ht="18.75" customHeight="1" x14ac:dyDescent="0.3">
      <c r="B449" s="229"/>
      <c r="C449" s="289" t="s">
        <v>2485</v>
      </c>
      <c r="D449" s="305" t="s">
        <v>1732</v>
      </c>
      <c r="E449" s="300" t="s">
        <v>1727</v>
      </c>
      <c r="F449" s="301" t="s">
        <v>1728</v>
      </c>
      <c r="G449" s="302">
        <v>70569</v>
      </c>
      <c r="H449" s="303" t="s">
        <v>1721</v>
      </c>
      <c r="I449" s="303" t="s">
        <v>1729</v>
      </c>
      <c r="J449" s="301" t="s">
        <v>20</v>
      </c>
      <c r="K449" s="301" t="s">
        <v>1733</v>
      </c>
      <c r="L449" s="304" t="s">
        <v>2266</v>
      </c>
      <c r="M449" s="300" t="s">
        <v>47</v>
      </c>
      <c r="N449" s="132" t="s">
        <v>1731</v>
      </c>
      <c r="O449" s="303" t="s">
        <v>377</v>
      </c>
      <c r="P449" s="314" t="s">
        <v>7</v>
      </c>
      <c r="Q449" s="300" t="s">
        <v>7</v>
      </c>
      <c r="R449" s="300" t="s">
        <v>226</v>
      </c>
      <c r="S449" s="300" t="s">
        <v>1981</v>
      </c>
      <c r="T449" s="300" t="s">
        <v>2458</v>
      </c>
      <c r="U449" s="303">
        <v>0.35089999999999999</v>
      </c>
      <c r="V449" s="300" t="s">
        <v>2458</v>
      </c>
      <c r="W449" s="297">
        <v>11.3377</v>
      </c>
      <c r="X449" s="297">
        <f>(1-VLOOKUP(R449,Start!$H$33:$I$40,2,FALSE)/100)*W449</f>
        <v>10.090553</v>
      </c>
      <c r="Y449" s="297">
        <f>VLOOKUP(Q449,Start!$C$9:$D$15,2,FALSE)+VLOOKUP(Q449,Start!$C$23:$D$29,2,FALSE)</f>
        <v>23.27</v>
      </c>
      <c r="Z449" s="298">
        <f>(Y449/U449)+Start!$D$19*(VLOOKUP(Q449,Start!$M$33:$N$39,2,FALSE)/U449)+VLOOKUP(R449,Start!$C$33:$D$40,2,FALSE)</f>
        <v>81.906383585066962</v>
      </c>
      <c r="AA449" s="234"/>
      <c r="AB449" s="278"/>
    </row>
    <row r="450" spans="2:28" ht="18.75" customHeight="1" x14ac:dyDescent="0.3">
      <c r="B450" s="229"/>
      <c r="C450" s="289" t="s">
        <v>2485</v>
      </c>
      <c r="D450" s="299" t="s">
        <v>1734</v>
      </c>
      <c r="E450" s="300" t="s">
        <v>1727</v>
      </c>
      <c r="F450" s="300" t="s">
        <v>1728</v>
      </c>
      <c r="G450" s="311">
        <v>70569</v>
      </c>
      <c r="H450" s="312" t="s">
        <v>1721</v>
      </c>
      <c r="I450" s="300" t="s">
        <v>1729</v>
      </c>
      <c r="J450" s="306" t="s">
        <v>20</v>
      </c>
      <c r="K450" s="300" t="s">
        <v>1735</v>
      </c>
      <c r="L450" s="304" t="s">
        <v>2267</v>
      </c>
      <c r="M450" s="300" t="s">
        <v>47</v>
      </c>
      <c r="N450" s="300" t="s">
        <v>1731</v>
      </c>
      <c r="O450" s="300" t="s">
        <v>377</v>
      </c>
      <c r="P450" s="314" t="s">
        <v>7</v>
      </c>
      <c r="Q450" s="300" t="s">
        <v>7</v>
      </c>
      <c r="R450" s="300" t="s">
        <v>226</v>
      </c>
      <c r="S450" s="300" t="s">
        <v>1981</v>
      </c>
      <c r="T450" s="300" t="s">
        <v>2458</v>
      </c>
      <c r="U450" s="303">
        <v>0.3498</v>
      </c>
      <c r="V450" s="300" t="s">
        <v>2458</v>
      </c>
      <c r="W450" s="315">
        <v>11.6188</v>
      </c>
      <c r="X450" s="297">
        <f>(1-VLOOKUP(R450,Start!$H$33:$I$40,2,FALSE)/100)*W450</f>
        <v>10.340732000000001</v>
      </c>
      <c r="Y450" s="297">
        <f>VLOOKUP(Q450,Start!$C$9:$D$15,2,FALSE)+VLOOKUP(Q450,Start!$C$23:$D$29,2,FALSE)</f>
        <v>23.27</v>
      </c>
      <c r="Z450" s="298">
        <f>(Y450/U450)+Start!$D$19*(VLOOKUP(Q450,Start!$M$33:$N$39,2,FALSE)/U450)+VLOOKUP(R450,Start!$C$33:$D$40,2,FALSE)</f>
        <v>82.1592338479131</v>
      </c>
      <c r="AA450" s="234"/>
      <c r="AB450" s="278"/>
    </row>
    <row r="451" spans="2:28" ht="18.75" customHeight="1" x14ac:dyDescent="0.3">
      <c r="B451" s="229"/>
      <c r="C451" s="289" t="s">
        <v>2485</v>
      </c>
      <c r="D451" s="305" t="s">
        <v>303</v>
      </c>
      <c r="E451" s="300" t="s">
        <v>304</v>
      </c>
      <c r="F451" s="300" t="s">
        <v>305</v>
      </c>
      <c r="G451" s="302">
        <v>28237</v>
      </c>
      <c r="H451" s="300" t="s">
        <v>296</v>
      </c>
      <c r="I451" s="300" t="s">
        <v>306</v>
      </c>
      <c r="J451" s="306" t="s">
        <v>296</v>
      </c>
      <c r="K451" s="300" t="s">
        <v>307</v>
      </c>
      <c r="L451" s="304" t="s">
        <v>308</v>
      </c>
      <c r="M451" s="300" t="s">
        <v>7</v>
      </c>
      <c r="N451" s="300"/>
      <c r="O451" s="300"/>
      <c r="P451" s="300" t="s">
        <v>7</v>
      </c>
      <c r="Q451" s="300" t="s">
        <v>7</v>
      </c>
      <c r="R451" s="300" t="s">
        <v>226</v>
      </c>
      <c r="S451" s="300" t="s">
        <v>1996</v>
      </c>
      <c r="T451" s="300" t="s">
        <v>2458</v>
      </c>
      <c r="U451" s="303">
        <v>0.54900000000000004</v>
      </c>
      <c r="V451" s="300" t="s">
        <v>2458</v>
      </c>
      <c r="W451" s="307">
        <v>14.8</v>
      </c>
      <c r="X451" s="297">
        <f>(1-VLOOKUP(R451,Start!$H$33:$I$40,2,FALSE)/100)*W451</f>
        <v>13.172000000000001</v>
      </c>
      <c r="Y451" s="297">
        <f>VLOOKUP(Q451,Start!$C$9:$D$15,2,FALSE)+VLOOKUP(Q451,Start!$C$23:$D$29,2,FALSE)</f>
        <v>23.27</v>
      </c>
      <c r="Z451" s="298">
        <f>(Y451/U451)+Start!$D$19*(VLOOKUP(Q451,Start!$M$33:$N$39,2,FALSE)/U451)+VLOOKUP(R451,Start!$C$33:$D$40,2,FALSE)</f>
        <v>52.892714025500908</v>
      </c>
      <c r="AA451" s="234"/>
      <c r="AB451" s="278"/>
    </row>
    <row r="452" spans="2:28" ht="18.75" customHeight="1" x14ac:dyDescent="0.3">
      <c r="B452" s="229"/>
      <c r="C452" s="289" t="s">
        <v>2485</v>
      </c>
      <c r="D452" s="305" t="s">
        <v>1783</v>
      </c>
      <c r="E452" s="300" t="s">
        <v>1779</v>
      </c>
      <c r="F452" s="300" t="s">
        <v>1780</v>
      </c>
      <c r="G452" s="302">
        <v>26316</v>
      </c>
      <c r="H452" s="300" t="s">
        <v>1781</v>
      </c>
      <c r="I452" s="300" t="s">
        <v>1782</v>
      </c>
      <c r="J452" s="306" t="s">
        <v>22</v>
      </c>
      <c r="K452" s="300" t="s">
        <v>1784</v>
      </c>
      <c r="L452" s="304" t="s">
        <v>2270</v>
      </c>
      <c r="M452" s="300" t="s">
        <v>7</v>
      </c>
      <c r="N452" s="300" t="s">
        <v>223</v>
      </c>
      <c r="O452" s="300"/>
      <c r="P452" s="300" t="s">
        <v>7</v>
      </c>
      <c r="Q452" s="300" t="s">
        <v>7</v>
      </c>
      <c r="R452" s="300" t="s">
        <v>226</v>
      </c>
      <c r="S452" s="300" t="s">
        <v>1981</v>
      </c>
      <c r="T452" s="300" t="s">
        <v>2458</v>
      </c>
      <c r="U452" s="303">
        <v>0.37290000000000001</v>
      </c>
      <c r="V452" s="300" t="s">
        <v>2458</v>
      </c>
      <c r="W452" s="315">
        <v>58.1</v>
      </c>
      <c r="X452" s="297">
        <f>(1-VLOOKUP(R452,Start!$H$33:$I$40,2,FALSE)/100)*W452</f>
        <v>51.709000000000003</v>
      </c>
      <c r="Y452" s="297">
        <f>VLOOKUP(Q452,Start!$C$9:$D$15,2,FALSE)+VLOOKUP(Q452,Start!$C$23:$D$29,2,FALSE)</f>
        <v>23.27</v>
      </c>
      <c r="Z452" s="298">
        <f>(Y452/U452)+Start!$D$19*(VLOOKUP(Q452,Start!$M$33:$N$39,2,FALSE)/U452)+VLOOKUP(R452,Start!$C$33:$D$40,2,FALSE)</f>
        <v>77.162644140520243</v>
      </c>
      <c r="AA452" s="234"/>
      <c r="AB452" s="278"/>
    </row>
    <row r="453" spans="2:28" ht="18.75" customHeight="1" x14ac:dyDescent="0.3">
      <c r="B453" s="229"/>
      <c r="C453" s="289" t="s">
        <v>2485</v>
      </c>
      <c r="D453" s="305" t="s">
        <v>1785</v>
      </c>
      <c r="E453" s="300" t="s">
        <v>1779</v>
      </c>
      <c r="F453" s="300" t="s">
        <v>1780</v>
      </c>
      <c r="G453" s="302">
        <v>26316</v>
      </c>
      <c r="H453" s="300" t="s">
        <v>1781</v>
      </c>
      <c r="I453" s="300" t="s">
        <v>1782</v>
      </c>
      <c r="J453" s="306" t="s">
        <v>22</v>
      </c>
      <c r="K453" s="300" t="s">
        <v>1786</v>
      </c>
      <c r="L453" s="304" t="s">
        <v>2057</v>
      </c>
      <c r="M453" s="300" t="s">
        <v>7</v>
      </c>
      <c r="N453" s="300" t="s">
        <v>1787</v>
      </c>
      <c r="O453" s="300"/>
      <c r="P453" s="300" t="s">
        <v>7</v>
      </c>
      <c r="Q453" s="300" t="s">
        <v>7</v>
      </c>
      <c r="R453" s="300" t="s">
        <v>226</v>
      </c>
      <c r="S453" s="300" t="s">
        <v>1981</v>
      </c>
      <c r="T453" s="300" t="s">
        <v>2458</v>
      </c>
      <c r="U453" s="303">
        <v>0.3498</v>
      </c>
      <c r="V453" s="300" t="s">
        <v>2458</v>
      </c>
      <c r="W453" s="307">
        <v>0.48</v>
      </c>
      <c r="X453" s="297">
        <f>(1-VLOOKUP(R453,Start!$H$33:$I$40,2,FALSE)/100)*W453</f>
        <v>0.42719999999999997</v>
      </c>
      <c r="Y453" s="297">
        <f>VLOOKUP(Q453,Start!$C$9:$D$15,2,FALSE)+VLOOKUP(Q453,Start!$C$23:$D$29,2,FALSE)</f>
        <v>23.27</v>
      </c>
      <c r="Z453" s="298">
        <f>(Y453/U453)+Start!$D$19*(VLOOKUP(Q453,Start!$M$33:$N$39,2,FALSE)/U453)+VLOOKUP(R453,Start!$C$33:$D$40,2,FALSE)</f>
        <v>82.1592338479131</v>
      </c>
      <c r="AA453" s="234"/>
      <c r="AB453" s="278"/>
    </row>
    <row r="454" spans="2:28" ht="18.75" customHeight="1" x14ac:dyDescent="0.3">
      <c r="B454" s="229"/>
      <c r="C454" s="289" t="s">
        <v>2485</v>
      </c>
      <c r="D454" s="305" t="s">
        <v>506</v>
      </c>
      <c r="E454" s="300" t="s">
        <v>507</v>
      </c>
      <c r="F454" s="300" t="s">
        <v>508</v>
      </c>
      <c r="G454" s="301">
        <v>40589</v>
      </c>
      <c r="H454" s="301" t="s">
        <v>495</v>
      </c>
      <c r="I454" s="301" t="s">
        <v>509</v>
      </c>
      <c r="J454" s="306" t="s">
        <v>19</v>
      </c>
      <c r="K454" s="301"/>
      <c r="L454" s="304" t="s">
        <v>2158</v>
      </c>
      <c r="M454" s="301" t="s">
        <v>47</v>
      </c>
      <c r="N454" s="301" t="s">
        <v>7</v>
      </c>
      <c r="O454" s="301" t="s">
        <v>510</v>
      </c>
      <c r="P454" s="301" t="s">
        <v>7</v>
      </c>
      <c r="Q454" s="300" t="s">
        <v>7</v>
      </c>
      <c r="R454" s="300" t="s">
        <v>226</v>
      </c>
      <c r="S454" s="300" t="s">
        <v>1981</v>
      </c>
      <c r="T454" s="300" t="s">
        <v>2458</v>
      </c>
      <c r="U454" s="303">
        <v>0.32779999999999998</v>
      </c>
      <c r="V454" s="300" t="s">
        <v>2458</v>
      </c>
      <c r="W454" s="301">
        <v>84</v>
      </c>
      <c r="X454" s="297">
        <f>(1-VLOOKUP(R454,Start!$H$33:$I$40,2,FALSE)/100)*W454</f>
        <v>74.760000000000005</v>
      </c>
      <c r="Y454" s="297">
        <f>VLOOKUP(Q454,Start!$C$9:$D$15,2,FALSE)+VLOOKUP(Q454,Start!$C$23:$D$29,2,FALSE)</f>
        <v>23.27</v>
      </c>
      <c r="Z454" s="298">
        <f>(Y454/U454)+Start!$D$19*(VLOOKUP(Q454,Start!$M$33:$N$39,2,FALSE)/U454)+VLOOKUP(R454,Start!$C$33:$D$40,2,FALSE)</f>
        <v>87.57260524710189</v>
      </c>
      <c r="AA454" s="234"/>
      <c r="AB454" s="278"/>
    </row>
    <row r="455" spans="2:28" ht="18.75" customHeight="1" x14ac:dyDescent="0.3">
      <c r="B455" s="229"/>
      <c r="C455" s="289" t="s">
        <v>2485</v>
      </c>
      <c r="D455" s="305" t="s">
        <v>85</v>
      </c>
      <c r="E455" s="317" t="s">
        <v>79</v>
      </c>
      <c r="F455" s="303" t="s">
        <v>86</v>
      </c>
      <c r="G455" s="308">
        <v>63741</v>
      </c>
      <c r="H455" s="303" t="s">
        <v>80</v>
      </c>
      <c r="I455" s="303" t="s">
        <v>81</v>
      </c>
      <c r="J455" s="306" t="s">
        <v>55</v>
      </c>
      <c r="K455" s="303" t="s">
        <v>86</v>
      </c>
      <c r="L455" s="304" t="s">
        <v>2291</v>
      </c>
      <c r="M455" s="301" t="s">
        <v>48</v>
      </c>
      <c r="N455" s="303" t="s">
        <v>87</v>
      </c>
      <c r="O455" s="303"/>
      <c r="P455" s="303" t="s">
        <v>48</v>
      </c>
      <c r="Q455" s="300" t="s">
        <v>4</v>
      </c>
      <c r="R455" s="300" t="s">
        <v>4</v>
      </c>
      <c r="S455" s="300" t="s">
        <v>1981</v>
      </c>
      <c r="T455" s="300" t="s">
        <v>2458</v>
      </c>
      <c r="U455" s="303">
        <v>0.37509999999999999</v>
      </c>
      <c r="V455" s="300" t="s">
        <v>2458</v>
      </c>
      <c r="W455" s="297">
        <v>0.52</v>
      </c>
      <c r="X455" s="297">
        <f>(1-VLOOKUP(R455,Start!$H$33:$I$40,2,FALSE)/100)*W455</f>
        <v>0.442</v>
      </c>
      <c r="Y455" s="297">
        <f>VLOOKUP(Q455,Start!$C$9:$D$15,2,FALSE)+VLOOKUP(Q455,Start!$C$23:$D$29,2,FALSE)</f>
        <v>33.223832923832894</v>
      </c>
      <c r="Z455" s="298">
        <f>(Y455/U455)+Start!$D$19*(VLOOKUP(Q455,Start!$M$33:$N$39,2,FALSE)/U455)+VLOOKUP(R455,Start!$C$33:$D$40,2,FALSE)</f>
        <v>107.93637143117274</v>
      </c>
      <c r="AA455" s="234"/>
      <c r="AB455" s="278"/>
    </row>
    <row r="456" spans="2:28" ht="18.75" customHeight="1" x14ac:dyDescent="0.3">
      <c r="B456" s="229"/>
      <c r="C456" s="289" t="s">
        <v>2485</v>
      </c>
      <c r="D456" s="305" t="s">
        <v>83</v>
      </c>
      <c r="E456" s="317" t="s">
        <v>79</v>
      </c>
      <c r="F456" s="303" t="s">
        <v>84</v>
      </c>
      <c r="G456" s="308">
        <v>63741</v>
      </c>
      <c r="H456" s="303" t="s">
        <v>80</v>
      </c>
      <c r="I456" s="303" t="s">
        <v>81</v>
      </c>
      <c r="J456" s="306" t="s">
        <v>55</v>
      </c>
      <c r="K456" s="303" t="s">
        <v>84</v>
      </c>
      <c r="L456" s="304" t="s">
        <v>2119</v>
      </c>
      <c r="M456" s="303" t="s">
        <v>47</v>
      </c>
      <c r="N456" s="303" t="s">
        <v>7</v>
      </c>
      <c r="O456" s="303" t="s">
        <v>82</v>
      </c>
      <c r="P456" s="303" t="s">
        <v>7</v>
      </c>
      <c r="Q456" s="300" t="s">
        <v>7</v>
      </c>
      <c r="R456" s="300" t="s">
        <v>226</v>
      </c>
      <c r="S456" s="300" t="s">
        <v>1996</v>
      </c>
      <c r="T456" s="300" t="s">
        <v>2458</v>
      </c>
      <c r="U456" s="303">
        <v>0.59850000000000003</v>
      </c>
      <c r="V456" s="300" t="s">
        <v>2458</v>
      </c>
      <c r="W456" s="297">
        <v>47</v>
      </c>
      <c r="X456" s="297">
        <f>(1-VLOOKUP(R456,Start!$H$33:$I$40,2,FALSE)/100)*W456</f>
        <v>41.83</v>
      </c>
      <c r="Y456" s="297">
        <f>VLOOKUP(Q456,Start!$C$9:$D$15,2,FALSE)+VLOOKUP(Q456,Start!$C$23:$D$29,2,FALSE)</f>
        <v>23.27</v>
      </c>
      <c r="Z456" s="298">
        <f>(Y456/U456)+Start!$D$19*(VLOOKUP(Q456,Start!$M$33:$N$39,2,FALSE)/U456)+VLOOKUP(R456,Start!$C$33:$D$40,2,FALSE)</f>
        <v>48.642188805346699</v>
      </c>
      <c r="AA456" s="234"/>
      <c r="AB456" s="278"/>
    </row>
    <row r="457" spans="2:28" ht="18.75" customHeight="1" x14ac:dyDescent="0.3">
      <c r="B457" s="229"/>
      <c r="C457" s="289" t="s">
        <v>2485</v>
      </c>
      <c r="D457" s="299" t="s">
        <v>1304</v>
      </c>
      <c r="E457" s="300" t="s">
        <v>1305</v>
      </c>
      <c r="F457" s="300" t="s">
        <v>1306</v>
      </c>
      <c r="G457" s="311">
        <v>1468</v>
      </c>
      <c r="H457" s="312" t="s">
        <v>1307</v>
      </c>
      <c r="I457" s="300" t="s">
        <v>1308</v>
      </c>
      <c r="J457" s="306" t="s">
        <v>78</v>
      </c>
      <c r="K457" s="300" t="s">
        <v>1309</v>
      </c>
      <c r="L457" s="304" t="s">
        <v>2173</v>
      </c>
      <c r="M457" s="300" t="s">
        <v>7</v>
      </c>
      <c r="N457" s="300"/>
      <c r="O457" s="300"/>
      <c r="P457" s="314" t="s">
        <v>7</v>
      </c>
      <c r="Q457" s="300" t="s">
        <v>7</v>
      </c>
      <c r="R457" s="300" t="s">
        <v>226</v>
      </c>
      <c r="S457" s="300" t="s">
        <v>1981</v>
      </c>
      <c r="T457" s="300" t="s">
        <v>2458</v>
      </c>
      <c r="U457" s="303">
        <v>0.38279999999999997</v>
      </c>
      <c r="V457" s="300" t="s">
        <v>2458</v>
      </c>
      <c r="W457" s="315">
        <v>34.299999999999997</v>
      </c>
      <c r="X457" s="297">
        <f>(1-VLOOKUP(R457,Start!$H$33:$I$40,2,FALSE)/100)*W457</f>
        <v>30.526999999999997</v>
      </c>
      <c r="Y457" s="297">
        <f>VLOOKUP(Q457,Start!$C$9:$D$15,2,FALSE)+VLOOKUP(Q457,Start!$C$23:$D$29,2,FALSE)</f>
        <v>23.27</v>
      </c>
      <c r="Z457" s="298">
        <f>(Y457/U457)+Start!$D$19*(VLOOKUP(Q457,Start!$M$33:$N$39,2,FALSE)/U457)+VLOOKUP(R457,Start!$C$33:$D$40,2,FALSE)</f>
        <v>75.205851619644733</v>
      </c>
      <c r="AA457" s="234"/>
      <c r="AB457" s="278"/>
    </row>
    <row r="458" spans="2:28" ht="18.75" customHeight="1" x14ac:dyDescent="0.3">
      <c r="B458" s="229"/>
      <c r="C458" s="289" t="s">
        <v>2485</v>
      </c>
      <c r="D458" s="299" t="s">
        <v>1028</v>
      </c>
      <c r="E458" s="300" t="s">
        <v>1029</v>
      </c>
      <c r="F458" s="300" t="s">
        <v>1030</v>
      </c>
      <c r="G458" s="302">
        <v>50769</v>
      </c>
      <c r="H458" s="300" t="s">
        <v>1005</v>
      </c>
      <c r="I458" s="300" t="s">
        <v>1031</v>
      </c>
      <c r="J458" s="306" t="s">
        <v>19</v>
      </c>
      <c r="K458" s="300" t="s">
        <v>1032</v>
      </c>
      <c r="L458" s="304" t="s">
        <v>2317</v>
      </c>
      <c r="M458" s="300" t="s">
        <v>47</v>
      </c>
      <c r="N458" s="300" t="s">
        <v>1033</v>
      </c>
      <c r="O458" s="300" t="s">
        <v>1034</v>
      </c>
      <c r="P458" s="300" t="s">
        <v>214</v>
      </c>
      <c r="Q458" s="300" t="s">
        <v>7</v>
      </c>
      <c r="R458" s="300" t="s">
        <v>96</v>
      </c>
      <c r="S458" s="300" t="s">
        <v>2115</v>
      </c>
      <c r="T458" s="300" t="s">
        <v>2458</v>
      </c>
      <c r="U458" s="303">
        <v>0.27600000000000002</v>
      </c>
      <c r="V458" s="303" t="s">
        <v>2461</v>
      </c>
      <c r="W458" s="307">
        <v>15.5</v>
      </c>
      <c r="X458" s="297">
        <f>(1-VLOOKUP(R458,Start!$H$33:$I$40,2,FALSE)/100)*W458</f>
        <v>13.795</v>
      </c>
      <c r="Y458" s="297">
        <f>VLOOKUP(Q458,Start!$C$9:$D$15,2,FALSE)+VLOOKUP(Q458,Start!$C$23:$D$29,2,FALSE)</f>
        <v>23.27</v>
      </c>
      <c r="Z458" s="298">
        <f>(Y458/U458)+Start!$D$19*(VLOOKUP(Q458,Start!$M$33:$N$39,2,FALSE)/U458)+VLOOKUP(R458,Start!$C$33:$D$40,2,FALSE)</f>
        <v>103.2268115942029</v>
      </c>
      <c r="AA458" s="234"/>
      <c r="AB458" s="278"/>
    </row>
    <row r="459" spans="2:28" ht="18.75" customHeight="1" x14ac:dyDescent="0.3">
      <c r="B459" s="229"/>
      <c r="C459" s="289" t="s">
        <v>2485</v>
      </c>
      <c r="D459" s="299" t="s">
        <v>1035</v>
      </c>
      <c r="E459" s="300" t="s">
        <v>1029</v>
      </c>
      <c r="F459" s="300" t="s">
        <v>1030</v>
      </c>
      <c r="G459" s="302">
        <v>50769</v>
      </c>
      <c r="H459" s="312" t="s">
        <v>1005</v>
      </c>
      <c r="I459" s="300" t="s">
        <v>1031</v>
      </c>
      <c r="J459" s="301" t="s">
        <v>19</v>
      </c>
      <c r="K459" s="300" t="s">
        <v>1036</v>
      </c>
      <c r="L459" s="304" t="s">
        <v>2318</v>
      </c>
      <c r="M459" s="300" t="s">
        <v>47</v>
      </c>
      <c r="N459" s="132" t="s">
        <v>1033</v>
      </c>
      <c r="O459" s="300" t="s">
        <v>1034</v>
      </c>
      <c r="P459" s="300" t="s">
        <v>214</v>
      </c>
      <c r="Q459" s="300" t="s">
        <v>7</v>
      </c>
      <c r="R459" s="300" t="s">
        <v>96</v>
      </c>
      <c r="S459" s="300" t="s">
        <v>2115</v>
      </c>
      <c r="T459" s="300" t="s">
        <v>2458</v>
      </c>
      <c r="U459" s="303">
        <v>0.27600000000000002</v>
      </c>
      <c r="V459" s="303" t="s">
        <v>2461</v>
      </c>
      <c r="W459" s="315">
        <v>19.2</v>
      </c>
      <c r="X459" s="297">
        <f>(1-VLOOKUP(R459,Start!$H$33:$I$40,2,FALSE)/100)*W459</f>
        <v>17.088000000000001</v>
      </c>
      <c r="Y459" s="297">
        <f>VLOOKUP(Q459,Start!$C$9:$D$15,2,FALSE)+VLOOKUP(Q459,Start!$C$23:$D$29,2,FALSE)</f>
        <v>23.27</v>
      </c>
      <c r="Z459" s="298">
        <f>(Y459/U459)+Start!$D$19*(VLOOKUP(Q459,Start!$M$33:$N$39,2,FALSE)/U459)+VLOOKUP(R459,Start!$C$33:$D$40,2,FALSE)</f>
        <v>103.2268115942029</v>
      </c>
      <c r="AA459" s="234"/>
      <c r="AB459" s="278"/>
    </row>
    <row r="460" spans="2:28" ht="18.75" customHeight="1" x14ac:dyDescent="0.3">
      <c r="B460" s="229"/>
      <c r="C460" s="289" t="s">
        <v>2485</v>
      </c>
      <c r="D460" s="299" t="s">
        <v>1037</v>
      </c>
      <c r="E460" s="300" t="s">
        <v>1029</v>
      </c>
      <c r="F460" s="300" t="s">
        <v>1030</v>
      </c>
      <c r="G460" s="302">
        <v>50769</v>
      </c>
      <c r="H460" s="300" t="s">
        <v>1005</v>
      </c>
      <c r="I460" s="300" t="s">
        <v>1031</v>
      </c>
      <c r="J460" s="306" t="s">
        <v>19</v>
      </c>
      <c r="K460" s="300" t="s">
        <v>1038</v>
      </c>
      <c r="L460" s="304" t="s">
        <v>2319</v>
      </c>
      <c r="M460" s="300" t="s">
        <v>47</v>
      </c>
      <c r="N460" s="338" t="s">
        <v>1033</v>
      </c>
      <c r="O460" s="300" t="s">
        <v>1034</v>
      </c>
      <c r="P460" s="300" t="s">
        <v>214</v>
      </c>
      <c r="Q460" s="300" t="s">
        <v>7</v>
      </c>
      <c r="R460" s="300" t="s">
        <v>96</v>
      </c>
      <c r="S460" s="300" t="s">
        <v>2115</v>
      </c>
      <c r="T460" s="300" t="s">
        <v>2458</v>
      </c>
      <c r="U460" s="303">
        <v>0.27600000000000002</v>
      </c>
      <c r="V460" s="303" t="s">
        <v>2461</v>
      </c>
      <c r="W460" s="307">
        <v>15.5</v>
      </c>
      <c r="X460" s="297">
        <f>(1-VLOOKUP(R460,Start!$H$33:$I$40,2,FALSE)/100)*W460</f>
        <v>13.795</v>
      </c>
      <c r="Y460" s="297">
        <f>VLOOKUP(Q460,Start!$C$9:$D$15,2,FALSE)+VLOOKUP(Q460,Start!$C$23:$D$29,2,FALSE)</f>
        <v>23.27</v>
      </c>
      <c r="Z460" s="298">
        <f>(Y460/U460)+Start!$D$19*(VLOOKUP(Q460,Start!$M$33:$N$39,2,FALSE)/U460)+VLOOKUP(R460,Start!$C$33:$D$40,2,FALSE)</f>
        <v>103.2268115942029</v>
      </c>
      <c r="AA460" s="234"/>
      <c r="AB460" s="278"/>
    </row>
    <row r="461" spans="2:28" ht="18.75" customHeight="1" x14ac:dyDescent="0.3">
      <c r="B461" s="229"/>
      <c r="C461" s="289" t="s">
        <v>2485</v>
      </c>
      <c r="D461" s="305" t="s">
        <v>1039</v>
      </c>
      <c r="E461" s="300" t="s">
        <v>1029</v>
      </c>
      <c r="F461" s="303" t="s">
        <v>1030</v>
      </c>
      <c r="G461" s="308">
        <v>50769</v>
      </c>
      <c r="H461" s="303" t="s">
        <v>1005</v>
      </c>
      <c r="I461" s="303" t="s">
        <v>1031</v>
      </c>
      <c r="J461" s="301" t="s">
        <v>19</v>
      </c>
      <c r="K461" s="303" t="s">
        <v>1040</v>
      </c>
      <c r="L461" s="304" t="s">
        <v>2320</v>
      </c>
      <c r="M461" s="309" t="s">
        <v>47</v>
      </c>
      <c r="N461" s="309" t="s">
        <v>1033</v>
      </c>
      <c r="O461" s="309" t="s">
        <v>1034</v>
      </c>
      <c r="P461" s="309" t="s">
        <v>214</v>
      </c>
      <c r="Q461" s="300" t="s">
        <v>7</v>
      </c>
      <c r="R461" s="300" t="s">
        <v>96</v>
      </c>
      <c r="S461" s="300" t="s">
        <v>2115</v>
      </c>
      <c r="T461" s="300" t="s">
        <v>2458</v>
      </c>
      <c r="U461" s="303">
        <v>0.27600000000000002</v>
      </c>
      <c r="V461" s="303" t="s">
        <v>2461</v>
      </c>
      <c r="W461" s="297">
        <v>10.4</v>
      </c>
      <c r="X461" s="297">
        <f>(1-VLOOKUP(R461,Start!$H$33:$I$40,2,FALSE)/100)*W461</f>
        <v>9.2560000000000002</v>
      </c>
      <c r="Y461" s="297">
        <f>VLOOKUP(Q461,Start!$C$9:$D$15,2,FALSE)+VLOOKUP(Q461,Start!$C$23:$D$29,2,FALSE)</f>
        <v>23.27</v>
      </c>
      <c r="Z461" s="298">
        <f>(Y461/U461)+Start!$D$19*(VLOOKUP(Q461,Start!$M$33:$N$39,2,FALSE)/U461)+VLOOKUP(R461,Start!$C$33:$D$40,2,FALSE)</f>
        <v>103.2268115942029</v>
      </c>
      <c r="AA461" s="234"/>
      <c r="AB461" s="278"/>
    </row>
    <row r="462" spans="2:28" ht="18.75" customHeight="1" x14ac:dyDescent="0.3">
      <c r="B462" s="229"/>
      <c r="C462" s="289" t="s">
        <v>2485</v>
      </c>
      <c r="D462" s="305" t="s">
        <v>1041</v>
      </c>
      <c r="E462" s="300" t="s">
        <v>1029</v>
      </c>
      <c r="F462" s="303" t="s">
        <v>1030</v>
      </c>
      <c r="G462" s="308">
        <v>50769</v>
      </c>
      <c r="H462" s="303" t="s">
        <v>1005</v>
      </c>
      <c r="I462" s="303" t="s">
        <v>1031</v>
      </c>
      <c r="J462" s="301" t="s">
        <v>19</v>
      </c>
      <c r="K462" s="303" t="s">
        <v>1042</v>
      </c>
      <c r="L462" s="304" t="s">
        <v>2321</v>
      </c>
      <c r="M462" s="309" t="s">
        <v>47</v>
      </c>
      <c r="N462" s="309" t="s">
        <v>1033</v>
      </c>
      <c r="O462" s="309" t="s">
        <v>1034</v>
      </c>
      <c r="P462" s="309" t="s">
        <v>214</v>
      </c>
      <c r="Q462" s="300" t="s">
        <v>7</v>
      </c>
      <c r="R462" s="300" t="s">
        <v>96</v>
      </c>
      <c r="S462" s="300" t="s">
        <v>2115</v>
      </c>
      <c r="T462" s="300" t="s">
        <v>2458</v>
      </c>
      <c r="U462" s="303">
        <v>0.27600000000000002</v>
      </c>
      <c r="V462" s="303" t="s">
        <v>2461</v>
      </c>
      <c r="W462" s="297">
        <v>33.6</v>
      </c>
      <c r="X462" s="297">
        <f>(1-VLOOKUP(R462,Start!$H$33:$I$40,2,FALSE)/100)*W462</f>
        <v>29.904000000000003</v>
      </c>
      <c r="Y462" s="297">
        <f>VLOOKUP(Q462,Start!$C$9:$D$15,2,FALSE)+VLOOKUP(Q462,Start!$C$23:$D$29,2,FALSE)</f>
        <v>23.27</v>
      </c>
      <c r="Z462" s="298">
        <f>(Y462/U462)+Start!$D$19*(VLOOKUP(Q462,Start!$M$33:$N$39,2,FALSE)/U462)+VLOOKUP(R462,Start!$C$33:$D$40,2,FALSE)</f>
        <v>103.2268115942029</v>
      </c>
      <c r="AA462" s="234"/>
      <c r="AB462" s="278"/>
    </row>
    <row r="463" spans="2:28" ht="18.75" customHeight="1" x14ac:dyDescent="0.3">
      <c r="B463" s="229"/>
      <c r="C463" s="289" t="s">
        <v>2485</v>
      </c>
      <c r="D463" s="305" t="s">
        <v>1405</v>
      </c>
      <c r="E463" s="300" t="s">
        <v>1406</v>
      </c>
      <c r="F463" s="300" t="s">
        <v>1407</v>
      </c>
      <c r="G463" s="302">
        <v>46147</v>
      </c>
      <c r="H463" s="300" t="s">
        <v>1395</v>
      </c>
      <c r="I463" s="300" t="s">
        <v>1408</v>
      </c>
      <c r="J463" s="306" t="s">
        <v>19</v>
      </c>
      <c r="K463" s="300"/>
      <c r="L463" s="304" t="s">
        <v>2065</v>
      </c>
      <c r="M463" s="300" t="s">
        <v>47</v>
      </c>
      <c r="N463" s="300" t="s">
        <v>1409</v>
      </c>
      <c r="O463" s="300" t="s">
        <v>396</v>
      </c>
      <c r="P463" s="300" t="s">
        <v>214</v>
      </c>
      <c r="Q463" s="300" t="s">
        <v>7</v>
      </c>
      <c r="R463" s="300" t="s">
        <v>226</v>
      </c>
      <c r="S463" s="300" t="s">
        <v>1981</v>
      </c>
      <c r="T463" s="300" t="s">
        <v>2458</v>
      </c>
      <c r="U463" s="303">
        <v>0.33</v>
      </c>
      <c r="V463" s="303" t="s">
        <v>2461</v>
      </c>
      <c r="W463" s="307">
        <v>38</v>
      </c>
      <c r="X463" s="297">
        <f>(1-VLOOKUP(R463,Start!$H$33:$I$40,2,FALSE)/100)*W463</f>
        <v>33.82</v>
      </c>
      <c r="Y463" s="297">
        <f>VLOOKUP(Q463,Start!$C$9:$D$15,2,FALSE)+VLOOKUP(Q463,Start!$C$23:$D$29,2,FALSE)</f>
        <v>23.27</v>
      </c>
      <c r="Z463" s="298">
        <f>(Y463/U463)+Start!$D$19*(VLOOKUP(Q463,Start!$M$33:$N$39,2,FALSE)/U463)+VLOOKUP(R463,Start!$C$33:$D$40,2,FALSE)</f>
        <v>86.99878787878788</v>
      </c>
      <c r="AA463" s="234"/>
      <c r="AB463" s="278"/>
    </row>
    <row r="464" spans="2:28" ht="18.75" customHeight="1" x14ac:dyDescent="0.3">
      <c r="B464" s="229"/>
      <c r="C464" s="289" t="s">
        <v>2485</v>
      </c>
      <c r="D464" s="305" t="s">
        <v>1927</v>
      </c>
      <c r="E464" s="300" t="s">
        <v>1928</v>
      </c>
      <c r="F464" s="300" t="s">
        <v>1929</v>
      </c>
      <c r="G464" s="302">
        <v>6712</v>
      </c>
      <c r="H464" s="300" t="s">
        <v>1930</v>
      </c>
      <c r="I464" s="303" t="s">
        <v>1931</v>
      </c>
      <c r="J464" s="306" t="s">
        <v>38</v>
      </c>
      <c r="K464" s="303" t="s">
        <v>1932</v>
      </c>
      <c r="L464" s="304" t="s">
        <v>2114</v>
      </c>
      <c r="M464" s="300" t="s">
        <v>47</v>
      </c>
      <c r="N464" s="303" t="s">
        <v>2</v>
      </c>
      <c r="O464" s="303" t="s">
        <v>115</v>
      </c>
      <c r="P464" s="303" t="s">
        <v>2</v>
      </c>
      <c r="Q464" s="300" t="s">
        <v>2</v>
      </c>
      <c r="R464" s="300" t="s">
        <v>2</v>
      </c>
      <c r="S464" s="300" t="s">
        <v>1981</v>
      </c>
      <c r="T464" s="300" t="s">
        <v>2458</v>
      </c>
      <c r="U464" s="303">
        <v>0.38319999999999999</v>
      </c>
      <c r="V464" s="300" t="s">
        <v>2458</v>
      </c>
      <c r="W464" s="303">
        <v>23.3</v>
      </c>
      <c r="X464" s="297">
        <f>(1-VLOOKUP(R464,Start!$H$33:$I$40,2,FALSE)/100)*W464</f>
        <v>20.271000000000001</v>
      </c>
      <c r="Y464" s="297">
        <f>VLOOKUP(Q464,Start!$C$9:$D$15,2,FALSE)+VLOOKUP(Q464,Start!$C$23:$D$29,2,FALSE)</f>
        <v>3.1</v>
      </c>
      <c r="Z464" s="298">
        <f>(Y464/U464)+Start!$D$19*(VLOOKUP(Q464,Start!$M$33:$N$39,2,FALSE)/U464)+VLOOKUP(R464,Start!$C$33:$D$40,2,FALSE)</f>
        <v>35.725052192066812</v>
      </c>
      <c r="AA464" s="234"/>
      <c r="AB464" s="278"/>
    </row>
    <row r="465" spans="2:28" ht="18.75" customHeight="1" x14ac:dyDescent="0.3">
      <c r="B465" s="229"/>
      <c r="C465" s="289" t="s">
        <v>2485</v>
      </c>
      <c r="D465" s="299" t="s">
        <v>1935</v>
      </c>
      <c r="E465" s="300" t="s">
        <v>1928</v>
      </c>
      <c r="F465" s="300" t="s">
        <v>1929</v>
      </c>
      <c r="G465" s="302">
        <v>6712</v>
      </c>
      <c r="H465" s="300" t="s">
        <v>1930</v>
      </c>
      <c r="I465" s="300" t="s">
        <v>1931</v>
      </c>
      <c r="J465" s="306" t="s">
        <v>38</v>
      </c>
      <c r="K465" s="300" t="s">
        <v>1936</v>
      </c>
      <c r="L465" s="304" t="s">
        <v>2114</v>
      </c>
      <c r="M465" s="300" t="s">
        <v>47</v>
      </c>
      <c r="N465" s="300" t="s">
        <v>7</v>
      </c>
      <c r="O465" s="300" t="s">
        <v>115</v>
      </c>
      <c r="P465" s="300" t="s">
        <v>7</v>
      </c>
      <c r="Q465" s="300" t="s">
        <v>7</v>
      </c>
      <c r="R465" s="300" t="s">
        <v>226</v>
      </c>
      <c r="S465" s="300" t="s">
        <v>1981</v>
      </c>
      <c r="T465" s="300" t="s">
        <v>2458</v>
      </c>
      <c r="U465" s="303">
        <v>0.37730000000000002</v>
      </c>
      <c r="V465" s="300" t="s">
        <v>2458</v>
      </c>
      <c r="W465" s="307">
        <v>23.3</v>
      </c>
      <c r="X465" s="297">
        <f>(1-VLOOKUP(R465,Start!$H$33:$I$40,2,FALSE)/100)*W465</f>
        <v>20.737000000000002</v>
      </c>
      <c r="Y465" s="297">
        <f>VLOOKUP(Q465,Start!$C$9:$D$15,2,FALSE)+VLOOKUP(Q465,Start!$C$23:$D$29,2,FALSE)</f>
        <v>23.27</v>
      </c>
      <c r="Z465" s="298">
        <f>(Y465/U465)+Start!$D$19*(VLOOKUP(Q465,Start!$M$33:$N$39,2,FALSE)/U465)+VLOOKUP(R465,Start!$C$33:$D$40,2,FALSE)</f>
        <v>76.280280943546245</v>
      </c>
      <c r="AA465" s="234"/>
      <c r="AB465" s="278"/>
    </row>
    <row r="466" spans="2:28" ht="18.75" customHeight="1" x14ac:dyDescent="0.3">
      <c r="B466" s="229"/>
      <c r="C466" s="289" t="s">
        <v>2485</v>
      </c>
      <c r="D466" s="305" t="s">
        <v>725</v>
      </c>
      <c r="E466" s="317" t="s">
        <v>128</v>
      </c>
      <c r="F466" s="303" t="s">
        <v>726</v>
      </c>
      <c r="G466" s="308">
        <v>41517</v>
      </c>
      <c r="H466" s="303" t="s">
        <v>727</v>
      </c>
      <c r="I466" s="303" t="s">
        <v>728</v>
      </c>
      <c r="J466" s="301" t="s">
        <v>19</v>
      </c>
      <c r="K466" s="303" t="s">
        <v>729</v>
      </c>
      <c r="L466" s="304" t="s">
        <v>2092</v>
      </c>
      <c r="M466" s="303" t="s">
        <v>2</v>
      </c>
      <c r="N466" s="132"/>
      <c r="O466" s="132"/>
      <c r="P466" s="303" t="s">
        <v>2</v>
      </c>
      <c r="Q466" s="300" t="s">
        <v>2</v>
      </c>
      <c r="R466" s="300" t="s">
        <v>2</v>
      </c>
      <c r="S466" s="300" t="s">
        <v>1981</v>
      </c>
      <c r="T466" s="300" t="s">
        <v>2458</v>
      </c>
      <c r="U466" s="303">
        <v>0.42880000000000001</v>
      </c>
      <c r="V466" s="300" t="s">
        <v>2458</v>
      </c>
      <c r="W466" s="297">
        <v>1060</v>
      </c>
      <c r="X466" s="297">
        <f>(1-VLOOKUP(R466,Start!$H$33:$I$40,2,FALSE)/100)*W466</f>
        <v>922.2</v>
      </c>
      <c r="Y466" s="297">
        <f>VLOOKUP(Q466,Start!$C$9:$D$15,2,FALSE)+VLOOKUP(Q466,Start!$C$23:$D$29,2,FALSE)</f>
        <v>3.1</v>
      </c>
      <c r="Z466" s="298">
        <f>(Y466/U466)+Start!$D$19*(VLOOKUP(Q466,Start!$M$33:$N$39,2,FALSE)/U466)+VLOOKUP(R466,Start!$C$33:$D$40,2,FALSE)</f>
        <v>32.106716417910455</v>
      </c>
      <c r="AA466" s="234"/>
      <c r="AB466" s="278"/>
    </row>
    <row r="467" spans="2:28" ht="18.75" customHeight="1" x14ac:dyDescent="0.3">
      <c r="B467" s="229"/>
      <c r="C467" s="289" t="s">
        <v>2485</v>
      </c>
      <c r="D467" s="305" t="s">
        <v>730</v>
      </c>
      <c r="E467" s="317" t="s">
        <v>128</v>
      </c>
      <c r="F467" s="303" t="s">
        <v>731</v>
      </c>
      <c r="G467" s="308">
        <v>41517</v>
      </c>
      <c r="H467" s="303" t="s">
        <v>727</v>
      </c>
      <c r="I467" s="303" t="s">
        <v>728</v>
      </c>
      <c r="J467" s="301" t="s">
        <v>19</v>
      </c>
      <c r="K467" s="303" t="s">
        <v>732</v>
      </c>
      <c r="L467" s="304" t="s">
        <v>2093</v>
      </c>
      <c r="M467" s="303" t="s">
        <v>2</v>
      </c>
      <c r="N467" s="132"/>
      <c r="O467" s="132"/>
      <c r="P467" s="303" t="s">
        <v>2</v>
      </c>
      <c r="Q467" s="300" t="s">
        <v>2</v>
      </c>
      <c r="R467" s="300" t="s">
        <v>2</v>
      </c>
      <c r="S467" s="300" t="s">
        <v>1981</v>
      </c>
      <c r="T467" s="300" t="s">
        <v>2458</v>
      </c>
      <c r="U467" s="303">
        <v>0.42880000000000001</v>
      </c>
      <c r="V467" s="300" t="s">
        <v>2458</v>
      </c>
      <c r="W467" s="297">
        <v>1060</v>
      </c>
      <c r="X467" s="297">
        <f>(1-VLOOKUP(R467,Start!$H$33:$I$40,2,FALSE)/100)*W467</f>
        <v>922.2</v>
      </c>
      <c r="Y467" s="297">
        <f>VLOOKUP(Q467,Start!$C$9:$D$15,2,FALSE)+VLOOKUP(Q467,Start!$C$23:$D$29,2,FALSE)</f>
        <v>3.1</v>
      </c>
      <c r="Z467" s="298">
        <f>(Y467/U467)+Start!$D$19*(VLOOKUP(Q467,Start!$M$33:$N$39,2,FALSE)/U467)+VLOOKUP(R467,Start!$C$33:$D$40,2,FALSE)</f>
        <v>32.106716417910455</v>
      </c>
      <c r="AA467" s="234"/>
      <c r="AB467" s="278"/>
    </row>
    <row r="468" spans="2:28" ht="18.75" customHeight="1" x14ac:dyDescent="0.3">
      <c r="B468" s="229"/>
      <c r="C468" s="289" t="s">
        <v>2485</v>
      </c>
      <c r="D468" s="339" t="s">
        <v>1364</v>
      </c>
      <c r="E468" s="340" t="s">
        <v>1365</v>
      </c>
      <c r="F468" s="340" t="s">
        <v>1366</v>
      </c>
      <c r="G468" s="311">
        <v>49638</v>
      </c>
      <c r="H468" s="312" t="s">
        <v>1367</v>
      </c>
      <c r="I468" s="340" t="s">
        <v>1368</v>
      </c>
      <c r="J468" s="322" t="s">
        <v>22</v>
      </c>
      <c r="K468" s="340"/>
      <c r="L468" s="304" t="s">
        <v>2232</v>
      </c>
      <c r="M468" s="340" t="s">
        <v>7</v>
      </c>
      <c r="N468" s="340"/>
      <c r="O468" s="340"/>
      <c r="P468" s="340" t="s">
        <v>7</v>
      </c>
      <c r="Q468" s="300" t="s">
        <v>7</v>
      </c>
      <c r="R468" s="300" t="s">
        <v>226</v>
      </c>
      <c r="S468" s="300" t="s">
        <v>1981</v>
      </c>
      <c r="T468" s="300" t="s">
        <v>2458</v>
      </c>
      <c r="U468" s="303">
        <v>0.38059999999999999</v>
      </c>
      <c r="V468" s="300" t="s">
        <v>2458</v>
      </c>
      <c r="W468" s="315">
        <v>18.100000000000001</v>
      </c>
      <c r="X468" s="297">
        <f>(1-VLOOKUP(R468,Start!$H$33:$I$40,2,FALSE)/100)*W468</f>
        <v>16.109000000000002</v>
      </c>
      <c r="Y468" s="297">
        <f>VLOOKUP(Q468,Start!$C$9:$D$15,2,FALSE)+VLOOKUP(Q468,Start!$C$23:$D$29,2,FALSE)</f>
        <v>23.27</v>
      </c>
      <c r="Z468" s="298">
        <f>(Y468/U468)+Start!$D$19*(VLOOKUP(Q468,Start!$M$33:$N$39,2,FALSE)/U468)+VLOOKUP(R468,Start!$C$33:$D$40,2,FALSE)</f>
        <v>75.631897004729382</v>
      </c>
      <c r="AA468" s="234"/>
      <c r="AB468" s="278"/>
    </row>
    <row r="469" spans="2:28" ht="18.75" customHeight="1" x14ac:dyDescent="0.3">
      <c r="B469" s="229"/>
      <c r="C469" s="289" t="s">
        <v>2485</v>
      </c>
      <c r="D469" s="299" t="s">
        <v>1700</v>
      </c>
      <c r="E469" s="300" t="s">
        <v>1701</v>
      </c>
      <c r="F469" s="300" t="s">
        <v>1702</v>
      </c>
      <c r="G469" s="311">
        <v>29416</v>
      </c>
      <c r="H469" s="312" t="s">
        <v>1702</v>
      </c>
      <c r="I469" s="300" t="s">
        <v>1703</v>
      </c>
      <c r="J469" s="306" t="s">
        <v>38</v>
      </c>
      <c r="K469" s="300" t="s">
        <v>1517</v>
      </c>
      <c r="L469" s="304" t="s">
        <v>2263</v>
      </c>
      <c r="M469" s="300" t="s">
        <v>7</v>
      </c>
      <c r="N469" s="300" t="s">
        <v>1704</v>
      </c>
      <c r="O469" s="300"/>
      <c r="P469" s="314" t="s">
        <v>7</v>
      </c>
      <c r="Q469" s="300" t="s">
        <v>7</v>
      </c>
      <c r="R469" s="300" t="s">
        <v>226</v>
      </c>
      <c r="S469" s="300" t="s">
        <v>1981</v>
      </c>
      <c r="T469" s="300" t="s">
        <v>2458</v>
      </c>
      <c r="U469" s="303">
        <v>0.38390000000000002</v>
      </c>
      <c r="V469" s="300" t="s">
        <v>2458</v>
      </c>
      <c r="W469" s="315">
        <v>11.35</v>
      </c>
      <c r="X469" s="297">
        <f>(1-VLOOKUP(R469,Start!$H$33:$I$40,2,FALSE)/100)*W469</f>
        <v>10.1015</v>
      </c>
      <c r="Y469" s="297">
        <f>VLOOKUP(Q469,Start!$C$9:$D$15,2,FALSE)+VLOOKUP(Q469,Start!$C$23:$D$29,2,FALSE)</f>
        <v>23.27</v>
      </c>
      <c r="Z469" s="298">
        <f>(Y469/U469)+Start!$D$19*(VLOOKUP(Q469,Start!$M$33:$N$39,2,FALSE)/U469)+VLOOKUP(R469,Start!$C$33:$D$40,2,FALSE)</f>
        <v>74.99466006772596</v>
      </c>
      <c r="AA469" s="234"/>
      <c r="AB469" s="278"/>
    </row>
    <row r="470" spans="2:28" ht="18.75" customHeight="1" x14ac:dyDescent="0.3">
      <c r="B470" s="229"/>
      <c r="C470" s="289" t="s">
        <v>2485</v>
      </c>
      <c r="D470" s="305" t="s">
        <v>273</v>
      </c>
      <c r="E470" s="300" t="s">
        <v>23</v>
      </c>
      <c r="F470" s="300" t="s">
        <v>266</v>
      </c>
      <c r="G470" s="302">
        <v>2943</v>
      </c>
      <c r="H470" s="300" t="s">
        <v>266</v>
      </c>
      <c r="I470" s="300" t="s">
        <v>267</v>
      </c>
      <c r="J470" s="306" t="s">
        <v>78</v>
      </c>
      <c r="K470" s="300" t="s">
        <v>251</v>
      </c>
      <c r="L470" s="304" t="s">
        <v>2079</v>
      </c>
      <c r="M470" s="300" t="s">
        <v>2</v>
      </c>
      <c r="N470" s="300"/>
      <c r="O470" s="300"/>
      <c r="P470" s="300" t="s">
        <v>2</v>
      </c>
      <c r="Q470" s="300" t="s">
        <v>2</v>
      </c>
      <c r="R470" s="300" t="s">
        <v>2</v>
      </c>
      <c r="S470" s="300" t="s">
        <v>1981</v>
      </c>
      <c r="T470" s="300" t="s">
        <v>2458</v>
      </c>
      <c r="U470" s="303">
        <v>0.42880000000000001</v>
      </c>
      <c r="V470" s="300" t="s">
        <v>2458</v>
      </c>
      <c r="W470" s="307">
        <v>640</v>
      </c>
      <c r="X470" s="297">
        <f>(1-VLOOKUP(R470,Start!$H$33:$I$40,2,FALSE)/100)*W470</f>
        <v>556.79999999999995</v>
      </c>
      <c r="Y470" s="297">
        <f>VLOOKUP(Q470,Start!$C$9:$D$15,2,FALSE)+VLOOKUP(Q470,Start!$C$23:$D$29,2,FALSE)</f>
        <v>3.1</v>
      </c>
      <c r="Z470" s="298">
        <f>(Y470/U470)+Start!$D$19*(VLOOKUP(Q470,Start!$M$33:$N$39,2,FALSE)/U470)+VLOOKUP(R470,Start!$C$33:$D$40,2,FALSE)</f>
        <v>32.106716417910455</v>
      </c>
      <c r="AA470" s="234"/>
      <c r="AB470" s="278"/>
    </row>
    <row r="471" spans="2:28" ht="18.75" customHeight="1" x14ac:dyDescent="0.3">
      <c r="B471" s="229"/>
      <c r="C471" s="289" t="s">
        <v>2485</v>
      </c>
      <c r="D471" s="299" t="s">
        <v>1767</v>
      </c>
      <c r="E471" s="300" t="s">
        <v>1764</v>
      </c>
      <c r="F471" s="300" t="s">
        <v>1768</v>
      </c>
      <c r="G471" s="302">
        <v>89077</v>
      </c>
      <c r="H471" s="300" t="s">
        <v>1765</v>
      </c>
      <c r="I471" s="300" t="s">
        <v>1766</v>
      </c>
      <c r="J471" s="306" t="s">
        <v>20</v>
      </c>
      <c r="K471" s="300"/>
      <c r="L471" s="304" t="s">
        <v>2045</v>
      </c>
      <c r="M471" s="300" t="s">
        <v>47</v>
      </c>
      <c r="N471" s="300" t="s">
        <v>3</v>
      </c>
      <c r="O471" s="300" t="s">
        <v>979</v>
      </c>
      <c r="P471" s="300" t="s">
        <v>3</v>
      </c>
      <c r="Q471" s="300" t="s">
        <v>3</v>
      </c>
      <c r="R471" s="300" t="s">
        <v>3</v>
      </c>
      <c r="S471" s="300" t="s">
        <v>1981</v>
      </c>
      <c r="T471" s="300" t="s">
        <v>2458</v>
      </c>
      <c r="U471" s="303">
        <v>0.40500000000000003</v>
      </c>
      <c r="V471" s="300" t="s">
        <v>2458</v>
      </c>
      <c r="W471" s="307">
        <v>20.7</v>
      </c>
      <c r="X471" s="297">
        <f>(1-VLOOKUP(R471,Start!$H$33:$I$40,2,FALSE)/100)*W471</f>
        <v>16.146000000000001</v>
      </c>
      <c r="Y471" s="297">
        <f>VLOOKUP(Q471,Start!$C$9:$D$15,2,FALSE)+VLOOKUP(Q471,Start!$C$23:$D$29,2,FALSE)</f>
        <v>12.53</v>
      </c>
      <c r="Z471" s="298">
        <f>(Y471/U471)+Start!$D$19*(VLOOKUP(Q471,Start!$M$33:$N$39,2,FALSE)/U471)+VLOOKUP(R471,Start!$C$33:$D$40,2,FALSE)</f>
        <v>52.707901234567899</v>
      </c>
      <c r="AA471" s="234"/>
      <c r="AB471" s="278"/>
    </row>
    <row r="472" spans="2:28" ht="18.75" customHeight="1" x14ac:dyDescent="0.3">
      <c r="B472" s="229"/>
      <c r="C472" s="289" t="s">
        <v>2485</v>
      </c>
      <c r="D472" s="299" t="s">
        <v>1359</v>
      </c>
      <c r="E472" s="300" t="s">
        <v>1360</v>
      </c>
      <c r="F472" s="132" t="s">
        <v>1361</v>
      </c>
      <c r="G472" s="311">
        <v>41460</v>
      </c>
      <c r="H472" s="312" t="s">
        <v>1362</v>
      </c>
      <c r="I472" s="132" t="s">
        <v>1363</v>
      </c>
      <c r="J472" s="301" t="s">
        <v>19</v>
      </c>
      <c r="K472" s="300"/>
      <c r="L472" s="304" t="s">
        <v>2231</v>
      </c>
      <c r="M472" s="300" t="s">
        <v>7</v>
      </c>
      <c r="N472" s="132"/>
      <c r="O472" s="300"/>
      <c r="P472" s="314" t="s">
        <v>7</v>
      </c>
      <c r="Q472" s="300" t="s">
        <v>7</v>
      </c>
      <c r="R472" s="300" t="s">
        <v>226</v>
      </c>
      <c r="S472" s="300" t="s">
        <v>1981</v>
      </c>
      <c r="T472" s="300" t="s">
        <v>2458</v>
      </c>
      <c r="U472" s="303">
        <v>0.37619999999999998</v>
      </c>
      <c r="V472" s="300" t="s">
        <v>2458</v>
      </c>
      <c r="W472" s="315">
        <v>18.879000000000001</v>
      </c>
      <c r="X472" s="297">
        <f>(1-VLOOKUP(R472,Start!$H$33:$I$40,2,FALSE)/100)*W472</f>
        <v>16.802310000000002</v>
      </c>
      <c r="Y472" s="297">
        <f>VLOOKUP(Q472,Start!$C$9:$D$15,2,FALSE)+VLOOKUP(Q472,Start!$C$23:$D$29,2,FALSE)</f>
        <v>23.27</v>
      </c>
      <c r="Z472" s="298">
        <f>(Y472/U472)+Start!$D$19*(VLOOKUP(Q472,Start!$M$33:$N$39,2,FALSE)/U472)+VLOOKUP(R472,Start!$C$33:$D$40,2,FALSE)</f>
        <v>76.498936735778841</v>
      </c>
      <c r="AA472" s="234"/>
      <c r="AB472" s="278"/>
    </row>
    <row r="473" spans="2:28" ht="18.75" customHeight="1" x14ac:dyDescent="0.3">
      <c r="B473" s="229"/>
      <c r="C473" s="289" t="s">
        <v>2485</v>
      </c>
      <c r="D473" s="305" t="s">
        <v>1819</v>
      </c>
      <c r="E473" s="300" t="s">
        <v>1820</v>
      </c>
      <c r="F473" s="300" t="s">
        <v>1821</v>
      </c>
      <c r="G473" s="302">
        <v>9600</v>
      </c>
      <c r="H473" s="300" t="s">
        <v>1822</v>
      </c>
      <c r="I473" s="300" t="s">
        <v>1823</v>
      </c>
      <c r="J473" s="306" t="s">
        <v>78</v>
      </c>
      <c r="K473" s="300"/>
      <c r="L473" s="304" t="s">
        <v>2273</v>
      </c>
      <c r="M473" s="300" t="s">
        <v>7</v>
      </c>
      <c r="N473" s="300"/>
      <c r="O473" s="300"/>
      <c r="P473" s="300" t="s">
        <v>7</v>
      </c>
      <c r="Q473" s="300" t="s">
        <v>7</v>
      </c>
      <c r="R473" s="300" t="s">
        <v>226</v>
      </c>
      <c r="S473" s="300" t="s">
        <v>1981</v>
      </c>
      <c r="T473" s="300" t="s">
        <v>2458</v>
      </c>
      <c r="U473" s="303">
        <v>0.38169999999999998</v>
      </c>
      <c r="V473" s="300" t="s">
        <v>2458</v>
      </c>
      <c r="W473" s="307">
        <v>19.100000000000001</v>
      </c>
      <c r="X473" s="297">
        <f>(1-VLOOKUP(R473,Start!$H$33:$I$40,2,FALSE)/100)*W473</f>
        <v>16.999000000000002</v>
      </c>
      <c r="Y473" s="297">
        <f>VLOOKUP(Q473,Start!$C$9:$D$15,2,FALSE)+VLOOKUP(Q473,Start!$C$23:$D$29,2,FALSE)</f>
        <v>23.27</v>
      </c>
      <c r="Z473" s="298">
        <f>(Y473/U473)+Start!$D$19*(VLOOKUP(Q473,Start!$M$33:$N$39,2,FALSE)/U473)+VLOOKUP(R473,Start!$C$33:$D$40,2,FALSE)</f>
        <v>75.418260413937645</v>
      </c>
      <c r="AA473" s="234"/>
      <c r="AB473" s="278"/>
    </row>
    <row r="474" spans="2:28" ht="18.75" customHeight="1" x14ac:dyDescent="0.3">
      <c r="B474" s="229"/>
      <c r="C474" s="289" t="s">
        <v>2485</v>
      </c>
      <c r="D474" s="305" t="s">
        <v>1537</v>
      </c>
      <c r="E474" s="317" t="s">
        <v>1260</v>
      </c>
      <c r="F474" s="301" t="s">
        <v>1538</v>
      </c>
      <c r="G474" s="302">
        <v>79618</v>
      </c>
      <c r="H474" s="303" t="s">
        <v>1539</v>
      </c>
      <c r="I474" s="303" t="s">
        <v>1540</v>
      </c>
      <c r="J474" s="301" t="s">
        <v>20</v>
      </c>
      <c r="K474" s="301"/>
      <c r="L474" s="304" t="s">
        <v>2246</v>
      </c>
      <c r="M474" s="300" t="s">
        <v>7</v>
      </c>
      <c r="N474" s="132" t="s">
        <v>7</v>
      </c>
      <c r="O474" s="303" t="s">
        <v>1541</v>
      </c>
      <c r="P474" s="314" t="s">
        <v>7</v>
      </c>
      <c r="Q474" s="300" t="s">
        <v>7</v>
      </c>
      <c r="R474" s="300" t="s">
        <v>226</v>
      </c>
      <c r="S474" s="300" t="s">
        <v>1981</v>
      </c>
      <c r="T474" s="300" t="s">
        <v>2458</v>
      </c>
      <c r="U474" s="303">
        <v>0.3619</v>
      </c>
      <c r="V474" s="300" t="s">
        <v>2458</v>
      </c>
      <c r="W474" s="297">
        <v>15.68</v>
      </c>
      <c r="X474" s="297">
        <f>(1-VLOOKUP(R474,Start!$H$33:$I$40,2,FALSE)/100)*W474</f>
        <v>13.9552</v>
      </c>
      <c r="Y474" s="297">
        <f>VLOOKUP(Q474,Start!$C$9:$D$15,2,FALSE)+VLOOKUP(Q474,Start!$C$23:$D$29,2,FALSE)</f>
        <v>23.27</v>
      </c>
      <c r="Z474" s="298">
        <f>(Y474/U474)+Start!$D$19*(VLOOKUP(Q474,Start!$M$33:$N$39,2,FALSE)/U474)+VLOOKUP(R474,Start!$C$33:$D$40,2,FALSE)</f>
        <v>79.462420558165235</v>
      </c>
      <c r="AA474" s="234"/>
      <c r="AB474" s="278"/>
    </row>
    <row r="475" spans="2:28" ht="18.75" customHeight="1" x14ac:dyDescent="0.3">
      <c r="B475" s="229"/>
      <c r="C475" s="289" t="s">
        <v>2485</v>
      </c>
      <c r="D475" s="299" t="s">
        <v>1682</v>
      </c>
      <c r="E475" s="300" t="s">
        <v>1683</v>
      </c>
      <c r="F475" s="132" t="s">
        <v>1684</v>
      </c>
      <c r="G475" s="311">
        <v>21683</v>
      </c>
      <c r="H475" s="312" t="s">
        <v>1685</v>
      </c>
      <c r="I475" s="132" t="s">
        <v>1686</v>
      </c>
      <c r="J475" s="301" t="s">
        <v>22</v>
      </c>
      <c r="K475" s="300" t="s">
        <v>1687</v>
      </c>
      <c r="L475" s="304" t="s">
        <v>2261</v>
      </c>
      <c r="M475" s="300" t="s">
        <v>7</v>
      </c>
      <c r="N475" s="132"/>
      <c r="O475" s="300"/>
      <c r="P475" s="314" t="s">
        <v>7</v>
      </c>
      <c r="Q475" s="300" t="s">
        <v>7</v>
      </c>
      <c r="R475" s="300" t="s">
        <v>96</v>
      </c>
      <c r="S475" s="300" t="s">
        <v>2115</v>
      </c>
      <c r="T475" s="300" t="s">
        <v>2458</v>
      </c>
      <c r="U475" s="303">
        <v>0.41120000000000001</v>
      </c>
      <c r="V475" s="300" t="s">
        <v>2458</v>
      </c>
      <c r="W475" s="315">
        <v>30.72</v>
      </c>
      <c r="X475" s="297">
        <f>(1-VLOOKUP(R475,Start!$H$33:$I$40,2,FALSE)/100)*W475</f>
        <v>27.340799999999998</v>
      </c>
      <c r="Y475" s="297">
        <f>VLOOKUP(Q475,Start!$C$9:$D$15,2,FALSE)+VLOOKUP(Q475,Start!$C$23:$D$29,2,FALSE)</f>
        <v>23.27</v>
      </c>
      <c r="Z475" s="298">
        <f>(Y475/U475)+Start!$D$19*(VLOOKUP(Q475,Start!$M$33:$N$39,2,FALSE)/U475)+VLOOKUP(R475,Start!$C$33:$D$40,2,FALSE)</f>
        <v>69.615272373540847</v>
      </c>
      <c r="AA475" s="234"/>
      <c r="AB475" s="278"/>
    </row>
    <row r="476" spans="2:28" ht="18.75" customHeight="1" x14ac:dyDescent="0.3">
      <c r="B476" s="229"/>
      <c r="C476" s="289" t="s">
        <v>2485</v>
      </c>
      <c r="D476" s="305" t="s">
        <v>1382</v>
      </c>
      <c r="E476" s="300" t="s">
        <v>1383</v>
      </c>
      <c r="F476" s="300" t="s">
        <v>1384</v>
      </c>
      <c r="G476" s="302">
        <v>90471</v>
      </c>
      <c r="H476" s="300" t="s">
        <v>1372</v>
      </c>
      <c r="I476" s="300" t="s">
        <v>1385</v>
      </c>
      <c r="J476" s="306" t="s">
        <v>55</v>
      </c>
      <c r="K476" s="300"/>
      <c r="L476" s="304" t="s">
        <v>2234</v>
      </c>
      <c r="M476" s="300" t="s">
        <v>7</v>
      </c>
      <c r="N476" s="300"/>
      <c r="O476" s="300"/>
      <c r="P476" s="300" t="s">
        <v>7</v>
      </c>
      <c r="Q476" s="300" t="s">
        <v>7</v>
      </c>
      <c r="R476" s="300" t="s">
        <v>96</v>
      </c>
      <c r="S476" s="300" t="s">
        <v>2115</v>
      </c>
      <c r="T476" s="300" t="s">
        <v>2458</v>
      </c>
      <c r="U476" s="303">
        <v>0.36180000000000001</v>
      </c>
      <c r="V476" s="300" t="s">
        <v>2458</v>
      </c>
      <c r="W476" s="307">
        <v>4.2</v>
      </c>
      <c r="X476" s="297">
        <f>(1-VLOOKUP(R476,Start!$H$33:$I$40,2,FALSE)/100)*W476</f>
        <v>3.7380000000000004</v>
      </c>
      <c r="Y476" s="297">
        <f>VLOOKUP(Q476,Start!$C$9:$D$15,2,FALSE)+VLOOKUP(Q476,Start!$C$23:$D$29,2,FALSE)</f>
        <v>23.27</v>
      </c>
      <c r="Z476" s="298">
        <f>(Y476/U476)+Start!$D$19*(VLOOKUP(Q476,Start!$M$33:$N$39,2,FALSE)/U476)+VLOOKUP(R476,Start!$C$33:$D$40,2,FALSE)</f>
        <v>78.983969043670541</v>
      </c>
      <c r="AA476" s="234"/>
      <c r="AB476" s="278"/>
    </row>
    <row r="477" spans="2:28" ht="18.75" customHeight="1" x14ac:dyDescent="0.3">
      <c r="B477" s="229"/>
      <c r="C477" s="289" t="s">
        <v>2485</v>
      </c>
      <c r="D477" s="305" t="s">
        <v>1386</v>
      </c>
      <c r="E477" s="300" t="s">
        <v>1383</v>
      </c>
      <c r="F477" s="300" t="s">
        <v>1387</v>
      </c>
      <c r="G477" s="302">
        <v>90471</v>
      </c>
      <c r="H477" s="300" t="s">
        <v>1372</v>
      </c>
      <c r="I477" s="300" t="s">
        <v>1385</v>
      </c>
      <c r="J477" s="306" t="s">
        <v>55</v>
      </c>
      <c r="K477" s="300"/>
      <c r="L477" s="304" t="s">
        <v>2234</v>
      </c>
      <c r="M477" s="300" t="s">
        <v>7</v>
      </c>
      <c r="N477" s="300"/>
      <c r="O477" s="300"/>
      <c r="P477" s="300" t="s">
        <v>7</v>
      </c>
      <c r="Q477" s="300" t="s">
        <v>7</v>
      </c>
      <c r="R477" s="300" t="s">
        <v>96</v>
      </c>
      <c r="S477" s="300" t="s">
        <v>2115</v>
      </c>
      <c r="T477" s="300" t="s">
        <v>2458</v>
      </c>
      <c r="U477" s="303">
        <v>0.36180000000000001</v>
      </c>
      <c r="V477" s="300" t="s">
        <v>2458</v>
      </c>
      <c r="W477" s="307">
        <v>4.2</v>
      </c>
      <c r="X477" s="297">
        <f>(1-VLOOKUP(R477,Start!$H$33:$I$40,2,FALSE)/100)*W477</f>
        <v>3.7380000000000004</v>
      </c>
      <c r="Y477" s="297">
        <f>VLOOKUP(Q477,Start!$C$9:$D$15,2,FALSE)+VLOOKUP(Q477,Start!$C$23:$D$29,2,FALSE)</f>
        <v>23.27</v>
      </c>
      <c r="Z477" s="298">
        <f>(Y477/U477)+Start!$D$19*(VLOOKUP(Q477,Start!$M$33:$N$39,2,FALSE)/U477)+VLOOKUP(R477,Start!$C$33:$D$40,2,FALSE)</f>
        <v>78.983969043670541</v>
      </c>
      <c r="AA477" s="234"/>
      <c r="AB477" s="278"/>
    </row>
    <row r="478" spans="2:28" ht="18.75" customHeight="1" x14ac:dyDescent="0.3">
      <c r="B478" s="229"/>
      <c r="C478" s="289" t="s">
        <v>2485</v>
      </c>
      <c r="D478" s="305" t="s">
        <v>1388</v>
      </c>
      <c r="E478" s="300" t="s">
        <v>1383</v>
      </c>
      <c r="F478" s="300" t="s">
        <v>1389</v>
      </c>
      <c r="G478" s="302">
        <v>90471</v>
      </c>
      <c r="H478" s="300" t="s">
        <v>1372</v>
      </c>
      <c r="I478" s="300" t="s">
        <v>1385</v>
      </c>
      <c r="J478" s="306" t="s">
        <v>55</v>
      </c>
      <c r="K478" s="300"/>
      <c r="L478" s="304" t="s">
        <v>280</v>
      </c>
      <c r="M478" s="300" t="s">
        <v>7</v>
      </c>
      <c r="N478" s="300"/>
      <c r="O478" s="300"/>
      <c r="P478" s="300" t="s">
        <v>7</v>
      </c>
      <c r="Q478" s="300" t="s">
        <v>7</v>
      </c>
      <c r="R478" s="300" t="s">
        <v>96</v>
      </c>
      <c r="S478" s="300" t="s">
        <v>2115</v>
      </c>
      <c r="T478" s="300" t="s">
        <v>2458</v>
      </c>
      <c r="U478" s="303">
        <v>0.3644</v>
      </c>
      <c r="V478" s="300" t="s">
        <v>2458</v>
      </c>
      <c r="W478" s="307">
        <v>5.0999999999999996</v>
      </c>
      <c r="X478" s="297">
        <f>(1-VLOOKUP(R478,Start!$H$33:$I$40,2,FALSE)/100)*W478</f>
        <v>4.5389999999999997</v>
      </c>
      <c r="Y478" s="297">
        <f>VLOOKUP(Q478,Start!$C$9:$D$15,2,FALSE)+VLOOKUP(Q478,Start!$C$23:$D$29,2,FALSE)</f>
        <v>23.27</v>
      </c>
      <c r="Z478" s="298">
        <f>(Y478/U478)+Start!$D$19*(VLOOKUP(Q478,Start!$M$33:$N$39,2,FALSE)/U478)+VLOOKUP(R478,Start!$C$33:$D$40,2,FALSE)</f>
        <v>78.427552140504943</v>
      </c>
      <c r="AA478" s="234"/>
      <c r="AB478" s="278"/>
    </row>
    <row r="479" spans="2:28" ht="18.75" customHeight="1" x14ac:dyDescent="0.3">
      <c r="B479" s="229"/>
      <c r="C479" s="289" t="s">
        <v>2485</v>
      </c>
      <c r="D479" s="305" t="s">
        <v>1390</v>
      </c>
      <c r="E479" s="300" t="s">
        <v>1383</v>
      </c>
      <c r="F479" s="300" t="s">
        <v>1391</v>
      </c>
      <c r="G479" s="302">
        <v>90471</v>
      </c>
      <c r="H479" s="300" t="s">
        <v>1372</v>
      </c>
      <c r="I479" s="300" t="s">
        <v>1385</v>
      </c>
      <c r="J479" s="306" t="s">
        <v>55</v>
      </c>
      <c r="K479" s="300"/>
      <c r="L479" s="304" t="s">
        <v>2235</v>
      </c>
      <c r="M479" s="300" t="s">
        <v>7</v>
      </c>
      <c r="N479" s="300"/>
      <c r="O479" s="300"/>
      <c r="P479" s="300" t="s">
        <v>7</v>
      </c>
      <c r="Q479" s="300" t="s">
        <v>7</v>
      </c>
      <c r="R479" s="300" t="s">
        <v>96</v>
      </c>
      <c r="S479" s="300" t="s">
        <v>2115</v>
      </c>
      <c r="T479" s="300" t="s">
        <v>2458</v>
      </c>
      <c r="U479" s="303">
        <v>0.36699999999999999</v>
      </c>
      <c r="V479" s="300" t="s">
        <v>2458</v>
      </c>
      <c r="W479" s="307">
        <v>5.0999999999999996</v>
      </c>
      <c r="X479" s="297">
        <f>(1-VLOOKUP(R479,Start!$H$33:$I$40,2,FALSE)/100)*W479</f>
        <v>4.5389999999999997</v>
      </c>
      <c r="Y479" s="297">
        <f>VLOOKUP(Q479,Start!$C$9:$D$15,2,FALSE)+VLOOKUP(Q479,Start!$C$23:$D$29,2,FALSE)</f>
        <v>23.27</v>
      </c>
      <c r="Z479" s="298">
        <f>(Y479/U479)+Start!$D$19*(VLOOKUP(Q479,Start!$M$33:$N$39,2,FALSE)/U479)+VLOOKUP(R479,Start!$C$33:$D$40,2,FALSE)</f>
        <v>77.879019073569481</v>
      </c>
      <c r="AA479" s="234"/>
      <c r="AB479" s="278"/>
    </row>
    <row r="480" spans="2:28" ht="18.75" customHeight="1" x14ac:dyDescent="0.3">
      <c r="B480" s="229"/>
      <c r="C480" s="289" t="s">
        <v>2485</v>
      </c>
      <c r="D480" s="299" t="s">
        <v>1885</v>
      </c>
      <c r="E480" s="300" t="s">
        <v>1886</v>
      </c>
      <c r="F480" s="300"/>
      <c r="G480" s="311">
        <v>67547</v>
      </c>
      <c r="H480" s="312" t="s">
        <v>1887</v>
      </c>
      <c r="I480" s="300" t="s">
        <v>1888</v>
      </c>
      <c r="J480" s="306" t="s">
        <v>37</v>
      </c>
      <c r="K480" s="300" t="s">
        <v>1834</v>
      </c>
      <c r="L480" s="304" t="s">
        <v>2442</v>
      </c>
      <c r="M480" s="300" t="s">
        <v>6</v>
      </c>
      <c r="N480" s="300"/>
      <c r="O480" s="300"/>
      <c r="P480" s="314" t="s">
        <v>6</v>
      </c>
      <c r="Q480" s="300" t="s">
        <v>6</v>
      </c>
      <c r="R480" s="300" t="s">
        <v>6</v>
      </c>
      <c r="S480" s="300" t="s">
        <v>1981</v>
      </c>
      <c r="T480" s="300" t="s">
        <v>2460</v>
      </c>
      <c r="U480" s="303">
        <v>0.33</v>
      </c>
      <c r="V480" s="300" t="s">
        <v>2460</v>
      </c>
      <c r="W480" s="315">
        <v>11.9</v>
      </c>
      <c r="X480" s="297">
        <f>(1-VLOOKUP(R480,Start!$H$33:$I$40,2,FALSE)/100)*W480</f>
        <v>10.115</v>
      </c>
      <c r="Y480" s="297">
        <f>VLOOKUP(Q480,Start!$C$9:$D$15,2,FALSE)+VLOOKUP(Q480,Start!$C$23:$D$29,2,FALSE)</f>
        <v>0</v>
      </c>
      <c r="Z480" s="298">
        <f>(Y480/U480)+Start!$D$19*(VLOOKUP(Q480,Start!$M$33:$N$39,2,FALSE)/U480)+VLOOKUP(R480,Start!$C$33:$D$40,2,FALSE)</f>
        <v>1</v>
      </c>
      <c r="AA480" s="234"/>
      <c r="AB480" s="278"/>
    </row>
    <row r="481" spans="2:28" ht="18.75" customHeight="1" x14ac:dyDescent="0.3">
      <c r="B481" s="229"/>
      <c r="C481" s="289" t="s">
        <v>2485</v>
      </c>
      <c r="D481" s="299" t="s">
        <v>1889</v>
      </c>
      <c r="E481" s="300" t="s">
        <v>1886</v>
      </c>
      <c r="F481" s="300"/>
      <c r="G481" s="311">
        <v>67547</v>
      </c>
      <c r="H481" s="312" t="s">
        <v>1887</v>
      </c>
      <c r="I481" s="300" t="s">
        <v>1888</v>
      </c>
      <c r="J481" s="301" t="s">
        <v>37</v>
      </c>
      <c r="K481" s="300" t="s">
        <v>1890</v>
      </c>
      <c r="L481" s="304" t="s">
        <v>2440</v>
      </c>
      <c r="M481" s="300" t="s">
        <v>6</v>
      </c>
      <c r="N481" s="300"/>
      <c r="O481" s="300"/>
      <c r="P481" s="300" t="s">
        <v>6</v>
      </c>
      <c r="Q481" s="300" t="s">
        <v>6</v>
      </c>
      <c r="R481" s="300" t="s">
        <v>6</v>
      </c>
      <c r="S481" s="300" t="s">
        <v>1981</v>
      </c>
      <c r="T481" s="300" t="s">
        <v>2460</v>
      </c>
      <c r="U481" s="303">
        <v>0.33</v>
      </c>
      <c r="V481" s="300" t="s">
        <v>2460</v>
      </c>
      <c r="W481" s="315">
        <v>6.9</v>
      </c>
      <c r="X481" s="297">
        <f>(1-VLOOKUP(R481,Start!$H$33:$I$40,2,FALSE)/100)*W481</f>
        <v>5.8650000000000002</v>
      </c>
      <c r="Y481" s="297">
        <f>VLOOKUP(Q481,Start!$C$9:$D$15,2,FALSE)+VLOOKUP(Q481,Start!$C$23:$D$29,2,FALSE)</f>
        <v>0</v>
      </c>
      <c r="Z481" s="298">
        <f>(Y481/U481)+Start!$D$19*(VLOOKUP(Q481,Start!$M$33:$N$39,2,FALSE)/U481)+VLOOKUP(R481,Start!$C$33:$D$40,2,FALSE)</f>
        <v>1</v>
      </c>
      <c r="AA481" s="234"/>
      <c r="AB481" s="278"/>
    </row>
    <row r="482" spans="2:28" ht="18.75" customHeight="1" x14ac:dyDescent="0.3">
      <c r="B482" s="229"/>
      <c r="C482" s="289" t="s">
        <v>2485</v>
      </c>
      <c r="D482" s="305" t="s">
        <v>1353</v>
      </c>
      <c r="E482" s="300" t="s">
        <v>597</v>
      </c>
      <c r="F482" s="301" t="s">
        <v>1354</v>
      </c>
      <c r="G482" s="302">
        <v>66538</v>
      </c>
      <c r="H482" s="303" t="s">
        <v>1355</v>
      </c>
      <c r="I482" s="303" t="s">
        <v>1356</v>
      </c>
      <c r="J482" s="301" t="s">
        <v>213</v>
      </c>
      <c r="K482" s="301" t="s">
        <v>1357</v>
      </c>
      <c r="L482" s="304" t="s">
        <v>2369</v>
      </c>
      <c r="M482" s="300" t="s">
        <v>6</v>
      </c>
      <c r="N482" s="132" t="s">
        <v>1358</v>
      </c>
      <c r="O482" s="303"/>
      <c r="P482" s="303" t="s">
        <v>6</v>
      </c>
      <c r="Q482" s="300" t="s">
        <v>6</v>
      </c>
      <c r="R482" s="300" t="s">
        <v>6</v>
      </c>
      <c r="S482" s="300" t="s">
        <v>1981</v>
      </c>
      <c r="T482" s="300" t="s">
        <v>2458</v>
      </c>
      <c r="U482" s="303">
        <v>0.33</v>
      </c>
      <c r="V482" s="300" t="s">
        <v>2458</v>
      </c>
      <c r="W482" s="297">
        <v>11.6</v>
      </c>
      <c r="X482" s="297">
        <f>(1-VLOOKUP(R482,Start!$H$33:$I$40,2,FALSE)/100)*W482</f>
        <v>9.86</v>
      </c>
      <c r="Y482" s="297">
        <f>VLOOKUP(Q482,Start!$C$9:$D$15,2,FALSE)+VLOOKUP(Q482,Start!$C$23:$D$29,2,FALSE)</f>
        <v>0</v>
      </c>
      <c r="Z482" s="298">
        <f>(Y482/U482)+Start!$D$19*(VLOOKUP(Q482,Start!$M$33:$N$39,2,FALSE)/U482)+VLOOKUP(R482,Start!$C$33:$D$40,2,FALSE)</f>
        <v>1</v>
      </c>
      <c r="AA482" s="234"/>
      <c r="AB482" s="278"/>
    </row>
    <row r="483" spans="2:28" ht="18.75" customHeight="1" x14ac:dyDescent="0.3">
      <c r="B483" s="229"/>
      <c r="C483" s="289" t="s">
        <v>2485</v>
      </c>
      <c r="D483" s="299" t="s">
        <v>1910</v>
      </c>
      <c r="E483" s="300" t="s">
        <v>1911</v>
      </c>
      <c r="F483" s="300" t="s">
        <v>1912</v>
      </c>
      <c r="G483" s="302">
        <v>97076</v>
      </c>
      <c r="H483" s="300" t="s">
        <v>1913</v>
      </c>
      <c r="I483" s="300" t="s">
        <v>1914</v>
      </c>
      <c r="J483" s="306" t="s">
        <v>55</v>
      </c>
      <c r="K483" s="300"/>
      <c r="L483" s="304" t="s">
        <v>2385</v>
      </c>
      <c r="M483" s="300" t="s">
        <v>6</v>
      </c>
      <c r="N483" s="300"/>
      <c r="O483" s="300"/>
      <c r="P483" s="314" t="s">
        <v>6</v>
      </c>
      <c r="Q483" s="300" t="s">
        <v>6</v>
      </c>
      <c r="R483" s="300" t="s">
        <v>6</v>
      </c>
      <c r="S483" s="300" t="s">
        <v>1981</v>
      </c>
      <c r="T483" s="300" t="s">
        <v>2458</v>
      </c>
      <c r="U483" s="303">
        <v>0.33</v>
      </c>
      <c r="V483" s="300" t="s">
        <v>2458</v>
      </c>
      <c r="W483" s="307">
        <v>8.6999999999999993</v>
      </c>
      <c r="X483" s="297">
        <f>(1-VLOOKUP(R483,Start!$H$33:$I$40,2,FALSE)/100)*W483</f>
        <v>7.3949999999999996</v>
      </c>
      <c r="Y483" s="297">
        <f>VLOOKUP(Q483,Start!$C$9:$D$15,2,FALSE)+VLOOKUP(Q483,Start!$C$23:$D$29,2,FALSE)</f>
        <v>0</v>
      </c>
      <c r="Z483" s="298">
        <f>(Y483/U483)+Start!$D$19*(VLOOKUP(Q483,Start!$M$33:$N$39,2,FALSE)/U483)+VLOOKUP(R483,Start!$C$33:$D$40,2,FALSE)</f>
        <v>1</v>
      </c>
      <c r="AA483" s="234"/>
      <c r="AB483" s="278"/>
    </row>
    <row r="484" spans="2:28" ht="18.75" customHeight="1" x14ac:dyDescent="0.3">
      <c r="B484" s="229"/>
      <c r="C484" s="289" t="s">
        <v>2485</v>
      </c>
      <c r="D484" s="305" t="s">
        <v>1915</v>
      </c>
      <c r="E484" s="300" t="s">
        <v>1911</v>
      </c>
      <c r="F484" s="300" t="s">
        <v>1011</v>
      </c>
      <c r="G484" s="302">
        <v>97076</v>
      </c>
      <c r="H484" s="300" t="s">
        <v>1913</v>
      </c>
      <c r="I484" s="300" t="s">
        <v>1914</v>
      </c>
      <c r="J484" s="306" t="s">
        <v>55</v>
      </c>
      <c r="K484" s="300"/>
      <c r="L484" s="304" t="s">
        <v>2386</v>
      </c>
      <c r="M484" s="300" t="s">
        <v>6</v>
      </c>
      <c r="N484" s="300"/>
      <c r="O484" s="300"/>
      <c r="P484" s="300" t="s">
        <v>6</v>
      </c>
      <c r="Q484" s="300" t="s">
        <v>6</v>
      </c>
      <c r="R484" s="300" t="s">
        <v>6</v>
      </c>
      <c r="S484" s="300" t="s">
        <v>1981</v>
      </c>
      <c r="T484" s="300" t="s">
        <v>2458</v>
      </c>
      <c r="U484" s="303">
        <v>0.33</v>
      </c>
      <c r="V484" s="300" t="s">
        <v>2458</v>
      </c>
      <c r="W484" s="307">
        <v>12</v>
      </c>
      <c r="X484" s="297">
        <f>(1-VLOOKUP(R484,Start!$H$33:$I$40,2,FALSE)/100)*W484</f>
        <v>10.199999999999999</v>
      </c>
      <c r="Y484" s="297">
        <f>VLOOKUP(Q484,Start!$C$9:$D$15,2,FALSE)+VLOOKUP(Q484,Start!$C$23:$D$29,2,FALSE)</f>
        <v>0</v>
      </c>
      <c r="Z484" s="298">
        <f>(Y484/U484)+Start!$D$19*(VLOOKUP(Q484,Start!$M$33:$N$39,2,FALSE)/U484)+VLOOKUP(R484,Start!$C$33:$D$40,2,FALSE)</f>
        <v>1</v>
      </c>
      <c r="AA484" s="234"/>
      <c r="AB484" s="278"/>
    </row>
    <row r="485" spans="2:28" ht="18.75" customHeight="1" x14ac:dyDescent="0.3">
      <c r="B485" s="229"/>
      <c r="C485" s="289" t="s">
        <v>2485</v>
      </c>
      <c r="D485" s="305" t="s">
        <v>1095</v>
      </c>
      <c r="E485" s="300" t="s">
        <v>1096</v>
      </c>
      <c r="F485" s="300" t="s">
        <v>1097</v>
      </c>
      <c r="G485" s="302">
        <v>29331</v>
      </c>
      <c r="H485" s="300" t="s">
        <v>1098</v>
      </c>
      <c r="I485" s="300" t="s">
        <v>1099</v>
      </c>
      <c r="J485" s="306" t="s">
        <v>22</v>
      </c>
      <c r="K485" s="300"/>
      <c r="L485" s="304" t="s">
        <v>2207</v>
      </c>
      <c r="M485" s="300" t="s">
        <v>7</v>
      </c>
      <c r="N485" s="300"/>
      <c r="O485" s="300"/>
      <c r="P485" s="300" t="s">
        <v>7</v>
      </c>
      <c r="Q485" s="300" t="s">
        <v>7</v>
      </c>
      <c r="R485" s="300" t="s">
        <v>226</v>
      </c>
      <c r="S485" s="300" t="s">
        <v>1996</v>
      </c>
      <c r="T485" s="300" t="s">
        <v>2458</v>
      </c>
      <c r="U485" s="303">
        <v>0.54</v>
      </c>
      <c r="V485" s="300" t="s">
        <v>2458</v>
      </c>
      <c r="W485" s="307">
        <v>13</v>
      </c>
      <c r="X485" s="297">
        <f>(1-VLOOKUP(R485,Start!$H$33:$I$40,2,FALSE)/100)*W485</f>
        <v>11.57</v>
      </c>
      <c r="Y485" s="297">
        <f>VLOOKUP(Q485,Start!$C$9:$D$15,2,FALSE)+VLOOKUP(Q485,Start!$C$23:$D$29,2,FALSE)</f>
        <v>23.27</v>
      </c>
      <c r="Z485" s="298">
        <f>(Y485/U485)+Start!$D$19*(VLOOKUP(Q485,Start!$M$33:$N$39,2,FALSE)/U485)+VLOOKUP(R485,Start!$C$33:$D$40,2,FALSE)</f>
        <v>53.749259259259254</v>
      </c>
      <c r="AA485" s="234"/>
      <c r="AB485" s="278"/>
    </row>
    <row r="486" spans="2:28" ht="18.75" customHeight="1" x14ac:dyDescent="0.3">
      <c r="B486" s="229"/>
      <c r="C486" s="289" t="s">
        <v>2485</v>
      </c>
      <c r="D486" s="305" t="s">
        <v>447</v>
      </c>
      <c r="E486" s="300" t="s">
        <v>448</v>
      </c>
      <c r="F486" s="325" t="s">
        <v>449</v>
      </c>
      <c r="G486" s="302">
        <v>47198</v>
      </c>
      <c r="H486" s="300" t="s">
        <v>450</v>
      </c>
      <c r="I486" s="300"/>
      <c r="J486" s="306" t="s">
        <v>19</v>
      </c>
      <c r="K486" s="300"/>
      <c r="L486" s="304" t="s">
        <v>2084</v>
      </c>
      <c r="M486" s="300" t="s">
        <v>47</v>
      </c>
      <c r="N486" s="300" t="s">
        <v>2</v>
      </c>
      <c r="O486" s="300" t="s">
        <v>7</v>
      </c>
      <c r="P486" s="300" t="s">
        <v>2</v>
      </c>
      <c r="Q486" s="300" t="s">
        <v>2</v>
      </c>
      <c r="R486" s="300" t="s">
        <v>2</v>
      </c>
      <c r="S486" s="300" t="s">
        <v>1981</v>
      </c>
      <c r="T486" s="300" t="s">
        <v>2458</v>
      </c>
      <c r="U486" s="303">
        <v>0.31359999999999999</v>
      </c>
      <c r="V486" s="300" t="s">
        <v>2458</v>
      </c>
      <c r="W486" s="307">
        <v>27.5</v>
      </c>
      <c r="X486" s="297">
        <f>(1-VLOOKUP(R486,Start!$H$33:$I$40,2,FALSE)/100)*W486</f>
        <v>23.925000000000001</v>
      </c>
      <c r="Y486" s="297">
        <f>VLOOKUP(Q486,Start!$C$9:$D$15,2,FALSE)+VLOOKUP(Q486,Start!$C$23:$D$29,2,FALSE)</f>
        <v>3.1</v>
      </c>
      <c r="Z486" s="298">
        <f>(Y486/U486)+Start!$D$19*(VLOOKUP(Q486,Start!$M$33:$N$39,2,FALSE)/U486)+VLOOKUP(R486,Start!$C$33:$D$40,2,FALSE)</f>
        <v>43.276530612244912</v>
      </c>
      <c r="AA486" s="234"/>
      <c r="AB486" s="278"/>
    </row>
    <row r="487" spans="2:28" ht="18.75" customHeight="1" x14ac:dyDescent="0.3">
      <c r="B487" s="229"/>
      <c r="C487" s="289" t="s">
        <v>2485</v>
      </c>
      <c r="D487" s="299" t="s">
        <v>67</v>
      </c>
      <c r="E487" s="300"/>
      <c r="F487" s="300"/>
      <c r="G487" s="302">
        <v>76855</v>
      </c>
      <c r="H487" s="300" t="s">
        <v>68</v>
      </c>
      <c r="I487" s="300"/>
      <c r="J487" s="306" t="s">
        <v>37</v>
      </c>
      <c r="K487" s="300"/>
      <c r="L487" s="304" t="s">
        <v>2449</v>
      </c>
      <c r="M487" s="300" t="s">
        <v>47</v>
      </c>
      <c r="N487" s="300" t="s">
        <v>7</v>
      </c>
      <c r="O487" s="300" t="s">
        <v>69</v>
      </c>
      <c r="P487" s="314" t="s">
        <v>7</v>
      </c>
      <c r="Q487" s="300" t="s">
        <v>7</v>
      </c>
      <c r="R487" s="300" t="s">
        <v>226</v>
      </c>
      <c r="S487" s="300" t="s">
        <v>1986</v>
      </c>
      <c r="T487" s="300" t="s">
        <v>2389</v>
      </c>
      <c r="U487" s="332">
        <v>0.4</v>
      </c>
      <c r="V487" s="300" t="s">
        <v>2461</v>
      </c>
      <c r="W487" s="307">
        <v>27.95</v>
      </c>
      <c r="X487" s="297">
        <f>(1-VLOOKUP(R487,Start!$H$33:$I$40,2,FALSE)/100)*W487</f>
        <v>24.875499999999999</v>
      </c>
      <c r="Y487" s="297">
        <f>VLOOKUP(Q487,Start!$C$9:$D$15,2,FALSE)+VLOOKUP(Q487,Start!$C$23:$D$29,2,FALSE)</f>
        <v>23.27</v>
      </c>
      <c r="Z487" s="298">
        <f>(Y487/U487)+Start!$D$19*(VLOOKUP(Q487,Start!$M$33:$N$39,2,FALSE)/U487)+VLOOKUP(R487,Start!$C$33:$D$40,2,FALSE)</f>
        <v>72.03649999999999</v>
      </c>
      <c r="AA487" s="234"/>
      <c r="AB487" s="278"/>
    </row>
    <row r="488" spans="2:28" ht="18.75" customHeight="1" x14ac:dyDescent="0.3">
      <c r="B488" s="229"/>
      <c r="C488" s="289" t="s">
        <v>2485</v>
      </c>
      <c r="D488" s="305" t="s">
        <v>1933</v>
      </c>
      <c r="E488" s="300" t="s">
        <v>1934</v>
      </c>
      <c r="F488" s="300"/>
      <c r="G488" s="302">
        <v>6712</v>
      </c>
      <c r="H488" s="300" t="s">
        <v>1930</v>
      </c>
      <c r="I488" s="300" t="s">
        <v>1931</v>
      </c>
      <c r="J488" s="306" t="s">
        <v>38</v>
      </c>
      <c r="K488" s="300"/>
      <c r="L488" s="304" t="s">
        <v>2444</v>
      </c>
      <c r="M488" s="300" t="s">
        <v>47</v>
      </c>
      <c r="N488" s="300" t="s">
        <v>2</v>
      </c>
      <c r="O488" s="300" t="s">
        <v>115</v>
      </c>
      <c r="P488" s="300" t="s">
        <v>2</v>
      </c>
      <c r="Q488" s="300" t="s">
        <v>2</v>
      </c>
      <c r="R488" s="300" t="s">
        <v>2</v>
      </c>
      <c r="S488" s="300" t="s">
        <v>1981</v>
      </c>
      <c r="T488" s="300" t="s">
        <v>2460</v>
      </c>
      <c r="U488" s="303">
        <v>0.4</v>
      </c>
      <c r="V488" s="303" t="s">
        <v>2461</v>
      </c>
      <c r="W488" s="307">
        <v>17.5</v>
      </c>
      <c r="X488" s="297">
        <f>(1-VLOOKUP(R488,Start!$H$33:$I$40,2,FALSE)/100)*W488</f>
        <v>15.225</v>
      </c>
      <c r="Y488" s="297">
        <f>VLOOKUP(Q488,Start!$C$9:$D$15,2,FALSE)+VLOOKUP(Q488,Start!$C$23:$D$29,2,FALSE)</f>
        <v>3.1</v>
      </c>
      <c r="Z488" s="298">
        <f>(Y488/U488)+Start!$D$19*(VLOOKUP(Q488,Start!$M$33:$N$39,2,FALSE)/U488)+VLOOKUP(R488,Start!$C$33:$D$40,2,FALSE)</f>
        <v>34.296000000000006</v>
      </c>
      <c r="AA488" s="234"/>
      <c r="AB488" s="278"/>
    </row>
    <row r="489" spans="2:28" ht="18.75" customHeight="1" x14ac:dyDescent="0.3">
      <c r="B489" s="229"/>
      <c r="C489" s="289" t="s">
        <v>2485</v>
      </c>
      <c r="D489" s="305" t="s">
        <v>893</v>
      </c>
      <c r="E489" s="300" t="s">
        <v>894</v>
      </c>
      <c r="F489" s="301"/>
      <c r="G489" s="302">
        <v>37412</v>
      </c>
      <c r="H489" s="303" t="s">
        <v>895</v>
      </c>
      <c r="I489" s="303" t="s">
        <v>896</v>
      </c>
      <c r="J489" s="301" t="s">
        <v>22</v>
      </c>
      <c r="K489" s="301"/>
      <c r="L489" s="304" t="s">
        <v>554</v>
      </c>
      <c r="M489" s="300" t="s">
        <v>7</v>
      </c>
      <c r="N489" s="132"/>
      <c r="O489" s="303"/>
      <c r="P489" s="300" t="s">
        <v>7</v>
      </c>
      <c r="Q489" s="300" t="s">
        <v>7</v>
      </c>
      <c r="R489" s="300" t="s">
        <v>226</v>
      </c>
      <c r="S489" s="300" t="s">
        <v>1986</v>
      </c>
      <c r="T489" s="300" t="s">
        <v>2460</v>
      </c>
      <c r="U489" s="332">
        <v>0.4</v>
      </c>
      <c r="V489" s="300" t="s">
        <v>2461</v>
      </c>
      <c r="W489" s="297">
        <v>19.5</v>
      </c>
      <c r="X489" s="297">
        <f>(1-VLOOKUP(R489,Start!$H$33:$I$40,2,FALSE)/100)*W489</f>
        <v>17.355</v>
      </c>
      <c r="Y489" s="297">
        <f>VLOOKUP(Q489,Start!$C$9:$D$15,2,FALSE)+VLOOKUP(Q489,Start!$C$23:$D$29,2,FALSE)</f>
        <v>23.27</v>
      </c>
      <c r="Z489" s="298">
        <f>(Y489/U489)+Start!$D$19*(VLOOKUP(Q489,Start!$M$33:$N$39,2,FALSE)/U489)+VLOOKUP(R489,Start!$C$33:$D$40,2,FALSE)</f>
        <v>72.03649999999999</v>
      </c>
      <c r="AA489" s="234"/>
      <c r="AB489" s="278"/>
    </row>
    <row r="490" spans="2:28" ht="18.75" customHeight="1" x14ac:dyDescent="0.3">
      <c r="B490" s="229"/>
      <c r="C490" s="289" t="s">
        <v>2485</v>
      </c>
      <c r="D490" s="305" t="s">
        <v>1588</v>
      </c>
      <c r="E490" s="300" t="s">
        <v>1589</v>
      </c>
      <c r="F490" s="301" t="s">
        <v>1590</v>
      </c>
      <c r="G490" s="302">
        <v>66117</v>
      </c>
      <c r="H490" s="303" t="s">
        <v>1586</v>
      </c>
      <c r="I490" s="303" t="s">
        <v>1591</v>
      </c>
      <c r="J490" s="301" t="s">
        <v>213</v>
      </c>
      <c r="K490" s="301"/>
      <c r="L490" s="304" t="s">
        <v>2254</v>
      </c>
      <c r="M490" s="300" t="s">
        <v>7</v>
      </c>
      <c r="N490" s="132"/>
      <c r="O490" s="132"/>
      <c r="P490" s="132" t="s">
        <v>7</v>
      </c>
      <c r="Q490" s="300" t="s">
        <v>7</v>
      </c>
      <c r="R490" s="300" t="s">
        <v>226</v>
      </c>
      <c r="S490" s="300" t="s">
        <v>1981</v>
      </c>
      <c r="T490" s="300" t="s">
        <v>2458</v>
      </c>
      <c r="U490" s="303">
        <v>0.3982</v>
      </c>
      <c r="V490" s="300" t="s">
        <v>2458</v>
      </c>
      <c r="W490" s="297">
        <v>38.61</v>
      </c>
      <c r="X490" s="297">
        <f>(1-VLOOKUP(R490,Start!$H$33:$I$40,2,FALSE)/100)*W490</f>
        <v>34.362900000000003</v>
      </c>
      <c r="Y490" s="297">
        <f>VLOOKUP(Q490,Start!$C$9:$D$15,2,FALSE)+VLOOKUP(Q490,Start!$C$23:$D$29,2,FALSE)</f>
        <v>23.27</v>
      </c>
      <c r="Z490" s="298">
        <f>(Y490/U490)+Start!$D$19*(VLOOKUP(Q490,Start!$M$33:$N$39,2,FALSE)/U490)+VLOOKUP(R490,Start!$C$33:$D$40,2,FALSE)</f>
        <v>72.355349070818676</v>
      </c>
      <c r="AA490" s="234"/>
      <c r="AB490" s="278"/>
    </row>
    <row r="491" spans="2:28" ht="18.75" customHeight="1" x14ac:dyDescent="0.3">
      <c r="B491" s="229"/>
      <c r="C491" s="289" t="s">
        <v>2485</v>
      </c>
      <c r="D491" s="299" t="s">
        <v>1863</v>
      </c>
      <c r="E491" s="300" t="s">
        <v>1864</v>
      </c>
      <c r="F491" s="300" t="s">
        <v>1865</v>
      </c>
      <c r="G491" s="311">
        <v>37213</v>
      </c>
      <c r="H491" s="312" t="s">
        <v>1861</v>
      </c>
      <c r="I491" s="132" t="s">
        <v>1862</v>
      </c>
      <c r="J491" s="301" t="s">
        <v>105</v>
      </c>
      <c r="K491" s="300"/>
      <c r="L491" s="304" t="s">
        <v>2330</v>
      </c>
      <c r="M491" s="300" t="s">
        <v>419</v>
      </c>
      <c r="N491" s="132" t="s">
        <v>1866</v>
      </c>
      <c r="O491" s="300" t="s">
        <v>104</v>
      </c>
      <c r="P491" s="303" t="s">
        <v>214</v>
      </c>
      <c r="Q491" s="300" t="s">
        <v>6</v>
      </c>
      <c r="R491" s="300" t="s">
        <v>6</v>
      </c>
      <c r="S491" s="300" t="s">
        <v>1981</v>
      </c>
      <c r="T491" s="300" t="s">
        <v>2458</v>
      </c>
      <c r="U491" s="303">
        <v>0.33</v>
      </c>
      <c r="V491" s="300" t="s">
        <v>2460</v>
      </c>
      <c r="W491" s="315">
        <v>28</v>
      </c>
      <c r="X491" s="297">
        <f>(1-VLOOKUP(R491,Start!$H$33:$I$40,2,FALSE)/100)*W491</f>
        <v>23.8</v>
      </c>
      <c r="Y491" s="297">
        <f>VLOOKUP(Q491,Start!$C$9:$D$15,2,FALSE)+VLOOKUP(Q491,Start!$C$23:$D$29,2,FALSE)</f>
        <v>0</v>
      </c>
      <c r="Z491" s="298">
        <f>(Y491/U491)+Start!$D$19*(VLOOKUP(Q491,Start!$M$33:$N$39,2,FALSE)/U491)+VLOOKUP(R491,Start!$C$33:$D$40,2,FALSE)</f>
        <v>1</v>
      </c>
      <c r="AA491" s="234"/>
      <c r="AB491" s="278"/>
    </row>
    <row r="492" spans="2:28" ht="18.75" customHeight="1" x14ac:dyDescent="0.3">
      <c r="B492" s="229"/>
      <c r="C492" s="289" t="s">
        <v>2485</v>
      </c>
      <c r="D492" s="299" t="s">
        <v>1410</v>
      </c>
      <c r="E492" s="300" t="s">
        <v>1411</v>
      </c>
      <c r="F492" s="132"/>
      <c r="G492" s="311">
        <v>77704</v>
      </c>
      <c r="H492" s="312" t="s">
        <v>1412</v>
      </c>
      <c r="I492" s="132" t="s">
        <v>1413</v>
      </c>
      <c r="J492" s="301" t="s">
        <v>20</v>
      </c>
      <c r="K492" s="300"/>
      <c r="L492" s="304" t="s">
        <v>2445</v>
      </c>
      <c r="M492" s="300" t="s">
        <v>3</v>
      </c>
      <c r="N492" s="132" t="s">
        <v>3</v>
      </c>
      <c r="O492" s="300" t="s">
        <v>1414</v>
      </c>
      <c r="P492" s="314" t="s">
        <v>3</v>
      </c>
      <c r="Q492" s="300" t="s">
        <v>3</v>
      </c>
      <c r="R492" s="300" t="s">
        <v>3</v>
      </c>
      <c r="S492" s="300" t="s">
        <v>1981</v>
      </c>
      <c r="T492" s="300" t="s">
        <v>2460</v>
      </c>
      <c r="U492" s="303">
        <v>0.375</v>
      </c>
      <c r="V492" s="303" t="s">
        <v>2461</v>
      </c>
      <c r="W492" s="315">
        <v>18.5</v>
      </c>
      <c r="X492" s="297">
        <f>(1-VLOOKUP(R492,Start!$H$33:$I$40,2,FALSE)/100)*W492</f>
        <v>14.43</v>
      </c>
      <c r="Y492" s="297">
        <f>VLOOKUP(Q492,Start!$C$9:$D$15,2,FALSE)+VLOOKUP(Q492,Start!$C$23:$D$29,2,FALSE)</f>
        <v>12.53</v>
      </c>
      <c r="Z492" s="298">
        <f>(Y492/U492)+Start!$D$19*(VLOOKUP(Q492,Start!$M$33:$N$39,2,FALSE)/U492)+VLOOKUP(R492,Start!$C$33:$D$40,2,FALSE)</f>
        <v>56.82053333333333</v>
      </c>
      <c r="AA492" s="234"/>
      <c r="AB492" s="278"/>
    </row>
    <row r="493" spans="2:28" ht="18.75" customHeight="1" x14ac:dyDescent="0.3">
      <c r="B493" s="229"/>
      <c r="C493" s="289" t="s">
        <v>2485</v>
      </c>
      <c r="D493" s="299" t="s">
        <v>1652</v>
      </c>
      <c r="E493" s="300" t="s">
        <v>1653</v>
      </c>
      <c r="F493" s="300" t="s">
        <v>1654</v>
      </c>
      <c r="G493" s="302">
        <v>6317</v>
      </c>
      <c r="H493" s="300" t="s">
        <v>1655</v>
      </c>
      <c r="I493" s="300" t="s">
        <v>1656</v>
      </c>
      <c r="J493" s="306" t="s">
        <v>38</v>
      </c>
      <c r="K493" s="300"/>
      <c r="L493" s="304" t="s">
        <v>2109</v>
      </c>
      <c r="M493" s="300" t="s">
        <v>2</v>
      </c>
      <c r="N493" s="132"/>
      <c r="O493" s="132"/>
      <c r="P493" s="132" t="s">
        <v>2</v>
      </c>
      <c r="Q493" s="300" t="s">
        <v>2</v>
      </c>
      <c r="R493" s="300" t="s">
        <v>2</v>
      </c>
      <c r="S493" s="300" t="s">
        <v>1981</v>
      </c>
      <c r="T493" s="300" t="s">
        <v>2458</v>
      </c>
      <c r="U493" s="303">
        <v>0.34960000000000002</v>
      </c>
      <c r="V493" s="300" t="s">
        <v>2458</v>
      </c>
      <c r="W493" s="307">
        <v>45</v>
      </c>
      <c r="X493" s="297">
        <f>(1-VLOOKUP(R493,Start!$H$33:$I$40,2,FALSE)/100)*W493</f>
        <v>39.15</v>
      </c>
      <c r="Y493" s="297">
        <f>VLOOKUP(Q493,Start!$C$9:$D$15,2,FALSE)+VLOOKUP(Q493,Start!$C$23:$D$29,2,FALSE)</f>
        <v>3.1</v>
      </c>
      <c r="Z493" s="298">
        <f>(Y493/U493)+Start!$D$19*(VLOOKUP(Q493,Start!$M$33:$N$39,2,FALSE)/U493)+VLOOKUP(R493,Start!$C$33:$D$40,2,FALSE)</f>
        <v>38.995194508009156</v>
      </c>
      <c r="AA493" s="234"/>
      <c r="AB493" s="278"/>
    </row>
    <row r="494" spans="2:28" ht="18.75" customHeight="1" x14ac:dyDescent="0.3">
      <c r="B494" s="229"/>
      <c r="C494" s="289" t="s">
        <v>2485</v>
      </c>
      <c r="D494" s="299" t="s">
        <v>433</v>
      </c>
      <c r="E494" s="300" t="s">
        <v>434</v>
      </c>
      <c r="F494" s="300"/>
      <c r="G494" s="311">
        <v>44147</v>
      </c>
      <c r="H494" s="312" t="s">
        <v>431</v>
      </c>
      <c r="I494" s="300" t="s">
        <v>435</v>
      </c>
      <c r="J494" s="306" t="s">
        <v>19</v>
      </c>
      <c r="K494" s="300"/>
      <c r="L494" s="304" t="s">
        <v>436</v>
      </c>
      <c r="M494" s="300" t="s">
        <v>419</v>
      </c>
      <c r="N494" s="300" t="s">
        <v>437</v>
      </c>
      <c r="O494" s="300"/>
      <c r="P494" s="132" t="s">
        <v>214</v>
      </c>
      <c r="Q494" s="300" t="s">
        <v>7</v>
      </c>
      <c r="R494" s="300" t="s">
        <v>226</v>
      </c>
      <c r="S494" s="300" t="s">
        <v>1986</v>
      </c>
      <c r="T494" s="300" t="s">
        <v>2460</v>
      </c>
      <c r="U494" s="303">
        <v>0.41399999999999998</v>
      </c>
      <c r="V494" s="303" t="s">
        <v>2461</v>
      </c>
      <c r="W494" s="315">
        <v>16</v>
      </c>
      <c r="X494" s="297">
        <f>(1-VLOOKUP(R494,Start!$H$33:$I$40,2,FALSE)/100)*W494</f>
        <v>14.24</v>
      </c>
      <c r="Y494" s="297">
        <f>VLOOKUP(Q494,Start!$C$9:$D$15,2,FALSE)+VLOOKUP(Q494,Start!$C$23:$D$29,2,FALSE)</f>
        <v>23.27</v>
      </c>
      <c r="Z494" s="298">
        <f>(Y494/U494)+Start!$D$19*(VLOOKUP(Q494,Start!$M$33:$N$39,2,FALSE)/U494)+VLOOKUP(R494,Start!$C$33:$D$40,2,FALSE)</f>
        <v>69.651207729468595</v>
      </c>
      <c r="AA494" s="234"/>
      <c r="AB494" s="278"/>
    </row>
    <row r="495" spans="2:28" ht="18.75" customHeight="1" x14ac:dyDescent="0.3">
      <c r="B495" s="229"/>
      <c r="C495" s="289" t="s">
        <v>2485</v>
      </c>
      <c r="D495" s="299" t="s">
        <v>1705</v>
      </c>
      <c r="E495" s="300" t="s">
        <v>1706</v>
      </c>
      <c r="F495" s="132" t="s">
        <v>1707</v>
      </c>
      <c r="G495" s="311">
        <v>39576</v>
      </c>
      <c r="H495" s="312" t="s">
        <v>1708</v>
      </c>
      <c r="I495" s="132" t="s">
        <v>1709</v>
      </c>
      <c r="J495" s="301" t="s">
        <v>38</v>
      </c>
      <c r="K495" s="300"/>
      <c r="L495" s="304" t="s">
        <v>2264</v>
      </c>
      <c r="M495" s="300" t="s">
        <v>47</v>
      </c>
      <c r="N495" s="132" t="s">
        <v>1710</v>
      </c>
      <c r="O495" s="300" t="s">
        <v>1711</v>
      </c>
      <c r="P495" s="314" t="s">
        <v>7</v>
      </c>
      <c r="Q495" s="300" t="s">
        <v>7</v>
      </c>
      <c r="R495" s="300" t="s">
        <v>226</v>
      </c>
      <c r="S495" s="300" t="s">
        <v>1981</v>
      </c>
      <c r="T495" s="300" t="s">
        <v>2458</v>
      </c>
      <c r="U495" s="303">
        <v>0.37840000000000001</v>
      </c>
      <c r="V495" s="300" t="s">
        <v>2458</v>
      </c>
      <c r="W495" s="315">
        <v>22</v>
      </c>
      <c r="X495" s="297">
        <f>(1-VLOOKUP(R495,Start!$H$33:$I$40,2,FALSE)/100)*W495</f>
        <v>19.580000000000002</v>
      </c>
      <c r="Y495" s="297">
        <f>VLOOKUP(Q495,Start!$C$9:$D$15,2,FALSE)+VLOOKUP(Q495,Start!$C$23:$D$29,2,FALSE)</f>
        <v>23.27</v>
      </c>
      <c r="Z495" s="298">
        <f>(Y495/U495)+Start!$D$19*(VLOOKUP(Q495,Start!$M$33:$N$39,2,FALSE)/U495)+VLOOKUP(R495,Start!$C$33:$D$40,2,FALSE)</f>
        <v>76.062896405919659</v>
      </c>
      <c r="AA495" s="234"/>
      <c r="AB495" s="278"/>
    </row>
    <row r="496" spans="2:28" ht="18.75" customHeight="1" x14ac:dyDescent="0.3">
      <c r="B496" s="229"/>
      <c r="C496" s="289" t="s">
        <v>2485</v>
      </c>
      <c r="D496" s="299" t="s">
        <v>901</v>
      </c>
      <c r="E496" s="300" t="s">
        <v>902</v>
      </c>
      <c r="F496" s="300" t="s">
        <v>903</v>
      </c>
      <c r="G496" s="311">
        <v>50354</v>
      </c>
      <c r="H496" s="312" t="s">
        <v>904</v>
      </c>
      <c r="I496" s="300" t="s">
        <v>905</v>
      </c>
      <c r="J496" s="301" t="s">
        <v>19</v>
      </c>
      <c r="K496" s="300"/>
      <c r="L496" s="304" t="s">
        <v>2042</v>
      </c>
      <c r="M496" s="300" t="s">
        <v>47</v>
      </c>
      <c r="N496" s="300" t="s">
        <v>6</v>
      </c>
      <c r="O496" s="300" t="s">
        <v>104</v>
      </c>
      <c r="P496" s="132" t="s">
        <v>6</v>
      </c>
      <c r="Q496" s="300" t="s">
        <v>6</v>
      </c>
      <c r="R496" s="300" t="s">
        <v>6</v>
      </c>
      <c r="S496" s="300" t="s">
        <v>1981</v>
      </c>
      <c r="T496" s="300" t="s">
        <v>2458</v>
      </c>
      <c r="U496" s="303">
        <v>0.33</v>
      </c>
      <c r="V496" s="300" t="s">
        <v>2458</v>
      </c>
      <c r="W496" s="315">
        <v>33.4</v>
      </c>
      <c r="X496" s="297">
        <f>(1-VLOOKUP(R496,Start!$H$33:$I$40,2,FALSE)/100)*W496</f>
        <v>28.389999999999997</v>
      </c>
      <c r="Y496" s="297">
        <f>VLOOKUP(Q496,Start!$C$9:$D$15,2,FALSE)+VLOOKUP(Q496,Start!$C$23:$D$29,2,FALSE)</f>
        <v>0</v>
      </c>
      <c r="Z496" s="298">
        <f>(Y496/U496)+Start!$D$19*(VLOOKUP(Q496,Start!$M$33:$N$39,2,FALSE)/U496)+VLOOKUP(R496,Start!$C$33:$D$40,2,FALSE)</f>
        <v>1</v>
      </c>
      <c r="AA496" s="234"/>
      <c r="AB496" s="278"/>
    </row>
    <row r="497" spans="2:28" ht="18.75" customHeight="1" x14ac:dyDescent="0.3">
      <c r="B497" s="229"/>
      <c r="C497" s="289" t="s">
        <v>2485</v>
      </c>
      <c r="D497" s="299" t="s">
        <v>684</v>
      </c>
      <c r="E497" s="300" t="s">
        <v>685</v>
      </c>
      <c r="F497" s="300" t="s">
        <v>686</v>
      </c>
      <c r="G497" s="311">
        <v>36039</v>
      </c>
      <c r="H497" s="312" t="s">
        <v>687</v>
      </c>
      <c r="I497" s="300" t="s">
        <v>688</v>
      </c>
      <c r="J497" s="301" t="s">
        <v>105</v>
      </c>
      <c r="K497" s="300"/>
      <c r="L497" s="304" t="s">
        <v>2175</v>
      </c>
      <c r="M497" s="300" t="s">
        <v>7</v>
      </c>
      <c r="N497" s="300"/>
      <c r="O497" s="300"/>
      <c r="P497" s="300" t="s">
        <v>7</v>
      </c>
      <c r="Q497" s="300" t="s">
        <v>7</v>
      </c>
      <c r="R497" s="300" t="s">
        <v>226</v>
      </c>
      <c r="S497" s="300" t="s">
        <v>1981</v>
      </c>
      <c r="T497" s="300" t="s">
        <v>2458</v>
      </c>
      <c r="U497" s="303">
        <v>0.3982</v>
      </c>
      <c r="V497" s="300" t="s">
        <v>2458</v>
      </c>
      <c r="W497" s="315">
        <v>26.2</v>
      </c>
      <c r="X497" s="297">
        <f>(1-VLOOKUP(R497,Start!$H$33:$I$40,2,FALSE)/100)*W497</f>
        <v>23.318000000000001</v>
      </c>
      <c r="Y497" s="297">
        <f>VLOOKUP(Q497,Start!$C$9:$D$15,2,FALSE)+VLOOKUP(Q497,Start!$C$23:$D$29,2,FALSE)</f>
        <v>23.27</v>
      </c>
      <c r="Z497" s="298">
        <f>(Y497/U497)+Start!$D$19*(VLOOKUP(Q497,Start!$M$33:$N$39,2,FALSE)/U497)+VLOOKUP(R497,Start!$C$33:$D$40,2,FALSE)</f>
        <v>72.355349070818676</v>
      </c>
      <c r="AA497" s="234"/>
      <c r="AB497" s="278"/>
    </row>
    <row r="498" spans="2:28" ht="18.75" customHeight="1" x14ac:dyDescent="0.3">
      <c r="B498" s="229"/>
      <c r="C498" s="289" t="s">
        <v>2485</v>
      </c>
      <c r="D498" s="299" t="s">
        <v>689</v>
      </c>
      <c r="E498" s="300" t="s">
        <v>685</v>
      </c>
      <c r="F498" s="300" t="s">
        <v>690</v>
      </c>
      <c r="G498" s="311">
        <v>36039</v>
      </c>
      <c r="H498" s="312" t="s">
        <v>687</v>
      </c>
      <c r="I498" s="300" t="s">
        <v>688</v>
      </c>
      <c r="J498" s="301" t="s">
        <v>105</v>
      </c>
      <c r="K498" s="300"/>
      <c r="L498" s="304" t="s">
        <v>2176</v>
      </c>
      <c r="M498" s="300" t="s">
        <v>7</v>
      </c>
      <c r="N498" s="300"/>
      <c r="O498" s="300"/>
      <c r="P498" s="300" t="s">
        <v>7</v>
      </c>
      <c r="Q498" s="300" t="s">
        <v>7</v>
      </c>
      <c r="R498" s="300" t="s">
        <v>226</v>
      </c>
      <c r="S498" s="300" t="s">
        <v>1981</v>
      </c>
      <c r="T498" s="300" t="s">
        <v>2458</v>
      </c>
      <c r="U498" s="303">
        <v>0.36520000000000002</v>
      </c>
      <c r="V498" s="300" t="s">
        <v>2458</v>
      </c>
      <c r="W498" s="315">
        <v>7.48</v>
      </c>
      <c r="X498" s="297">
        <f>(1-VLOOKUP(R498,Start!$H$33:$I$40,2,FALSE)/100)*W498</f>
        <v>6.6572000000000005</v>
      </c>
      <c r="Y498" s="297">
        <f>VLOOKUP(Q498,Start!$C$9:$D$15,2,FALSE)+VLOOKUP(Q498,Start!$C$23:$D$29,2,FALSE)</f>
        <v>23.27</v>
      </c>
      <c r="Z498" s="298">
        <f>(Y498/U498)+Start!$D$19*(VLOOKUP(Q498,Start!$M$33:$N$39,2,FALSE)/U498)+VLOOKUP(R498,Start!$C$33:$D$40,2,FALSE)</f>
        <v>78.757940854326392</v>
      </c>
      <c r="AA498" s="234"/>
      <c r="AB498" s="278"/>
    </row>
    <row r="499" spans="2:28" ht="18.75" customHeight="1" x14ac:dyDescent="0.3">
      <c r="B499" s="229"/>
      <c r="C499" s="289" t="s">
        <v>2485</v>
      </c>
      <c r="D499" s="299" t="s">
        <v>1076</v>
      </c>
      <c r="E499" s="317" t="s">
        <v>1077</v>
      </c>
      <c r="F499" s="303" t="s">
        <v>1078</v>
      </c>
      <c r="G499" s="308">
        <v>47804</v>
      </c>
      <c r="H499" s="303" t="s">
        <v>1059</v>
      </c>
      <c r="I499" s="303"/>
      <c r="J499" s="306" t="s">
        <v>19</v>
      </c>
      <c r="K499" s="303"/>
      <c r="L499" s="304" t="s">
        <v>2067</v>
      </c>
      <c r="M499" s="303" t="s">
        <v>7</v>
      </c>
      <c r="N499" s="303"/>
      <c r="O499" s="303"/>
      <c r="P499" s="303" t="s">
        <v>7</v>
      </c>
      <c r="Q499" s="300" t="s">
        <v>7</v>
      </c>
      <c r="R499" s="300" t="s">
        <v>226</v>
      </c>
      <c r="S499" s="300" t="s">
        <v>1981</v>
      </c>
      <c r="T499" s="300" t="s">
        <v>2458</v>
      </c>
      <c r="U499" s="303">
        <v>0.39710000000000001</v>
      </c>
      <c r="V499" s="300" t="s">
        <v>2458</v>
      </c>
      <c r="W499" s="297">
        <v>12.6</v>
      </c>
      <c r="X499" s="297">
        <f>(1-VLOOKUP(R499,Start!$H$33:$I$40,2,FALSE)/100)*W499</f>
        <v>11.214</v>
      </c>
      <c r="Y499" s="297">
        <f>VLOOKUP(Q499,Start!$C$9:$D$15,2,FALSE)+VLOOKUP(Q499,Start!$C$23:$D$29,2,FALSE)</f>
        <v>23.27</v>
      </c>
      <c r="Z499" s="298">
        <f>(Y499/U499)+Start!$D$19*(VLOOKUP(Q499,Start!$M$33:$N$39,2,FALSE)/U499)+VLOOKUP(R499,Start!$C$33:$D$40,2,FALSE)</f>
        <v>72.551624276001007</v>
      </c>
      <c r="AA499" s="234"/>
      <c r="AB499" s="278"/>
    </row>
    <row r="500" spans="2:28" ht="18.75" customHeight="1" x14ac:dyDescent="0.3">
      <c r="B500" s="229"/>
      <c r="C500" s="289" t="s">
        <v>2485</v>
      </c>
      <c r="D500" s="299" t="s">
        <v>511</v>
      </c>
      <c r="E500" s="300" t="s">
        <v>512</v>
      </c>
      <c r="F500" s="300" t="s">
        <v>513</v>
      </c>
      <c r="G500" s="311">
        <v>40476</v>
      </c>
      <c r="H500" s="312" t="s">
        <v>495</v>
      </c>
      <c r="I500" s="300" t="s">
        <v>514</v>
      </c>
      <c r="J500" s="301" t="s">
        <v>19</v>
      </c>
      <c r="K500" s="300"/>
      <c r="L500" s="304" t="s">
        <v>2159</v>
      </c>
      <c r="M500" s="300" t="s">
        <v>7</v>
      </c>
      <c r="N500" s="300"/>
      <c r="O500" s="300"/>
      <c r="P500" s="300" t="s">
        <v>7</v>
      </c>
      <c r="Q500" s="300" t="s">
        <v>7</v>
      </c>
      <c r="R500" s="300" t="s">
        <v>226</v>
      </c>
      <c r="S500" s="300" t="s">
        <v>1981</v>
      </c>
      <c r="T500" s="300" t="s">
        <v>2458</v>
      </c>
      <c r="U500" s="303">
        <v>0.3982</v>
      </c>
      <c r="V500" s="300" t="s">
        <v>2458</v>
      </c>
      <c r="W500" s="315">
        <v>21.1</v>
      </c>
      <c r="X500" s="297">
        <f>(1-VLOOKUP(R500,Start!$H$33:$I$40,2,FALSE)/100)*W500</f>
        <v>18.779</v>
      </c>
      <c r="Y500" s="297">
        <f>VLOOKUP(Q500,Start!$C$9:$D$15,2,FALSE)+VLOOKUP(Q500,Start!$C$23:$D$29,2,FALSE)</f>
        <v>23.27</v>
      </c>
      <c r="Z500" s="298">
        <f>(Y500/U500)+Start!$D$19*(VLOOKUP(Q500,Start!$M$33:$N$39,2,FALSE)/U500)+VLOOKUP(R500,Start!$C$33:$D$40,2,FALSE)</f>
        <v>72.355349070818676</v>
      </c>
      <c r="AA500" s="234"/>
      <c r="AB500" s="278"/>
    </row>
    <row r="501" spans="2:28" ht="18.75" customHeight="1" x14ac:dyDescent="0.3">
      <c r="B501" s="229"/>
      <c r="C501" s="289" t="s">
        <v>2485</v>
      </c>
      <c r="D501" s="299" t="s">
        <v>1867</v>
      </c>
      <c r="E501" s="300" t="s">
        <v>512</v>
      </c>
      <c r="F501" s="300" t="s">
        <v>1868</v>
      </c>
      <c r="G501" s="311">
        <v>76742</v>
      </c>
      <c r="H501" s="312" t="s">
        <v>1869</v>
      </c>
      <c r="I501" s="132" t="s">
        <v>1870</v>
      </c>
      <c r="J501" s="301" t="s">
        <v>37</v>
      </c>
      <c r="K501" s="300"/>
      <c r="L501" s="304" t="s">
        <v>2277</v>
      </c>
      <c r="M501" s="300" t="s">
        <v>7</v>
      </c>
      <c r="N501" s="132"/>
      <c r="O501" s="300"/>
      <c r="P501" s="303" t="s">
        <v>7</v>
      </c>
      <c r="Q501" s="300" t="s">
        <v>7</v>
      </c>
      <c r="R501" s="300" t="s">
        <v>226</v>
      </c>
      <c r="S501" s="300" t="s">
        <v>1981</v>
      </c>
      <c r="T501" s="300" t="s">
        <v>2458</v>
      </c>
      <c r="U501" s="332">
        <v>0.39929999999999999</v>
      </c>
      <c r="V501" s="300" t="s">
        <v>2458</v>
      </c>
      <c r="W501" s="315">
        <v>13.04</v>
      </c>
      <c r="X501" s="297">
        <f>(1-VLOOKUP(R501,Start!$H$33:$I$40,2,FALSE)/100)*W501</f>
        <v>11.605599999999999</v>
      </c>
      <c r="Y501" s="297">
        <f>VLOOKUP(Q501,Start!$C$9:$D$15,2,FALSE)+VLOOKUP(Q501,Start!$C$23:$D$29,2,FALSE)</f>
        <v>23.27</v>
      </c>
      <c r="Z501" s="298">
        <f>(Y501/U501)+Start!$D$19*(VLOOKUP(Q501,Start!$M$33:$N$39,2,FALSE)/U501)+VLOOKUP(R501,Start!$C$33:$D$40,2,FALSE)</f>
        <v>72.160155271725515</v>
      </c>
      <c r="AA501" s="234"/>
      <c r="AB501" s="278"/>
    </row>
    <row r="502" spans="2:28" ht="18.75" customHeight="1" x14ac:dyDescent="0.3">
      <c r="B502" s="229"/>
      <c r="C502" s="289" t="s">
        <v>2485</v>
      </c>
      <c r="D502" s="299" t="s">
        <v>531</v>
      </c>
      <c r="E502" s="300" t="s">
        <v>532</v>
      </c>
      <c r="F502" s="300" t="s">
        <v>533</v>
      </c>
      <c r="G502" s="311">
        <v>99817</v>
      </c>
      <c r="H502" s="312" t="s">
        <v>534</v>
      </c>
      <c r="I502" s="300" t="s">
        <v>535</v>
      </c>
      <c r="J502" s="301" t="s">
        <v>77</v>
      </c>
      <c r="K502" s="300"/>
      <c r="L502" s="304" t="s">
        <v>2162</v>
      </c>
      <c r="M502" s="300" t="s">
        <v>47</v>
      </c>
      <c r="N502" s="300" t="s">
        <v>7</v>
      </c>
      <c r="O502" s="300" t="s">
        <v>377</v>
      </c>
      <c r="P502" s="300" t="s">
        <v>7</v>
      </c>
      <c r="Q502" s="300" t="s">
        <v>7</v>
      </c>
      <c r="R502" s="300" t="s">
        <v>226</v>
      </c>
      <c r="S502" s="300" t="s">
        <v>1981</v>
      </c>
      <c r="T502" s="300" t="s">
        <v>2458</v>
      </c>
      <c r="U502" s="303">
        <v>0.37730000000000002</v>
      </c>
      <c r="V502" s="300" t="s">
        <v>2458</v>
      </c>
      <c r="W502" s="315">
        <v>22.1</v>
      </c>
      <c r="X502" s="297">
        <f>(1-VLOOKUP(R502,Start!$H$33:$I$40,2,FALSE)/100)*W502</f>
        <v>19.669</v>
      </c>
      <c r="Y502" s="297">
        <f>VLOOKUP(Q502,Start!$C$9:$D$15,2,FALSE)+VLOOKUP(Q502,Start!$C$23:$D$29,2,FALSE)</f>
        <v>23.27</v>
      </c>
      <c r="Z502" s="298">
        <f>(Y502/U502)+Start!$D$19*(VLOOKUP(Q502,Start!$M$33:$N$39,2,FALSE)/U502)+VLOOKUP(R502,Start!$C$33:$D$40,2,FALSE)</f>
        <v>76.280280943546245</v>
      </c>
      <c r="AA502" s="234"/>
      <c r="AB502" s="278"/>
    </row>
    <row r="503" spans="2:28" ht="18.75" customHeight="1" x14ac:dyDescent="0.3">
      <c r="B503" s="229"/>
      <c r="C503" s="289" t="s">
        <v>2485</v>
      </c>
      <c r="D503" s="299" t="s">
        <v>106</v>
      </c>
      <c r="E503" s="300" t="s">
        <v>107</v>
      </c>
      <c r="F503" s="132"/>
      <c r="G503" s="311">
        <v>55543</v>
      </c>
      <c r="H503" s="312" t="s">
        <v>108</v>
      </c>
      <c r="I503" s="132" t="s">
        <v>109</v>
      </c>
      <c r="J503" s="301" t="s">
        <v>37</v>
      </c>
      <c r="K503" s="300"/>
      <c r="L503" s="304" t="s">
        <v>1985</v>
      </c>
      <c r="M503" s="300" t="s">
        <v>7</v>
      </c>
      <c r="N503" s="132"/>
      <c r="O503" s="300"/>
      <c r="P503" s="314" t="s">
        <v>7</v>
      </c>
      <c r="Q503" s="300" t="s">
        <v>7</v>
      </c>
      <c r="R503" s="300" t="s">
        <v>226</v>
      </c>
      <c r="S503" s="300" t="s">
        <v>1986</v>
      </c>
      <c r="T503" s="300" t="s">
        <v>2460</v>
      </c>
      <c r="U503" s="303">
        <v>0.442</v>
      </c>
      <c r="V503" s="303" t="s">
        <v>2461</v>
      </c>
      <c r="W503" s="315">
        <v>10.7</v>
      </c>
      <c r="X503" s="297">
        <f>(1-VLOOKUP(R503,Start!$H$33:$I$40,2,FALSE)/100)*W503</f>
        <v>9.5229999999999997</v>
      </c>
      <c r="Y503" s="297">
        <f>VLOOKUP(Q503,Start!$C$9:$D$15,2,FALSE)+VLOOKUP(Q503,Start!$C$23:$D$29,2,FALSE)</f>
        <v>23.27</v>
      </c>
      <c r="Z503" s="298">
        <f>(Y503/U503)+Start!$D$19*(VLOOKUP(Q503,Start!$M$33:$N$39,2,FALSE)/U503)+VLOOKUP(R503,Start!$C$33:$D$40,2,FALSE)</f>
        <v>65.333936651583713</v>
      </c>
      <c r="AA503" s="234"/>
      <c r="AB503" s="278"/>
    </row>
    <row r="504" spans="2:28" ht="18.75" customHeight="1" x14ac:dyDescent="0.3">
      <c r="B504" s="229"/>
      <c r="C504" s="289" t="s">
        <v>2485</v>
      </c>
      <c r="D504" s="299" t="s">
        <v>1217</v>
      </c>
      <c r="E504" s="300" t="s">
        <v>1218</v>
      </c>
      <c r="F504" s="300" t="s">
        <v>1219</v>
      </c>
      <c r="G504" s="302">
        <v>44536</v>
      </c>
      <c r="H504" s="300" t="s">
        <v>1216</v>
      </c>
      <c r="I504" s="300" t="s">
        <v>1220</v>
      </c>
      <c r="J504" s="306" t="s">
        <v>19</v>
      </c>
      <c r="K504" s="300"/>
      <c r="L504" s="304" t="s">
        <v>2028</v>
      </c>
      <c r="M504" s="300" t="s">
        <v>3</v>
      </c>
      <c r="N504" s="300" t="s">
        <v>3</v>
      </c>
      <c r="O504" s="300"/>
      <c r="P504" s="300" t="s">
        <v>3</v>
      </c>
      <c r="Q504" s="300" t="s">
        <v>3</v>
      </c>
      <c r="R504" s="300" t="s">
        <v>3</v>
      </c>
      <c r="S504" s="300" t="s">
        <v>1981</v>
      </c>
      <c r="T504" s="300" t="s">
        <v>2458</v>
      </c>
      <c r="U504" s="303">
        <v>0.45750000000000002</v>
      </c>
      <c r="V504" s="300" t="s">
        <v>2458</v>
      </c>
      <c r="W504" s="307">
        <v>735</v>
      </c>
      <c r="X504" s="297">
        <f>(1-VLOOKUP(R504,Start!$H$33:$I$40,2,FALSE)/100)*W504</f>
        <v>573.30000000000007</v>
      </c>
      <c r="Y504" s="297">
        <f>VLOOKUP(Q504,Start!$C$9:$D$15,2,FALSE)+VLOOKUP(Q504,Start!$C$23:$D$29,2,FALSE)</f>
        <v>12.53</v>
      </c>
      <c r="Z504" s="298">
        <f>(Y504/U504)+Start!$D$19*(VLOOKUP(Q504,Start!$M$33:$N$39,2,FALSE)/U504)+VLOOKUP(R504,Start!$C$33:$D$40,2,FALSE)</f>
        <v>46.808633879781411</v>
      </c>
      <c r="AA504" s="234"/>
      <c r="AB504" s="278"/>
    </row>
    <row r="505" spans="2:28" ht="18.75" customHeight="1" x14ac:dyDescent="0.3">
      <c r="B505" s="229"/>
      <c r="C505" s="289" t="s">
        <v>2485</v>
      </c>
      <c r="D505" s="305" t="s">
        <v>1175</v>
      </c>
      <c r="E505" s="300" t="s">
        <v>1176</v>
      </c>
      <c r="F505" s="300" t="s">
        <v>1177</v>
      </c>
      <c r="G505" s="302">
        <v>49808</v>
      </c>
      <c r="H505" s="300" t="s">
        <v>1166</v>
      </c>
      <c r="I505" s="300" t="s">
        <v>1178</v>
      </c>
      <c r="J505" s="306" t="s">
        <v>22</v>
      </c>
      <c r="K505" s="300"/>
      <c r="L505" s="304" t="s">
        <v>2083</v>
      </c>
      <c r="M505" s="300" t="s">
        <v>7</v>
      </c>
      <c r="N505" s="300"/>
      <c r="O505" s="300"/>
      <c r="P505" s="300" t="s">
        <v>7</v>
      </c>
      <c r="Q505" s="300" t="s">
        <v>7</v>
      </c>
      <c r="R505" s="300" t="s">
        <v>226</v>
      </c>
      <c r="S505" s="300" t="s">
        <v>1981</v>
      </c>
      <c r="T505" s="300" t="s">
        <v>2458</v>
      </c>
      <c r="U505" s="303">
        <v>0.38059999999999999</v>
      </c>
      <c r="V505" s="300" t="s">
        <v>2458</v>
      </c>
      <c r="W505" s="307">
        <v>66</v>
      </c>
      <c r="X505" s="297">
        <f>(1-VLOOKUP(R505,Start!$H$33:$I$40,2,FALSE)/100)*W505</f>
        <v>58.74</v>
      </c>
      <c r="Y505" s="297">
        <f>VLOOKUP(Q505,Start!$C$9:$D$15,2,FALSE)+VLOOKUP(Q505,Start!$C$23:$D$29,2,FALSE)</f>
        <v>23.27</v>
      </c>
      <c r="Z505" s="298">
        <f>(Y505/U505)+Start!$D$19*(VLOOKUP(Q505,Start!$M$33:$N$39,2,FALSE)/U505)+VLOOKUP(R505,Start!$C$33:$D$40,2,FALSE)</f>
        <v>75.631897004729382</v>
      </c>
      <c r="AA505" s="234"/>
      <c r="AB505" s="278"/>
    </row>
    <row r="506" spans="2:28" ht="18.75" customHeight="1" x14ac:dyDescent="0.3">
      <c r="B506" s="229"/>
      <c r="C506" s="289" t="s">
        <v>2485</v>
      </c>
      <c r="D506" s="299" t="s">
        <v>1661</v>
      </c>
      <c r="E506" s="300" t="s">
        <v>1662</v>
      </c>
      <c r="F506" s="300" t="s">
        <v>1663</v>
      </c>
      <c r="G506" s="311">
        <v>3130</v>
      </c>
      <c r="H506" s="312" t="s">
        <v>1664</v>
      </c>
      <c r="I506" s="313" t="s">
        <v>1665</v>
      </c>
      <c r="J506" s="306" t="s">
        <v>24</v>
      </c>
      <c r="K506" s="300"/>
      <c r="L506" s="304" t="s">
        <v>2028</v>
      </c>
      <c r="M506" s="300" t="s">
        <v>6</v>
      </c>
      <c r="N506" s="300"/>
      <c r="O506" s="313"/>
      <c r="P506" s="314" t="s">
        <v>6</v>
      </c>
      <c r="Q506" s="300" t="s">
        <v>6</v>
      </c>
      <c r="R506" s="300" t="s">
        <v>6</v>
      </c>
      <c r="S506" s="300" t="s">
        <v>1981</v>
      </c>
      <c r="T506" s="300" t="s">
        <v>2458</v>
      </c>
      <c r="U506" s="303">
        <v>0.33</v>
      </c>
      <c r="V506" s="300" t="s">
        <v>2458</v>
      </c>
      <c r="W506" s="315">
        <v>18.7</v>
      </c>
      <c r="X506" s="297">
        <f>(1-VLOOKUP(R506,Start!$H$33:$I$40,2,FALSE)/100)*W506</f>
        <v>15.895</v>
      </c>
      <c r="Y506" s="297">
        <f>VLOOKUP(Q506,Start!$C$9:$D$15,2,FALSE)+VLOOKUP(Q506,Start!$C$23:$D$29,2,FALSE)</f>
        <v>0</v>
      </c>
      <c r="Z506" s="298">
        <f>(Y506/U506)+Start!$D$19*(VLOOKUP(Q506,Start!$M$33:$N$39,2,FALSE)/U506)+VLOOKUP(R506,Start!$C$33:$D$40,2,FALSE)</f>
        <v>1</v>
      </c>
      <c r="AA506" s="234"/>
      <c r="AB506" s="278"/>
    </row>
    <row r="507" spans="2:28" ht="18.75" customHeight="1" x14ac:dyDescent="0.3">
      <c r="B507" s="229"/>
      <c r="C507" s="289" t="s">
        <v>2485</v>
      </c>
      <c r="D507" s="299" t="s">
        <v>482</v>
      </c>
      <c r="E507" s="300" t="s">
        <v>483</v>
      </c>
      <c r="F507" s="300" t="s">
        <v>484</v>
      </c>
      <c r="G507" s="302">
        <v>52355</v>
      </c>
      <c r="H507" s="300" t="s">
        <v>485</v>
      </c>
      <c r="I507" s="300" t="s">
        <v>486</v>
      </c>
      <c r="J507" s="306" t="s">
        <v>19</v>
      </c>
      <c r="K507" s="300"/>
      <c r="L507" s="304" t="s">
        <v>2085</v>
      </c>
      <c r="M507" s="300" t="s">
        <v>2</v>
      </c>
      <c r="N507" s="300" t="s">
        <v>487</v>
      </c>
      <c r="O507" s="300" t="s">
        <v>488</v>
      </c>
      <c r="P507" s="300" t="s">
        <v>2</v>
      </c>
      <c r="Q507" s="300" t="s">
        <v>2</v>
      </c>
      <c r="R507" s="300" t="s">
        <v>2</v>
      </c>
      <c r="S507" s="300" t="s">
        <v>1981</v>
      </c>
      <c r="T507" s="300" t="s">
        <v>2458</v>
      </c>
      <c r="U507" s="303">
        <v>0.35920000000000002</v>
      </c>
      <c r="V507" s="300" t="s">
        <v>2458</v>
      </c>
      <c r="W507" s="307">
        <v>9.3000000000000007</v>
      </c>
      <c r="X507" s="297">
        <f>(1-VLOOKUP(R507,Start!$H$33:$I$40,2,FALSE)/100)*W507</f>
        <v>8.0910000000000011</v>
      </c>
      <c r="Y507" s="297">
        <f>VLOOKUP(Q507,Start!$C$9:$D$15,2,FALSE)+VLOOKUP(Q507,Start!$C$23:$D$29,2,FALSE)</f>
        <v>3.1</v>
      </c>
      <c r="Z507" s="298">
        <f>(Y507/U507)+Start!$D$19*(VLOOKUP(Q507,Start!$M$33:$N$39,2,FALSE)/U507)+VLOOKUP(R507,Start!$C$33:$D$40,2,FALSE)</f>
        <v>37.998440979955461</v>
      </c>
      <c r="AA507" s="234"/>
      <c r="AB507" s="278"/>
    </row>
    <row r="508" spans="2:28" ht="18.75" customHeight="1" x14ac:dyDescent="0.3">
      <c r="B508" s="229"/>
      <c r="C508" s="289" t="s">
        <v>2485</v>
      </c>
      <c r="D508" s="305" t="s">
        <v>1419</v>
      </c>
      <c r="E508" s="300" t="s">
        <v>1420</v>
      </c>
      <c r="F508" s="300" t="s">
        <v>1421</v>
      </c>
      <c r="G508" s="302">
        <v>67283</v>
      </c>
      <c r="H508" s="300" t="s">
        <v>1422</v>
      </c>
      <c r="I508" s="300" t="s">
        <v>1423</v>
      </c>
      <c r="J508" s="306" t="s">
        <v>37</v>
      </c>
      <c r="K508" s="300"/>
      <c r="L508" s="304" t="s">
        <v>1982</v>
      </c>
      <c r="M508" s="300" t="s">
        <v>7</v>
      </c>
      <c r="N508" s="300"/>
      <c r="O508" s="300" t="s">
        <v>1424</v>
      </c>
      <c r="P508" s="300" t="s">
        <v>7</v>
      </c>
      <c r="Q508" s="300" t="s">
        <v>7</v>
      </c>
      <c r="R508" s="300" t="s">
        <v>226</v>
      </c>
      <c r="S508" s="300" t="s">
        <v>1981</v>
      </c>
      <c r="T508" s="300" t="s">
        <v>2458</v>
      </c>
      <c r="U508" s="303">
        <v>0.34210000000000002</v>
      </c>
      <c r="V508" s="300" t="s">
        <v>2458</v>
      </c>
      <c r="W508" s="307">
        <v>30</v>
      </c>
      <c r="X508" s="297">
        <f>(1-VLOOKUP(R508,Start!$H$33:$I$40,2,FALSE)/100)*W508</f>
        <v>26.7</v>
      </c>
      <c r="Y508" s="297">
        <f>VLOOKUP(Q508,Start!$C$9:$D$15,2,FALSE)+VLOOKUP(Q508,Start!$C$23:$D$29,2,FALSE)</f>
        <v>23.27</v>
      </c>
      <c r="Z508" s="298">
        <f>(Y508/U508)+Start!$D$19*(VLOOKUP(Q508,Start!$M$33:$N$39,2,FALSE)/U508)+VLOOKUP(R508,Start!$C$33:$D$40,2,FALSE)</f>
        <v>83.974714995615301</v>
      </c>
      <c r="AA508" s="234"/>
      <c r="AB508" s="278"/>
    </row>
    <row r="509" spans="2:28" ht="18.75" customHeight="1" x14ac:dyDescent="0.3">
      <c r="B509" s="229"/>
      <c r="C509" s="289" t="s">
        <v>2485</v>
      </c>
      <c r="D509" s="299" t="s">
        <v>1846</v>
      </c>
      <c r="E509" s="300" t="s">
        <v>1847</v>
      </c>
      <c r="F509" s="132" t="s">
        <v>1848</v>
      </c>
      <c r="G509" s="311">
        <v>65205</v>
      </c>
      <c r="H509" s="312" t="s">
        <v>1849</v>
      </c>
      <c r="I509" s="132" t="s">
        <v>1850</v>
      </c>
      <c r="J509" s="301" t="s">
        <v>105</v>
      </c>
      <c r="K509" s="300"/>
      <c r="L509" s="304" t="s">
        <v>2384</v>
      </c>
      <c r="M509" s="300" t="s">
        <v>6</v>
      </c>
      <c r="N509" s="132" t="s">
        <v>805</v>
      </c>
      <c r="O509" s="300" t="s">
        <v>1851</v>
      </c>
      <c r="P509" s="314" t="s">
        <v>6</v>
      </c>
      <c r="Q509" s="300" t="s">
        <v>6</v>
      </c>
      <c r="R509" s="300" t="s">
        <v>6</v>
      </c>
      <c r="S509" s="300" t="s">
        <v>1981</v>
      </c>
      <c r="T509" s="300" t="s">
        <v>2458</v>
      </c>
      <c r="U509" s="303">
        <v>0.33</v>
      </c>
      <c r="V509" s="300" t="s">
        <v>2458</v>
      </c>
      <c r="W509" s="315">
        <v>10.5</v>
      </c>
      <c r="X509" s="297">
        <f>(1-VLOOKUP(R509,Start!$H$33:$I$40,2,FALSE)/100)*W509</f>
        <v>8.9249999999999989</v>
      </c>
      <c r="Y509" s="297">
        <f>VLOOKUP(Q509,Start!$C$9:$D$15,2,FALSE)+VLOOKUP(Q509,Start!$C$23:$D$29,2,FALSE)</f>
        <v>0</v>
      </c>
      <c r="Z509" s="298">
        <f>(Y509/U509)+Start!$D$19*(VLOOKUP(Q509,Start!$M$33:$N$39,2,FALSE)/U509)+VLOOKUP(R509,Start!$C$33:$D$40,2,FALSE)</f>
        <v>1</v>
      </c>
      <c r="AA509" s="234"/>
      <c r="AB509" s="278"/>
    </row>
    <row r="510" spans="2:28" ht="18.75" customHeight="1" x14ac:dyDescent="0.3">
      <c r="B510" s="229"/>
      <c r="C510" s="289" t="s">
        <v>2485</v>
      </c>
      <c r="D510" s="305" t="s">
        <v>1281</v>
      </c>
      <c r="E510" s="300" t="s">
        <v>1282</v>
      </c>
      <c r="F510" s="300" t="s">
        <v>1283</v>
      </c>
      <c r="G510" s="302">
        <v>56727</v>
      </c>
      <c r="H510" s="300" t="s">
        <v>1284</v>
      </c>
      <c r="I510" s="300" t="s">
        <v>1285</v>
      </c>
      <c r="J510" s="306" t="s">
        <v>37</v>
      </c>
      <c r="K510" s="300" t="s">
        <v>1286</v>
      </c>
      <c r="L510" s="304" t="s">
        <v>2009</v>
      </c>
      <c r="M510" s="300" t="s">
        <v>7</v>
      </c>
      <c r="N510" s="300"/>
      <c r="O510" s="300"/>
      <c r="P510" s="300" t="s">
        <v>7</v>
      </c>
      <c r="Q510" s="300" t="s">
        <v>7</v>
      </c>
      <c r="R510" s="300" t="s">
        <v>226</v>
      </c>
      <c r="S510" s="300" t="s">
        <v>1996</v>
      </c>
      <c r="T510" s="300" t="s">
        <v>2458</v>
      </c>
      <c r="U510" s="303">
        <v>0.504</v>
      </c>
      <c r="V510" s="300" t="s">
        <v>2458</v>
      </c>
      <c r="W510" s="310">
        <v>11.4</v>
      </c>
      <c r="X510" s="297">
        <f>(1-VLOOKUP(R510,Start!$H$33:$I$40,2,FALSE)/100)*W510</f>
        <v>10.146000000000001</v>
      </c>
      <c r="Y510" s="297">
        <f>VLOOKUP(Q510,Start!$C$9:$D$15,2,FALSE)+VLOOKUP(Q510,Start!$C$23:$D$29,2,FALSE)</f>
        <v>23.27</v>
      </c>
      <c r="Z510" s="298">
        <f>(Y510/U510)+Start!$D$19*(VLOOKUP(Q510,Start!$M$33:$N$39,2,FALSE)/U510)+VLOOKUP(R510,Start!$C$33:$D$40,2,FALSE)</f>
        <v>57.481349206349208</v>
      </c>
      <c r="AA510" s="234"/>
      <c r="AB510" s="278"/>
    </row>
    <row r="511" spans="2:28" ht="18.75" customHeight="1" x14ac:dyDescent="0.3">
      <c r="B511" s="229"/>
      <c r="C511" s="289" t="s">
        <v>2485</v>
      </c>
      <c r="D511" s="299" t="s">
        <v>1287</v>
      </c>
      <c r="E511" s="300" t="s">
        <v>1282</v>
      </c>
      <c r="F511" s="300" t="s">
        <v>1283</v>
      </c>
      <c r="G511" s="311">
        <v>56727</v>
      </c>
      <c r="H511" s="312" t="s">
        <v>1284</v>
      </c>
      <c r="I511" s="300" t="s">
        <v>1285</v>
      </c>
      <c r="J511" s="306" t="s">
        <v>37</v>
      </c>
      <c r="K511" s="300" t="s">
        <v>1288</v>
      </c>
      <c r="L511" s="304" t="s">
        <v>2028</v>
      </c>
      <c r="M511" s="300" t="s">
        <v>7</v>
      </c>
      <c r="N511" s="300"/>
      <c r="O511" s="300"/>
      <c r="P511" s="314" t="s">
        <v>7</v>
      </c>
      <c r="Q511" s="300" t="s">
        <v>7</v>
      </c>
      <c r="R511" s="300" t="s">
        <v>226</v>
      </c>
      <c r="S511" s="300" t="s">
        <v>1996</v>
      </c>
      <c r="T511" s="300" t="s">
        <v>2458</v>
      </c>
      <c r="U511" s="303">
        <v>0.59850000000000003</v>
      </c>
      <c r="V511" s="300" t="s">
        <v>2458</v>
      </c>
      <c r="W511" s="315">
        <v>27.4</v>
      </c>
      <c r="X511" s="297">
        <f>(1-VLOOKUP(R511,Start!$H$33:$I$40,2,FALSE)/100)*W511</f>
        <v>24.385999999999999</v>
      </c>
      <c r="Y511" s="297">
        <f>VLOOKUP(Q511,Start!$C$9:$D$15,2,FALSE)+VLOOKUP(Q511,Start!$C$23:$D$29,2,FALSE)</f>
        <v>23.27</v>
      </c>
      <c r="Z511" s="298">
        <f>(Y511/U511)+Start!$D$19*(VLOOKUP(Q511,Start!$M$33:$N$39,2,FALSE)/U511)+VLOOKUP(R511,Start!$C$33:$D$40,2,FALSE)</f>
        <v>48.642188805346699</v>
      </c>
      <c r="AA511" s="234"/>
      <c r="AB511" s="278"/>
    </row>
    <row r="512" spans="2:28" ht="18.75" customHeight="1" x14ac:dyDescent="0.3">
      <c r="B512" s="229"/>
      <c r="C512" s="289" t="s">
        <v>2485</v>
      </c>
      <c r="D512" s="305" t="s">
        <v>1289</v>
      </c>
      <c r="E512" s="300" t="s">
        <v>1282</v>
      </c>
      <c r="F512" s="300" t="s">
        <v>1283</v>
      </c>
      <c r="G512" s="311">
        <v>56727</v>
      </c>
      <c r="H512" s="300" t="s">
        <v>1284</v>
      </c>
      <c r="I512" s="300" t="s">
        <v>1285</v>
      </c>
      <c r="J512" s="301" t="s">
        <v>37</v>
      </c>
      <c r="K512" s="300" t="s">
        <v>1290</v>
      </c>
      <c r="L512" s="304" t="s">
        <v>2009</v>
      </c>
      <c r="M512" s="300" t="s">
        <v>419</v>
      </c>
      <c r="N512" s="132" t="s">
        <v>1291</v>
      </c>
      <c r="O512" s="132"/>
      <c r="P512" s="132" t="s">
        <v>214</v>
      </c>
      <c r="Q512" s="300" t="s">
        <v>7</v>
      </c>
      <c r="R512" s="300" t="s">
        <v>226</v>
      </c>
      <c r="S512" s="300" t="s">
        <v>1981</v>
      </c>
      <c r="T512" s="300" t="s">
        <v>2458</v>
      </c>
      <c r="U512" s="303">
        <v>0.374</v>
      </c>
      <c r="V512" s="303" t="s">
        <v>2461</v>
      </c>
      <c r="W512" s="307">
        <v>10.3</v>
      </c>
      <c r="X512" s="297">
        <f>(1-VLOOKUP(R512,Start!$H$33:$I$40,2,FALSE)/100)*W512</f>
        <v>9.1670000000000016</v>
      </c>
      <c r="Y512" s="297">
        <f>VLOOKUP(Q512,Start!$C$9:$D$15,2,FALSE)+VLOOKUP(Q512,Start!$C$23:$D$29,2,FALSE)</f>
        <v>23.27</v>
      </c>
      <c r="Z512" s="298">
        <f>(Y512/U512)+Start!$D$19*(VLOOKUP(Q512,Start!$M$33:$N$39,2,FALSE)/U512)+VLOOKUP(R512,Start!$C$33:$D$40,2,FALSE)</f>
        <v>76.940106951871655</v>
      </c>
      <c r="AA512" s="234"/>
      <c r="AB512" s="278"/>
    </row>
    <row r="513" spans="2:28" ht="18.75" customHeight="1" x14ac:dyDescent="0.3">
      <c r="B513" s="229"/>
      <c r="C513" s="289" t="s">
        <v>2485</v>
      </c>
      <c r="D513" s="299" t="s">
        <v>255</v>
      </c>
      <c r="E513" s="300" t="s">
        <v>256</v>
      </c>
      <c r="F513" s="132" t="s">
        <v>257</v>
      </c>
      <c r="G513" s="311">
        <v>29699</v>
      </c>
      <c r="H513" s="312" t="s">
        <v>258</v>
      </c>
      <c r="I513" s="132" t="s">
        <v>259</v>
      </c>
      <c r="J513" s="301" t="s">
        <v>22</v>
      </c>
      <c r="K513" s="300"/>
      <c r="L513" s="304" t="s">
        <v>2132</v>
      </c>
      <c r="M513" s="300" t="s">
        <v>7</v>
      </c>
      <c r="N513" s="132"/>
      <c r="O513" s="300"/>
      <c r="P513" s="314" t="s">
        <v>7</v>
      </c>
      <c r="Q513" s="300" t="s">
        <v>7</v>
      </c>
      <c r="R513" s="300" t="s">
        <v>226</v>
      </c>
      <c r="S513" s="300" t="s">
        <v>1981</v>
      </c>
      <c r="T513" s="300" t="s">
        <v>2458</v>
      </c>
      <c r="U513" s="303">
        <v>0.35089999999999999</v>
      </c>
      <c r="V513" s="300" t="s">
        <v>2458</v>
      </c>
      <c r="W513" s="315">
        <v>15.6</v>
      </c>
      <c r="X513" s="297">
        <f>(1-VLOOKUP(R513,Start!$H$33:$I$40,2,FALSE)/100)*W513</f>
        <v>13.884</v>
      </c>
      <c r="Y513" s="297">
        <f>VLOOKUP(Q513,Start!$C$9:$D$15,2,FALSE)+VLOOKUP(Q513,Start!$C$23:$D$29,2,FALSE)</f>
        <v>23.27</v>
      </c>
      <c r="Z513" s="298">
        <f>(Y513/U513)+Start!$D$19*(VLOOKUP(Q513,Start!$M$33:$N$39,2,FALSE)/U513)+VLOOKUP(R513,Start!$C$33:$D$40,2,FALSE)</f>
        <v>81.906383585066962</v>
      </c>
      <c r="AA513" s="234"/>
      <c r="AB513" s="278"/>
    </row>
    <row r="514" spans="2:28" ht="18.75" customHeight="1" x14ac:dyDescent="0.3">
      <c r="B514" s="229"/>
      <c r="C514" s="289" t="s">
        <v>2485</v>
      </c>
      <c r="D514" s="299" t="s">
        <v>863</v>
      </c>
      <c r="E514" s="300" t="s">
        <v>864</v>
      </c>
      <c r="F514" s="300" t="s">
        <v>865</v>
      </c>
      <c r="G514" s="311">
        <v>25770</v>
      </c>
      <c r="H514" s="312" t="s">
        <v>866</v>
      </c>
      <c r="I514" s="132" t="s">
        <v>867</v>
      </c>
      <c r="J514" s="301" t="s">
        <v>27</v>
      </c>
      <c r="K514" s="300"/>
      <c r="L514" s="304" t="s">
        <v>2296</v>
      </c>
      <c r="M514" s="300" t="s">
        <v>47</v>
      </c>
      <c r="N514" s="300" t="s">
        <v>48</v>
      </c>
      <c r="O514" s="300" t="s">
        <v>868</v>
      </c>
      <c r="P514" s="300" t="s">
        <v>48</v>
      </c>
      <c r="Q514" s="300" t="s">
        <v>4</v>
      </c>
      <c r="R514" s="300" t="s">
        <v>4</v>
      </c>
      <c r="S514" s="300" t="s">
        <v>1981</v>
      </c>
      <c r="T514" s="300" t="s">
        <v>2458</v>
      </c>
      <c r="U514" s="303">
        <v>0.34320000000000001</v>
      </c>
      <c r="V514" s="300" t="s">
        <v>2458</v>
      </c>
      <c r="W514" s="315">
        <v>44.5</v>
      </c>
      <c r="X514" s="297">
        <f>(1-VLOOKUP(R514,Start!$H$33:$I$40,2,FALSE)/100)*W514</f>
        <v>37.824999999999996</v>
      </c>
      <c r="Y514" s="297">
        <f>VLOOKUP(Q514,Start!$C$9:$D$15,2,FALSE)+VLOOKUP(Q514,Start!$C$23:$D$29,2,FALSE)</f>
        <v>33.223832923832894</v>
      </c>
      <c r="Z514" s="298">
        <f>(Y514/U514)+Start!$D$19*(VLOOKUP(Q514,Start!$M$33:$N$39,2,FALSE)/U514)+VLOOKUP(R514,Start!$C$33:$D$40,2,FALSE)</f>
        <v>117.87597005778815</v>
      </c>
      <c r="AA514" s="234"/>
      <c r="AB514" s="278"/>
    </row>
    <row r="515" spans="2:28" ht="18.75" customHeight="1" x14ac:dyDescent="0.3">
      <c r="B515" s="229"/>
      <c r="C515" s="289" t="s">
        <v>2485</v>
      </c>
      <c r="D515" s="299" t="s">
        <v>986</v>
      </c>
      <c r="E515" s="300" t="s">
        <v>987</v>
      </c>
      <c r="F515" s="300"/>
      <c r="G515" s="302">
        <v>47906</v>
      </c>
      <c r="H515" s="325" t="s">
        <v>988</v>
      </c>
      <c r="I515" s="300"/>
      <c r="J515" s="306" t="s">
        <v>19</v>
      </c>
      <c r="K515" s="300"/>
      <c r="L515" s="304" t="s">
        <v>2276</v>
      </c>
      <c r="M515" s="300" t="s">
        <v>7</v>
      </c>
      <c r="N515" s="300" t="s">
        <v>989</v>
      </c>
      <c r="O515" s="300" t="s">
        <v>990</v>
      </c>
      <c r="P515" s="314" t="s">
        <v>7</v>
      </c>
      <c r="Q515" s="300" t="s">
        <v>7</v>
      </c>
      <c r="R515" s="300" t="s">
        <v>226</v>
      </c>
      <c r="S515" s="300" t="s">
        <v>1986</v>
      </c>
      <c r="T515" s="300" t="s">
        <v>2468</v>
      </c>
      <c r="U515" s="303">
        <v>0.42799999999999999</v>
      </c>
      <c r="V515" s="303" t="s">
        <v>2461</v>
      </c>
      <c r="W515" s="307">
        <v>13.2</v>
      </c>
      <c r="X515" s="297">
        <f>(1-VLOOKUP(R515,Start!$H$33:$I$40,2,FALSE)/100)*W515</f>
        <v>11.747999999999999</v>
      </c>
      <c r="Y515" s="297">
        <f>VLOOKUP(Q515,Start!$C$9:$D$15,2,FALSE)+VLOOKUP(Q515,Start!$C$23:$D$29,2,FALSE)</f>
        <v>23.27</v>
      </c>
      <c r="Z515" s="298">
        <f>(Y515/U515)+Start!$D$19*(VLOOKUP(Q515,Start!$M$33:$N$39,2,FALSE)/U515)+VLOOKUP(R515,Start!$C$33:$D$40,2,FALSE)</f>
        <v>67.421962616822427</v>
      </c>
      <c r="AA515" s="234"/>
      <c r="AB515" s="278"/>
    </row>
    <row r="516" spans="2:28" ht="18.75" customHeight="1" x14ac:dyDescent="0.3">
      <c r="B516" s="229"/>
      <c r="C516" s="289" t="s">
        <v>2485</v>
      </c>
      <c r="D516" s="299" t="s">
        <v>1182</v>
      </c>
      <c r="E516" s="300" t="s">
        <v>1183</v>
      </c>
      <c r="F516" s="132" t="s">
        <v>1184</v>
      </c>
      <c r="G516" s="311">
        <v>17509</v>
      </c>
      <c r="H516" s="312" t="s">
        <v>1185</v>
      </c>
      <c r="I516" s="132"/>
      <c r="J516" s="301" t="s">
        <v>66</v>
      </c>
      <c r="K516" s="300"/>
      <c r="L516" s="304" t="s">
        <v>2131</v>
      </c>
      <c r="M516" s="300" t="s">
        <v>7</v>
      </c>
      <c r="N516" s="132"/>
      <c r="O516" s="300"/>
      <c r="P516" s="314" t="s">
        <v>7</v>
      </c>
      <c r="Q516" s="300" t="s">
        <v>7</v>
      </c>
      <c r="R516" s="300" t="s">
        <v>226</v>
      </c>
      <c r="S516" s="300" t="s">
        <v>1981</v>
      </c>
      <c r="T516" s="300" t="s">
        <v>2458</v>
      </c>
      <c r="U516" s="303">
        <v>0.39929999999999999</v>
      </c>
      <c r="V516" s="300" t="s">
        <v>2458</v>
      </c>
      <c r="W516" s="315">
        <v>38</v>
      </c>
      <c r="X516" s="297">
        <f>(1-VLOOKUP(R516,Start!$H$33:$I$40,2,FALSE)/100)*W516</f>
        <v>33.82</v>
      </c>
      <c r="Y516" s="297">
        <f>VLOOKUP(Q516,Start!$C$9:$D$15,2,FALSE)+VLOOKUP(Q516,Start!$C$23:$D$29,2,FALSE)</f>
        <v>23.27</v>
      </c>
      <c r="Z516" s="298">
        <f>(Y516/U516)+Start!$D$19*(VLOOKUP(Q516,Start!$M$33:$N$39,2,FALSE)/U516)+VLOOKUP(R516,Start!$C$33:$D$40,2,FALSE)</f>
        <v>72.160155271725515</v>
      </c>
      <c r="AA516" s="234"/>
      <c r="AB516" s="278"/>
    </row>
    <row r="517" spans="2:28" ht="18.75" customHeight="1" x14ac:dyDescent="0.3">
      <c r="B517" s="229"/>
      <c r="C517" s="289" t="s">
        <v>2485</v>
      </c>
      <c r="D517" s="299" t="s">
        <v>671</v>
      </c>
      <c r="E517" s="300" t="s">
        <v>672</v>
      </c>
      <c r="F517" s="300" t="s">
        <v>673</v>
      </c>
      <c r="G517" s="311">
        <v>9599</v>
      </c>
      <c r="H517" s="312" t="s">
        <v>674</v>
      </c>
      <c r="I517" s="300"/>
      <c r="J517" s="341" t="s">
        <v>78</v>
      </c>
      <c r="K517" s="300"/>
      <c r="L517" s="304" t="s">
        <v>2172</v>
      </c>
      <c r="M517" s="300" t="s">
        <v>7</v>
      </c>
      <c r="N517" s="300"/>
      <c r="O517" s="300"/>
      <c r="P517" s="300" t="s">
        <v>7</v>
      </c>
      <c r="Q517" s="300" t="s">
        <v>7</v>
      </c>
      <c r="R517" s="300" t="s">
        <v>226</v>
      </c>
      <c r="S517" s="300" t="s">
        <v>1981</v>
      </c>
      <c r="T517" s="300" t="s">
        <v>2458</v>
      </c>
      <c r="U517" s="332">
        <v>0.39929999999999999</v>
      </c>
      <c r="V517" s="300" t="s">
        <v>2458</v>
      </c>
      <c r="W517" s="315">
        <v>13.382999999999999</v>
      </c>
      <c r="X517" s="297">
        <f>(1-VLOOKUP(R517,Start!$H$33:$I$40,2,FALSE)/100)*W517</f>
        <v>11.910869999999999</v>
      </c>
      <c r="Y517" s="297">
        <f>VLOOKUP(Q517,Start!$C$9:$D$15,2,FALSE)+VLOOKUP(Q517,Start!$C$23:$D$29,2,FALSE)</f>
        <v>23.27</v>
      </c>
      <c r="Z517" s="298">
        <f>(Y517/U517)+Start!$D$19*(VLOOKUP(Q517,Start!$M$33:$N$39,2,FALSE)/U517)+VLOOKUP(R517,Start!$C$33:$D$40,2,FALSE)</f>
        <v>72.160155271725515</v>
      </c>
      <c r="AA517" s="234"/>
      <c r="AB517" s="278"/>
    </row>
    <row r="518" spans="2:28" ht="18.75" customHeight="1" x14ac:dyDescent="0.3">
      <c r="B518" s="229"/>
      <c r="C518" s="289" t="s">
        <v>2485</v>
      </c>
      <c r="D518" s="299" t="s">
        <v>1054</v>
      </c>
      <c r="E518" s="300" t="s">
        <v>1055</v>
      </c>
      <c r="F518" s="300"/>
      <c r="G518" s="311">
        <v>85092</v>
      </c>
      <c r="H518" s="312" t="s">
        <v>1053</v>
      </c>
      <c r="I518" s="300"/>
      <c r="J518" s="306" t="s">
        <v>55</v>
      </c>
      <c r="K518" s="300"/>
      <c r="L518" s="304" t="s">
        <v>2454</v>
      </c>
      <c r="M518" s="300" t="s">
        <v>47</v>
      </c>
      <c r="N518" s="300" t="s">
        <v>1056</v>
      </c>
      <c r="O518" s="300" t="s">
        <v>7</v>
      </c>
      <c r="P518" s="314" t="s">
        <v>214</v>
      </c>
      <c r="Q518" s="300" t="s">
        <v>7</v>
      </c>
      <c r="R518" s="300" t="s">
        <v>226</v>
      </c>
      <c r="S518" s="300" t="s">
        <v>1986</v>
      </c>
      <c r="T518" s="300" t="s">
        <v>2460</v>
      </c>
      <c r="U518" s="303">
        <v>0.45600000000000002</v>
      </c>
      <c r="V518" s="303" t="s">
        <v>2461</v>
      </c>
      <c r="W518" s="315">
        <v>23.3</v>
      </c>
      <c r="X518" s="297">
        <f>(1-VLOOKUP(R518,Start!$H$33:$I$40,2,FALSE)/100)*W518</f>
        <v>20.737000000000002</v>
      </c>
      <c r="Y518" s="297">
        <f>VLOOKUP(Q518,Start!$C$9:$D$15,2,FALSE)+VLOOKUP(Q518,Start!$C$23:$D$29,2,FALSE)</f>
        <v>23.27</v>
      </c>
      <c r="Z518" s="298">
        <f>(Y518/U518)+Start!$D$19*(VLOOKUP(Q518,Start!$M$33:$N$39,2,FALSE)/U518)+VLOOKUP(R518,Start!$C$33:$D$40,2,FALSE)</f>
        <v>63.374122807017542</v>
      </c>
      <c r="AA518" s="234"/>
      <c r="AB518" s="278"/>
    </row>
    <row r="519" spans="2:28" ht="18.75" customHeight="1" x14ac:dyDescent="0.3">
      <c r="B519" s="229"/>
      <c r="C519" s="289" t="s">
        <v>2485</v>
      </c>
      <c r="D519" s="299" t="s">
        <v>1123</v>
      </c>
      <c r="E519" s="300" t="s">
        <v>1124</v>
      </c>
      <c r="F519" s="132"/>
      <c r="G519" s="311">
        <v>1454</v>
      </c>
      <c r="H519" s="312" t="s">
        <v>1125</v>
      </c>
      <c r="I519" s="132" t="s">
        <v>1126</v>
      </c>
      <c r="J519" s="301" t="s">
        <v>78</v>
      </c>
      <c r="K519" s="300"/>
      <c r="L519" s="304" t="s">
        <v>2456</v>
      </c>
      <c r="M519" s="300" t="s">
        <v>7</v>
      </c>
      <c r="N519" s="132" t="s">
        <v>7</v>
      </c>
      <c r="O519" s="300" t="s">
        <v>1127</v>
      </c>
      <c r="P519" s="300" t="s">
        <v>7</v>
      </c>
      <c r="Q519" s="300" t="s">
        <v>7</v>
      </c>
      <c r="R519" s="300" t="s">
        <v>226</v>
      </c>
      <c r="S519" s="300" t="s">
        <v>1981</v>
      </c>
      <c r="T519" s="300" t="s">
        <v>2467</v>
      </c>
      <c r="U519" s="303">
        <v>0.45600000000000002</v>
      </c>
      <c r="V519" s="303" t="s">
        <v>2461</v>
      </c>
      <c r="W519" s="315">
        <v>36</v>
      </c>
      <c r="X519" s="297">
        <f>(1-VLOOKUP(R519,Start!$H$33:$I$40,2,FALSE)/100)*W519</f>
        <v>32.04</v>
      </c>
      <c r="Y519" s="297">
        <f>VLOOKUP(Q519,Start!$C$9:$D$15,2,FALSE)+VLOOKUP(Q519,Start!$C$23:$D$29,2,FALSE)</f>
        <v>23.27</v>
      </c>
      <c r="Z519" s="298">
        <f>(Y519/U519)+Start!$D$19*(VLOOKUP(Q519,Start!$M$33:$N$39,2,FALSE)/U519)+VLOOKUP(R519,Start!$C$33:$D$40,2,FALSE)</f>
        <v>63.374122807017542</v>
      </c>
      <c r="AA519" s="234"/>
      <c r="AB519" s="278"/>
    </row>
    <row r="520" spans="2:28" ht="18.75" customHeight="1" x14ac:dyDescent="0.3">
      <c r="B520" s="229"/>
      <c r="C520" s="289" t="s">
        <v>2485</v>
      </c>
      <c r="D520" s="299" t="s">
        <v>1959</v>
      </c>
      <c r="E520" s="300" t="s">
        <v>1960</v>
      </c>
      <c r="F520" s="300"/>
      <c r="G520" s="304">
        <v>8056</v>
      </c>
      <c r="H520" s="300" t="s">
        <v>1961</v>
      </c>
      <c r="I520" s="300" t="s">
        <v>1962</v>
      </c>
      <c r="J520" s="306" t="s">
        <v>78</v>
      </c>
      <c r="K520" s="300"/>
      <c r="L520" s="304" t="s">
        <v>2447</v>
      </c>
      <c r="M520" s="300" t="s">
        <v>7</v>
      </c>
      <c r="N520" s="300"/>
      <c r="O520" s="300"/>
      <c r="P520" s="300" t="s">
        <v>7</v>
      </c>
      <c r="Q520" s="300" t="s">
        <v>7</v>
      </c>
      <c r="R520" s="300" t="s">
        <v>226</v>
      </c>
      <c r="S520" s="300" t="s">
        <v>1986</v>
      </c>
      <c r="T520" s="300" t="s">
        <v>2465</v>
      </c>
      <c r="U520" s="303">
        <v>0.45600000000000002</v>
      </c>
      <c r="V520" s="303" t="s">
        <v>2461</v>
      </c>
      <c r="W520" s="307">
        <v>12.9</v>
      </c>
      <c r="X520" s="297">
        <f>(1-VLOOKUP(R520,Start!$H$33:$I$40,2,FALSE)/100)*W520</f>
        <v>11.481</v>
      </c>
      <c r="Y520" s="297">
        <f>VLOOKUP(Q520,Start!$C$9:$D$15,2,FALSE)+VLOOKUP(Q520,Start!$C$23:$D$29,2,FALSE)</f>
        <v>23.27</v>
      </c>
      <c r="Z520" s="298">
        <f>(Y520/U520)+Start!$D$19*(VLOOKUP(Q520,Start!$M$33:$N$39,2,FALSE)/U520)+VLOOKUP(R520,Start!$C$33:$D$40,2,FALSE)</f>
        <v>63.374122807017542</v>
      </c>
      <c r="AA520" s="234"/>
      <c r="AB520" s="278"/>
    </row>
    <row r="521" spans="2:28" ht="18.75" customHeight="1" x14ac:dyDescent="0.3">
      <c r="B521" s="229"/>
      <c r="C521" s="289" t="s">
        <v>2485</v>
      </c>
      <c r="D521" s="299" t="s">
        <v>798</v>
      </c>
      <c r="E521" s="300" t="s">
        <v>793</v>
      </c>
      <c r="F521" s="320" t="s">
        <v>799</v>
      </c>
      <c r="G521" s="311">
        <v>21079</v>
      </c>
      <c r="H521" s="312" t="s">
        <v>782</v>
      </c>
      <c r="I521" s="321" t="s">
        <v>795</v>
      </c>
      <c r="J521" s="301" t="s">
        <v>782</v>
      </c>
      <c r="K521" s="300" t="s">
        <v>139</v>
      </c>
      <c r="L521" s="304" t="s">
        <v>2012</v>
      </c>
      <c r="M521" s="300" t="s">
        <v>3</v>
      </c>
      <c r="N521" s="321" t="s">
        <v>3</v>
      </c>
      <c r="O521" s="319" t="s">
        <v>796</v>
      </c>
      <c r="P521" s="322" t="s">
        <v>3</v>
      </c>
      <c r="Q521" s="300" t="s">
        <v>3</v>
      </c>
      <c r="R521" s="300" t="s">
        <v>3</v>
      </c>
      <c r="S521" s="300" t="s">
        <v>1981</v>
      </c>
      <c r="T521" s="300" t="s">
        <v>2458</v>
      </c>
      <c r="U521" s="303">
        <v>0.46250000000000002</v>
      </c>
      <c r="V521" s="300" t="s">
        <v>2458</v>
      </c>
      <c r="W521" s="315">
        <v>800</v>
      </c>
      <c r="X521" s="297">
        <f>(1-VLOOKUP(R521,Start!$H$33:$I$40,2,FALSE)/100)*W521</f>
        <v>624</v>
      </c>
      <c r="Y521" s="297">
        <f>VLOOKUP(Q521,Start!$C$9:$D$15,2,FALSE)+VLOOKUP(Q521,Start!$C$23:$D$29,2,FALSE)</f>
        <v>12.53</v>
      </c>
      <c r="Z521" s="298">
        <f>(Y521/U521)+Start!$D$19*(VLOOKUP(Q521,Start!$M$33:$N$39,2,FALSE)/U521)+VLOOKUP(R521,Start!$C$33:$D$40,2,FALSE)</f>
        <v>46.316648648648645</v>
      </c>
      <c r="AA521" s="234"/>
      <c r="AB521" s="278"/>
    </row>
    <row r="522" spans="2:28" ht="18.75" customHeight="1" x14ac:dyDescent="0.3">
      <c r="B522" s="229"/>
      <c r="C522" s="289" t="s">
        <v>2485</v>
      </c>
      <c r="D522" s="299" t="s">
        <v>1115</v>
      </c>
      <c r="E522" s="300" t="s">
        <v>1116</v>
      </c>
      <c r="F522" s="300" t="s">
        <v>283</v>
      </c>
      <c r="G522" s="311">
        <v>32657</v>
      </c>
      <c r="H522" s="312" t="s">
        <v>1117</v>
      </c>
      <c r="I522" s="132" t="s">
        <v>1118</v>
      </c>
      <c r="J522" s="301" t="s">
        <v>19</v>
      </c>
      <c r="K522" s="300"/>
      <c r="L522" s="304" t="s">
        <v>2210</v>
      </c>
      <c r="M522" s="300" t="s">
        <v>7</v>
      </c>
      <c r="N522" s="132"/>
      <c r="O522" s="300"/>
      <c r="P522" s="314" t="s">
        <v>7</v>
      </c>
      <c r="Q522" s="300" t="s">
        <v>7</v>
      </c>
      <c r="R522" s="300" t="s">
        <v>226</v>
      </c>
      <c r="S522" s="300" t="s">
        <v>1981</v>
      </c>
      <c r="T522" s="300" t="s">
        <v>2458</v>
      </c>
      <c r="U522" s="303">
        <v>0.36299999999999999</v>
      </c>
      <c r="V522" s="300" t="s">
        <v>2458</v>
      </c>
      <c r="W522" s="315">
        <v>11.3</v>
      </c>
      <c r="X522" s="297">
        <f>(1-VLOOKUP(R522,Start!$H$33:$I$40,2,FALSE)/100)*W522</f>
        <v>10.057</v>
      </c>
      <c r="Y522" s="297">
        <f>VLOOKUP(Q522,Start!$C$9:$D$15,2,FALSE)+VLOOKUP(Q522,Start!$C$23:$D$29,2,FALSE)</f>
        <v>23.27</v>
      </c>
      <c r="Z522" s="298">
        <f>(Y522/U522)+Start!$D$19*(VLOOKUP(Q522,Start!$M$33:$N$39,2,FALSE)/U522)+VLOOKUP(R522,Start!$C$33:$D$40,2,FALSE)</f>
        <v>79.226170798898067</v>
      </c>
      <c r="AA522" s="234"/>
      <c r="AB522" s="278"/>
    </row>
    <row r="523" spans="2:28" ht="18.75" customHeight="1" x14ac:dyDescent="0.3">
      <c r="B523" s="229"/>
      <c r="C523" s="289" t="s">
        <v>2485</v>
      </c>
      <c r="D523" s="299" t="s">
        <v>338</v>
      </c>
      <c r="E523" s="300" t="s">
        <v>339</v>
      </c>
      <c r="F523" s="300"/>
      <c r="G523" s="302">
        <v>26954</v>
      </c>
      <c r="H523" s="300" t="s">
        <v>336</v>
      </c>
      <c r="I523" s="300"/>
      <c r="J523" s="306" t="s">
        <v>22</v>
      </c>
      <c r="K523" s="300"/>
      <c r="L523" s="304" t="s">
        <v>2448</v>
      </c>
      <c r="M523" s="300" t="s">
        <v>7</v>
      </c>
      <c r="N523" s="300"/>
      <c r="O523" s="300"/>
      <c r="P523" s="300" t="s">
        <v>7</v>
      </c>
      <c r="Q523" s="300" t="s">
        <v>7</v>
      </c>
      <c r="R523" s="300" t="s">
        <v>226</v>
      </c>
      <c r="S523" s="300" t="s">
        <v>1986</v>
      </c>
      <c r="T523" s="300" t="s">
        <v>2460</v>
      </c>
      <c r="U523" s="303">
        <v>0.45600000000000002</v>
      </c>
      <c r="V523" s="303" t="s">
        <v>2461</v>
      </c>
      <c r="W523" s="307">
        <v>17.100000000000001</v>
      </c>
      <c r="X523" s="297">
        <f>(1-VLOOKUP(R523,Start!$H$33:$I$40,2,FALSE)/100)*W523</f>
        <v>15.219000000000001</v>
      </c>
      <c r="Y523" s="297">
        <f>VLOOKUP(Q523,Start!$C$9:$D$15,2,FALSE)+VLOOKUP(Q523,Start!$C$23:$D$29,2,FALSE)</f>
        <v>23.27</v>
      </c>
      <c r="Z523" s="298">
        <f>(Y523/U523)+Start!$D$19*(VLOOKUP(Q523,Start!$M$33:$N$39,2,FALSE)/U523)+VLOOKUP(R523,Start!$C$33:$D$40,2,FALSE)</f>
        <v>63.374122807017542</v>
      </c>
      <c r="AA523" s="234"/>
      <c r="AB523" s="278"/>
    </row>
    <row r="524" spans="2:28" ht="18.75" customHeight="1" x14ac:dyDescent="0.3">
      <c r="B524" s="229"/>
      <c r="C524" s="289" t="s">
        <v>2485</v>
      </c>
      <c r="D524" s="318" t="s">
        <v>792</v>
      </c>
      <c r="E524" s="300" t="s">
        <v>793</v>
      </c>
      <c r="F524" s="320" t="s">
        <v>794</v>
      </c>
      <c r="G524" s="311">
        <v>21079</v>
      </c>
      <c r="H524" s="320" t="s">
        <v>782</v>
      </c>
      <c r="I524" s="321" t="s">
        <v>795</v>
      </c>
      <c r="J524" s="320" t="s">
        <v>782</v>
      </c>
      <c r="K524" s="319" t="s">
        <v>140</v>
      </c>
      <c r="L524" s="304" t="s">
        <v>2010</v>
      </c>
      <c r="M524" s="322" t="s">
        <v>3</v>
      </c>
      <c r="N524" s="321" t="s">
        <v>3</v>
      </c>
      <c r="O524" s="319" t="s">
        <v>796</v>
      </c>
      <c r="P524" s="322" t="s">
        <v>3</v>
      </c>
      <c r="Q524" s="300" t="s">
        <v>3</v>
      </c>
      <c r="R524" s="300" t="s">
        <v>3</v>
      </c>
      <c r="S524" s="300" t="s">
        <v>1981</v>
      </c>
      <c r="T524" s="300" t="s">
        <v>2458</v>
      </c>
      <c r="U524" s="303">
        <v>0.46250000000000002</v>
      </c>
      <c r="V524" s="300" t="s">
        <v>2458</v>
      </c>
      <c r="W524" s="315">
        <v>800</v>
      </c>
      <c r="X524" s="297">
        <f>(1-VLOOKUP(R524,Start!$H$33:$I$40,2,FALSE)/100)*W524</f>
        <v>624</v>
      </c>
      <c r="Y524" s="297">
        <f>VLOOKUP(Q524,Start!$C$9:$D$15,2,FALSE)+VLOOKUP(Q524,Start!$C$23:$D$29,2,FALSE)</f>
        <v>12.53</v>
      </c>
      <c r="Z524" s="298">
        <f>(Y524/U524)+Start!$D$19*(VLOOKUP(Q524,Start!$M$33:$N$39,2,FALSE)/U524)+VLOOKUP(R524,Start!$C$33:$D$40,2,FALSE)</f>
        <v>46.316648648648645</v>
      </c>
      <c r="AA524" s="234"/>
      <c r="AB524" s="278"/>
    </row>
    <row r="525" spans="2:28" ht="18.75" customHeight="1" x14ac:dyDescent="0.3">
      <c r="B525" s="229"/>
      <c r="C525" s="289" t="s">
        <v>2485</v>
      </c>
      <c r="D525" s="299" t="s">
        <v>1858</v>
      </c>
      <c r="E525" s="334" t="s">
        <v>329</v>
      </c>
      <c r="F525" s="300" t="s">
        <v>1859</v>
      </c>
      <c r="G525" s="311">
        <v>26386</v>
      </c>
      <c r="H525" s="312" t="s">
        <v>1856</v>
      </c>
      <c r="I525" s="300" t="s">
        <v>1860</v>
      </c>
      <c r="J525" s="306" t="s">
        <v>22</v>
      </c>
      <c r="K525" s="300" t="s">
        <v>1859</v>
      </c>
      <c r="L525" s="304" t="s">
        <v>2054</v>
      </c>
      <c r="M525" s="300" t="s">
        <v>3</v>
      </c>
      <c r="N525" s="300" t="s">
        <v>3</v>
      </c>
      <c r="O525" s="300" t="s">
        <v>796</v>
      </c>
      <c r="P525" s="314" t="s">
        <v>3</v>
      </c>
      <c r="Q525" s="300" t="s">
        <v>3</v>
      </c>
      <c r="R525" s="300" t="s">
        <v>3</v>
      </c>
      <c r="S525" s="300" t="s">
        <v>1981</v>
      </c>
      <c r="T525" s="300" t="s">
        <v>2458</v>
      </c>
      <c r="U525" s="303">
        <v>0.46250000000000002</v>
      </c>
      <c r="V525" s="300" t="s">
        <v>2458</v>
      </c>
      <c r="W525" s="315">
        <v>731</v>
      </c>
      <c r="X525" s="297">
        <f>(1-VLOOKUP(R525,Start!$H$33:$I$40,2,FALSE)/100)*W525</f>
        <v>570.18000000000006</v>
      </c>
      <c r="Y525" s="297">
        <f>VLOOKUP(Q525,Start!$C$9:$D$15,2,FALSE)+VLOOKUP(Q525,Start!$C$23:$D$29,2,FALSE)</f>
        <v>12.53</v>
      </c>
      <c r="Z525" s="298">
        <f>(Y525/U525)+Start!$D$19*(VLOOKUP(Q525,Start!$M$33:$N$39,2,FALSE)/U525)+VLOOKUP(R525,Start!$C$33:$D$40,2,FALSE)</f>
        <v>46.316648648648645</v>
      </c>
      <c r="AA525" s="234"/>
      <c r="AB525" s="278"/>
    </row>
    <row r="526" spans="2:28" ht="18.75" customHeight="1" x14ac:dyDescent="0.3">
      <c r="B526" s="229"/>
      <c r="C526" s="289" t="s">
        <v>2485</v>
      </c>
      <c r="D526" s="305" t="s">
        <v>1267</v>
      </c>
      <c r="E526" s="300" t="s">
        <v>1260</v>
      </c>
      <c r="F526" s="300" t="s">
        <v>1268</v>
      </c>
      <c r="G526" s="302">
        <v>45772</v>
      </c>
      <c r="H526" s="300" t="s">
        <v>1262</v>
      </c>
      <c r="I526" s="300" t="s">
        <v>1263</v>
      </c>
      <c r="J526" s="306" t="s">
        <v>19</v>
      </c>
      <c r="K526" s="300">
        <v>1</v>
      </c>
      <c r="L526" s="304" t="s">
        <v>2221</v>
      </c>
      <c r="M526" s="300" t="s">
        <v>7</v>
      </c>
      <c r="N526" s="300"/>
      <c r="O526" s="300"/>
      <c r="P526" s="300" t="s">
        <v>7</v>
      </c>
      <c r="Q526" s="300" t="s">
        <v>7</v>
      </c>
      <c r="R526" s="300" t="s">
        <v>226</v>
      </c>
      <c r="S526" s="300" t="s">
        <v>1981</v>
      </c>
      <c r="T526" s="300" t="s">
        <v>2458</v>
      </c>
      <c r="U526" s="303">
        <v>0.40260000000000001</v>
      </c>
      <c r="V526" s="300" t="s">
        <v>2458</v>
      </c>
      <c r="W526" s="307">
        <v>60.76</v>
      </c>
      <c r="X526" s="297">
        <f>(1-VLOOKUP(R526,Start!$H$33:$I$40,2,FALSE)/100)*W526</f>
        <v>54.0764</v>
      </c>
      <c r="Y526" s="297">
        <f>VLOOKUP(Q526,Start!$C$9:$D$15,2,FALSE)+VLOOKUP(Q526,Start!$C$23:$D$29,2,FALSE)</f>
        <v>23.27</v>
      </c>
      <c r="Z526" s="298">
        <f>(Y526/U526)+Start!$D$19*(VLOOKUP(Q526,Start!$M$33:$N$39,2,FALSE)/U526)+VLOOKUP(R526,Start!$C$33:$D$40,2,FALSE)</f>
        <v>71.580973671137599</v>
      </c>
      <c r="AA526" s="234"/>
      <c r="AB526" s="278"/>
    </row>
    <row r="527" spans="2:28" ht="18.75" customHeight="1" x14ac:dyDescent="0.3">
      <c r="B527" s="229"/>
      <c r="C527" s="289" t="s">
        <v>2485</v>
      </c>
      <c r="D527" s="299" t="s">
        <v>1874</v>
      </c>
      <c r="E527" s="300" t="s">
        <v>124</v>
      </c>
      <c r="F527" s="300" t="s">
        <v>1875</v>
      </c>
      <c r="G527" s="311">
        <v>38436</v>
      </c>
      <c r="H527" s="312" t="s">
        <v>1876</v>
      </c>
      <c r="I527" s="132" t="s">
        <v>1877</v>
      </c>
      <c r="J527" s="301" t="s">
        <v>22</v>
      </c>
      <c r="K527" s="300"/>
      <c r="L527" s="304" t="s">
        <v>2279</v>
      </c>
      <c r="M527" s="300" t="s">
        <v>7</v>
      </c>
      <c r="N527" s="132"/>
      <c r="O527" s="300"/>
      <c r="P527" s="303" t="s">
        <v>7</v>
      </c>
      <c r="Q527" s="300" t="s">
        <v>7</v>
      </c>
      <c r="R527" s="300" t="s">
        <v>226</v>
      </c>
      <c r="S527" s="300" t="s">
        <v>1981</v>
      </c>
      <c r="T527" s="300" t="s">
        <v>2458</v>
      </c>
      <c r="U527" s="303">
        <v>0.40039999999999998</v>
      </c>
      <c r="V527" s="300" t="s">
        <v>2458</v>
      </c>
      <c r="W527" s="315">
        <v>10.4</v>
      </c>
      <c r="X527" s="297">
        <f>(1-VLOOKUP(R527,Start!$H$33:$I$40,2,FALSE)/100)*W527</f>
        <v>9.2560000000000002</v>
      </c>
      <c r="Y527" s="297">
        <f>VLOOKUP(Q527,Start!$C$9:$D$15,2,FALSE)+VLOOKUP(Q527,Start!$C$23:$D$29,2,FALSE)</f>
        <v>23.27</v>
      </c>
      <c r="Z527" s="298">
        <f>(Y527/U527)+Start!$D$19*(VLOOKUP(Q527,Start!$M$33:$N$39,2,FALSE)/U527)+VLOOKUP(R527,Start!$C$33:$D$40,2,FALSE)</f>
        <v>71.966033966033962</v>
      </c>
      <c r="AA527" s="234"/>
      <c r="AB527" s="278"/>
    </row>
    <row r="528" spans="2:28" ht="18.75" customHeight="1" x14ac:dyDescent="0.3">
      <c r="B528" s="229"/>
      <c r="C528" s="289" t="s">
        <v>2485</v>
      </c>
      <c r="D528" s="305" t="s">
        <v>1332</v>
      </c>
      <c r="E528" s="300" t="s">
        <v>1326</v>
      </c>
      <c r="F528" s="300" t="s">
        <v>1333</v>
      </c>
      <c r="G528" s="302">
        <v>85326</v>
      </c>
      <c r="H528" s="300" t="s">
        <v>1315</v>
      </c>
      <c r="I528" s="300"/>
      <c r="J528" s="306" t="s">
        <v>55</v>
      </c>
      <c r="K528" s="300"/>
      <c r="L528" s="304" t="s">
        <v>2228</v>
      </c>
      <c r="M528" s="300" t="s">
        <v>7</v>
      </c>
      <c r="N528" s="300"/>
      <c r="O528" s="300"/>
      <c r="P528" s="300" t="s">
        <v>7</v>
      </c>
      <c r="Q528" s="300" t="s">
        <v>7</v>
      </c>
      <c r="R528" s="300" t="s">
        <v>226</v>
      </c>
      <c r="S528" s="300" t="s">
        <v>1981</v>
      </c>
      <c r="T528" s="300" t="s">
        <v>2458</v>
      </c>
      <c r="U528" s="303">
        <v>0.40039999999999998</v>
      </c>
      <c r="V528" s="300" t="s">
        <v>2458</v>
      </c>
      <c r="W528" s="307">
        <v>16.8</v>
      </c>
      <c r="X528" s="297">
        <f>(1-VLOOKUP(R528,Start!$H$33:$I$40,2,FALSE)/100)*W528</f>
        <v>14.952000000000002</v>
      </c>
      <c r="Y528" s="297">
        <f>VLOOKUP(Q528,Start!$C$9:$D$15,2,FALSE)+VLOOKUP(Q528,Start!$C$23:$D$29,2,FALSE)</f>
        <v>23.27</v>
      </c>
      <c r="Z528" s="298">
        <f>(Y528/U528)+Start!$D$19*(VLOOKUP(Q528,Start!$M$33:$N$39,2,FALSE)/U528)+VLOOKUP(R528,Start!$C$33:$D$40,2,FALSE)</f>
        <v>71.966033966033962</v>
      </c>
      <c r="AA528" s="234"/>
      <c r="AB528" s="278"/>
    </row>
    <row r="529" spans="2:28" ht="18.75" customHeight="1" x14ac:dyDescent="0.3">
      <c r="B529" s="229"/>
      <c r="C529" s="289" t="s">
        <v>2485</v>
      </c>
      <c r="D529" s="299" t="s">
        <v>826</v>
      </c>
      <c r="E529" s="300" t="s">
        <v>827</v>
      </c>
      <c r="F529" s="132"/>
      <c r="G529" s="311">
        <v>30659</v>
      </c>
      <c r="H529" s="312" t="s">
        <v>822</v>
      </c>
      <c r="I529" s="132" t="s">
        <v>828</v>
      </c>
      <c r="J529" s="301" t="s">
        <v>22</v>
      </c>
      <c r="K529" s="300"/>
      <c r="L529" s="304" t="s">
        <v>2455</v>
      </c>
      <c r="M529" s="300" t="s">
        <v>7</v>
      </c>
      <c r="N529" s="132"/>
      <c r="O529" s="300"/>
      <c r="P529" s="300" t="s">
        <v>7</v>
      </c>
      <c r="Q529" s="300" t="s">
        <v>7</v>
      </c>
      <c r="R529" s="300" t="s">
        <v>226</v>
      </c>
      <c r="S529" s="300" t="s">
        <v>1986</v>
      </c>
      <c r="T529" s="300" t="s">
        <v>2460</v>
      </c>
      <c r="U529" s="303">
        <v>0.45600000000000002</v>
      </c>
      <c r="V529" s="303" t="s">
        <v>2461</v>
      </c>
      <c r="W529" s="315">
        <v>30.2</v>
      </c>
      <c r="X529" s="297">
        <f>(1-VLOOKUP(R529,Start!$H$33:$I$40,2,FALSE)/100)*W529</f>
        <v>26.878</v>
      </c>
      <c r="Y529" s="297">
        <f>VLOOKUP(Q529,Start!$C$9:$D$15,2,FALSE)+VLOOKUP(Q529,Start!$C$23:$D$29,2,FALSE)</f>
        <v>23.27</v>
      </c>
      <c r="Z529" s="298">
        <f>(Y529/U529)+Start!$D$19*(VLOOKUP(Q529,Start!$M$33:$N$39,2,FALSE)/U529)+VLOOKUP(R529,Start!$C$33:$D$40,2,FALSE)</f>
        <v>63.374122807017542</v>
      </c>
      <c r="AA529" s="234"/>
      <c r="AB529" s="278"/>
    </row>
    <row r="530" spans="2:28" ht="18.75" customHeight="1" x14ac:dyDescent="0.3">
      <c r="B530" s="229"/>
      <c r="C530" s="289" t="s">
        <v>2485</v>
      </c>
      <c r="D530" s="299" t="s">
        <v>515</v>
      </c>
      <c r="E530" s="300" t="s">
        <v>493</v>
      </c>
      <c r="F530" s="132" t="s">
        <v>226</v>
      </c>
      <c r="G530" s="311">
        <v>40221</v>
      </c>
      <c r="H530" s="312" t="s">
        <v>495</v>
      </c>
      <c r="I530" s="300" t="s">
        <v>500</v>
      </c>
      <c r="J530" s="301" t="s">
        <v>19</v>
      </c>
      <c r="K530" s="301" t="s">
        <v>516</v>
      </c>
      <c r="L530" s="304" t="s">
        <v>2160</v>
      </c>
      <c r="M530" s="300" t="s">
        <v>7</v>
      </c>
      <c r="N530" s="132"/>
      <c r="O530" s="300"/>
      <c r="P530" s="300" t="s">
        <v>7</v>
      </c>
      <c r="Q530" s="300" t="s">
        <v>7</v>
      </c>
      <c r="R530" s="300" t="s">
        <v>226</v>
      </c>
      <c r="S530" s="300" t="s">
        <v>1996</v>
      </c>
      <c r="T530" s="300" t="s">
        <v>2458</v>
      </c>
      <c r="U530" s="303">
        <v>0.61199999999999999</v>
      </c>
      <c r="V530" s="300" t="s">
        <v>2458</v>
      </c>
      <c r="W530" s="315">
        <v>595</v>
      </c>
      <c r="X530" s="297">
        <f>(1-VLOOKUP(R530,Start!$H$33:$I$40,2,FALSE)/100)*W530</f>
        <v>529.54999999999995</v>
      </c>
      <c r="Y530" s="297">
        <f>VLOOKUP(Q530,Start!$C$9:$D$15,2,FALSE)+VLOOKUP(Q530,Start!$C$23:$D$29,2,FALSE)</f>
        <v>23.27</v>
      </c>
      <c r="Z530" s="298">
        <f>(Y530/U530)+Start!$D$19*(VLOOKUP(Q530,Start!$M$33:$N$39,2,FALSE)/U530)+VLOOKUP(R530,Start!$C$33:$D$40,2,FALSE)</f>
        <v>47.602287581699343</v>
      </c>
      <c r="AA530" s="234"/>
      <c r="AB530" s="278"/>
    </row>
    <row r="531" spans="2:28" ht="18.75" customHeight="1" x14ac:dyDescent="0.3">
      <c r="B531" s="229"/>
      <c r="C531" s="289" t="s">
        <v>2485</v>
      </c>
      <c r="D531" s="305" t="s">
        <v>1021</v>
      </c>
      <c r="E531" s="300" t="s">
        <v>1013</v>
      </c>
      <c r="F531" s="300" t="s">
        <v>1022</v>
      </c>
      <c r="G531" s="302">
        <v>50735</v>
      </c>
      <c r="H531" s="300" t="s">
        <v>1005</v>
      </c>
      <c r="I531" s="300"/>
      <c r="J531" s="306" t="s">
        <v>19</v>
      </c>
      <c r="K531" s="300" t="s">
        <v>1023</v>
      </c>
      <c r="L531" s="304" t="s">
        <v>2204</v>
      </c>
      <c r="M531" s="300" t="s">
        <v>7</v>
      </c>
      <c r="N531" s="300"/>
      <c r="O531" s="300"/>
      <c r="P531" s="300" t="s">
        <v>7</v>
      </c>
      <c r="Q531" s="300" t="s">
        <v>7</v>
      </c>
      <c r="R531" s="300" t="s">
        <v>226</v>
      </c>
      <c r="S531" s="300" t="s">
        <v>1981</v>
      </c>
      <c r="T531" s="300" t="s">
        <v>2458</v>
      </c>
      <c r="U531" s="303">
        <v>0.40260000000000001</v>
      </c>
      <c r="V531" s="300" t="s">
        <v>2458</v>
      </c>
      <c r="W531" s="307">
        <v>459.9</v>
      </c>
      <c r="X531" s="297">
        <f>(1-VLOOKUP(R531,Start!$H$33:$I$40,2,FALSE)/100)*W531</f>
        <v>409.31099999999998</v>
      </c>
      <c r="Y531" s="297">
        <f>VLOOKUP(Q531,Start!$C$9:$D$15,2,FALSE)+VLOOKUP(Q531,Start!$C$23:$D$29,2,FALSE)</f>
        <v>23.27</v>
      </c>
      <c r="Z531" s="298">
        <f>(Y531/U531)+Start!$D$19*(VLOOKUP(Q531,Start!$M$33:$N$39,2,FALSE)/U531)+VLOOKUP(R531,Start!$C$33:$D$40,2,FALSE)</f>
        <v>71.580973671137599</v>
      </c>
      <c r="AA531" s="234"/>
      <c r="AB531" s="278"/>
    </row>
    <row r="532" spans="2:28" ht="18.75" customHeight="1" x14ac:dyDescent="0.3">
      <c r="B532" s="229"/>
      <c r="C532" s="289" t="s">
        <v>2485</v>
      </c>
      <c r="D532" s="316" t="s">
        <v>629</v>
      </c>
      <c r="E532" s="300" t="s">
        <v>630</v>
      </c>
      <c r="F532" s="303" t="s">
        <v>631</v>
      </c>
      <c r="G532" s="303">
        <v>24939</v>
      </c>
      <c r="H532" s="303" t="s">
        <v>632</v>
      </c>
      <c r="I532" s="303" t="s">
        <v>633</v>
      </c>
      <c r="J532" s="306" t="s">
        <v>27</v>
      </c>
      <c r="K532" s="303" t="s">
        <v>285</v>
      </c>
      <c r="L532" s="304" t="s">
        <v>2138</v>
      </c>
      <c r="M532" s="303" t="s">
        <v>7</v>
      </c>
      <c r="N532" s="303"/>
      <c r="O532" s="303"/>
      <c r="P532" s="300" t="s">
        <v>7</v>
      </c>
      <c r="Q532" s="303" t="s">
        <v>7</v>
      </c>
      <c r="R532" s="300" t="s">
        <v>226</v>
      </c>
      <c r="S532" s="300" t="s">
        <v>1996</v>
      </c>
      <c r="T532" s="300" t="s">
        <v>2458</v>
      </c>
      <c r="U532" s="303">
        <v>0.61199999999999999</v>
      </c>
      <c r="V532" s="300" t="s">
        <v>2458</v>
      </c>
      <c r="W532" s="307">
        <v>78</v>
      </c>
      <c r="X532" s="297">
        <f>(1-VLOOKUP(R532,Start!$H$33:$I$40,2,FALSE)/100)*W532</f>
        <v>69.42</v>
      </c>
      <c r="Y532" s="297">
        <f>VLOOKUP(Q532,Start!$C$9:$D$15,2,FALSE)+VLOOKUP(Q532,Start!$C$23:$D$29,2,FALSE)</f>
        <v>23.27</v>
      </c>
      <c r="Z532" s="298">
        <f>(Y532/U532)+Start!$D$19*(VLOOKUP(Q532,Start!$M$33:$N$39,2,FALSE)/U532)+VLOOKUP(R532,Start!$C$33:$D$40,2,FALSE)</f>
        <v>47.602287581699343</v>
      </c>
      <c r="AA532" s="234"/>
      <c r="AB532" s="278"/>
    </row>
    <row r="533" spans="2:28" ht="18.75" customHeight="1" x14ac:dyDescent="0.3">
      <c r="B533" s="229"/>
      <c r="C533" s="289" t="s">
        <v>2485</v>
      </c>
      <c r="D533" s="299" t="s">
        <v>309</v>
      </c>
      <c r="E533" s="300" t="s">
        <v>310</v>
      </c>
      <c r="F533" s="300" t="s">
        <v>311</v>
      </c>
      <c r="G533" s="302">
        <v>28237</v>
      </c>
      <c r="H533" s="300" t="s">
        <v>296</v>
      </c>
      <c r="I533" s="300"/>
      <c r="J533" s="306" t="s">
        <v>296</v>
      </c>
      <c r="K533" s="300" t="s">
        <v>312</v>
      </c>
      <c r="L533" s="304" t="s">
        <v>2138</v>
      </c>
      <c r="M533" s="132" t="s">
        <v>7</v>
      </c>
      <c r="N533" s="132"/>
      <c r="O533" s="132"/>
      <c r="P533" s="132" t="s">
        <v>7</v>
      </c>
      <c r="Q533" s="300" t="s">
        <v>7</v>
      </c>
      <c r="R533" s="300" t="s">
        <v>226</v>
      </c>
      <c r="S533" s="300" t="s">
        <v>1996</v>
      </c>
      <c r="T533" s="300" t="s">
        <v>2458</v>
      </c>
      <c r="U533" s="303">
        <v>0.61199999999999999</v>
      </c>
      <c r="V533" s="300" t="s">
        <v>2458</v>
      </c>
      <c r="W533" s="307">
        <v>444.5</v>
      </c>
      <c r="X533" s="297">
        <f>(1-VLOOKUP(R533,Start!$H$33:$I$40,2,FALSE)/100)*W533</f>
        <v>395.60500000000002</v>
      </c>
      <c r="Y533" s="297">
        <f>VLOOKUP(Q533,Start!$C$9:$D$15,2,FALSE)+VLOOKUP(Q533,Start!$C$23:$D$29,2,FALSE)</f>
        <v>23.27</v>
      </c>
      <c r="Z533" s="298">
        <f>(Y533/U533)+Start!$D$19*(VLOOKUP(Q533,Start!$M$33:$N$39,2,FALSE)/U533)+VLOOKUP(R533,Start!$C$33:$D$40,2,FALSE)</f>
        <v>47.602287581699343</v>
      </c>
      <c r="AA533" s="234"/>
      <c r="AB533" s="278"/>
    </row>
    <row r="534" spans="2:28" ht="18.75" customHeight="1" x14ac:dyDescent="0.3">
      <c r="B534" s="229"/>
      <c r="C534" s="289" t="s">
        <v>2485</v>
      </c>
      <c r="D534" s="305" t="s">
        <v>185</v>
      </c>
      <c r="E534" s="300" t="s">
        <v>186</v>
      </c>
      <c r="F534" s="300" t="s">
        <v>187</v>
      </c>
      <c r="G534" s="302">
        <v>13353</v>
      </c>
      <c r="H534" s="300" t="s">
        <v>165</v>
      </c>
      <c r="I534" s="300" t="s">
        <v>188</v>
      </c>
      <c r="J534" s="306" t="s">
        <v>165</v>
      </c>
      <c r="K534" s="300"/>
      <c r="L534" s="304" t="s">
        <v>2127</v>
      </c>
      <c r="M534" s="300" t="s">
        <v>47</v>
      </c>
      <c r="N534" s="300" t="s">
        <v>7</v>
      </c>
      <c r="O534" s="300" t="s">
        <v>189</v>
      </c>
      <c r="P534" s="300" t="s">
        <v>7</v>
      </c>
      <c r="Q534" s="300" t="s">
        <v>7</v>
      </c>
      <c r="R534" s="300" t="s">
        <v>226</v>
      </c>
      <c r="S534" s="300" t="s">
        <v>1981</v>
      </c>
      <c r="T534" s="300" t="s">
        <v>2458</v>
      </c>
      <c r="U534" s="303">
        <v>0.35420000000000001</v>
      </c>
      <c r="V534" s="300" t="s">
        <v>2458</v>
      </c>
      <c r="W534" s="307">
        <v>15</v>
      </c>
      <c r="X534" s="297">
        <f>(1-VLOOKUP(R534,Start!$H$33:$I$40,2,FALSE)/100)*W534</f>
        <v>13.35</v>
      </c>
      <c r="Y534" s="297">
        <f>VLOOKUP(Q534,Start!$C$9:$D$15,2,FALSE)+VLOOKUP(Q534,Start!$C$23:$D$29,2,FALSE)</f>
        <v>23.27</v>
      </c>
      <c r="Z534" s="298">
        <f>(Y534/U534)+Start!$D$19*(VLOOKUP(Q534,Start!$M$33:$N$39,2,FALSE)/U534)+VLOOKUP(R534,Start!$C$33:$D$40,2,FALSE)</f>
        <v>81.157255787690573</v>
      </c>
      <c r="AA534" s="234"/>
      <c r="AB534" s="278"/>
    </row>
    <row r="535" spans="2:28" ht="18.75" customHeight="1" x14ac:dyDescent="0.3">
      <c r="B535" s="229"/>
      <c r="C535" s="289" t="s">
        <v>2485</v>
      </c>
      <c r="D535" s="299" t="s">
        <v>1599</v>
      </c>
      <c r="E535" s="300" t="s">
        <v>1600</v>
      </c>
      <c r="F535" s="300" t="s">
        <v>1601</v>
      </c>
      <c r="G535" s="302">
        <v>66740</v>
      </c>
      <c r="H535" s="300" t="s">
        <v>1602</v>
      </c>
      <c r="I535" s="300"/>
      <c r="J535" s="306" t="s">
        <v>213</v>
      </c>
      <c r="K535" s="300"/>
      <c r="L535" s="304" t="s">
        <v>2255</v>
      </c>
      <c r="M535" s="300" t="s">
        <v>7</v>
      </c>
      <c r="N535" s="300"/>
      <c r="O535" s="300"/>
      <c r="P535" s="300" t="s">
        <v>7</v>
      </c>
      <c r="Q535" s="300" t="s">
        <v>7</v>
      </c>
      <c r="R535" s="300" t="s">
        <v>226</v>
      </c>
      <c r="S535" s="300" t="s">
        <v>1981</v>
      </c>
      <c r="T535" s="300" t="s">
        <v>2458</v>
      </c>
      <c r="U535" s="303">
        <v>0.40260000000000001</v>
      </c>
      <c r="V535" s="300" t="s">
        <v>2458</v>
      </c>
      <c r="W535" s="307">
        <v>22</v>
      </c>
      <c r="X535" s="297">
        <f>(1-VLOOKUP(R535,Start!$H$33:$I$40,2,FALSE)/100)*W535</f>
        <v>19.580000000000002</v>
      </c>
      <c r="Y535" s="297">
        <f>VLOOKUP(Q535,Start!$C$9:$D$15,2,FALSE)+VLOOKUP(Q535,Start!$C$23:$D$29,2,FALSE)</f>
        <v>23.27</v>
      </c>
      <c r="Z535" s="298">
        <f>(Y535/U535)+Start!$D$19*(VLOOKUP(Q535,Start!$M$33:$N$39,2,FALSE)/U535)+VLOOKUP(R535,Start!$C$33:$D$40,2,FALSE)</f>
        <v>71.580973671137599</v>
      </c>
      <c r="AA535" s="234"/>
      <c r="AB535" s="278"/>
    </row>
    <row r="536" spans="2:28" ht="18.75" customHeight="1" x14ac:dyDescent="0.3">
      <c r="B536" s="229"/>
      <c r="C536" s="289" t="s">
        <v>2485</v>
      </c>
      <c r="D536" s="299" t="s">
        <v>1518</v>
      </c>
      <c r="E536" s="300" t="s">
        <v>423</v>
      </c>
      <c r="F536" s="132" t="s">
        <v>1519</v>
      </c>
      <c r="G536" s="311">
        <v>93055</v>
      </c>
      <c r="H536" s="312" t="s">
        <v>1519</v>
      </c>
      <c r="I536" s="132" t="s">
        <v>1520</v>
      </c>
      <c r="J536" s="301" t="s">
        <v>55</v>
      </c>
      <c r="K536" s="300"/>
      <c r="L536" s="304" t="s">
        <v>2241</v>
      </c>
      <c r="M536" s="300" t="s">
        <v>7</v>
      </c>
      <c r="N536" s="132"/>
      <c r="O536" s="300"/>
      <c r="P536" s="314" t="s">
        <v>7</v>
      </c>
      <c r="Q536" s="300" t="s">
        <v>7</v>
      </c>
      <c r="R536" s="300" t="s">
        <v>226</v>
      </c>
      <c r="S536" s="300" t="s">
        <v>1981</v>
      </c>
      <c r="T536" s="300" t="s">
        <v>2458</v>
      </c>
      <c r="U536" s="303">
        <v>0.3982</v>
      </c>
      <c r="V536" s="300" t="s">
        <v>2458</v>
      </c>
      <c r="W536" s="315">
        <v>10.6</v>
      </c>
      <c r="X536" s="297">
        <f>(1-VLOOKUP(R536,Start!$H$33:$I$40,2,FALSE)/100)*W536</f>
        <v>9.4339999999999993</v>
      </c>
      <c r="Y536" s="297">
        <f>VLOOKUP(Q536,Start!$C$9:$D$15,2,FALSE)+VLOOKUP(Q536,Start!$C$23:$D$29,2,FALSE)</f>
        <v>23.27</v>
      </c>
      <c r="Z536" s="298">
        <f>(Y536/U536)+Start!$D$19*(VLOOKUP(Q536,Start!$M$33:$N$39,2,FALSE)/U536)+VLOOKUP(R536,Start!$C$33:$D$40,2,FALSE)</f>
        <v>72.355349070818676</v>
      </c>
      <c r="AA536" s="234"/>
      <c r="AB536" s="278"/>
    </row>
    <row r="537" spans="2:28" ht="18.75" customHeight="1" x14ac:dyDescent="0.3">
      <c r="B537" s="229"/>
      <c r="C537" s="289" t="s">
        <v>2485</v>
      </c>
      <c r="D537" s="305" t="s">
        <v>1521</v>
      </c>
      <c r="E537" s="317" t="s">
        <v>423</v>
      </c>
      <c r="F537" s="301" t="s">
        <v>1519</v>
      </c>
      <c r="G537" s="302">
        <v>93055</v>
      </c>
      <c r="H537" s="303" t="s">
        <v>1519</v>
      </c>
      <c r="I537" s="303" t="s">
        <v>1520</v>
      </c>
      <c r="J537" s="301" t="s">
        <v>55</v>
      </c>
      <c r="K537" s="301"/>
      <c r="L537" s="304" t="s">
        <v>2242</v>
      </c>
      <c r="M537" s="300" t="s">
        <v>7</v>
      </c>
      <c r="N537" s="132"/>
      <c r="O537" s="303"/>
      <c r="P537" s="314" t="s">
        <v>7</v>
      </c>
      <c r="Q537" s="300" t="s">
        <v>7</v>
      </c>
      <c r="R537" s="300" t="s">
        <v>226</v>
      </c>
      <c r="S537" s="300" t="s">
        <v>1981</v>
      </c>
      <c r="T537" s="300" t="s">
        <v>2458</v>
      </c>
      <c r="U537" s="303">
        <v>0.40260000000000001</v>
      </c>
      <c r="V537" s="300" t="s">
        <v>2458</v>
      </c>
      <c r="W537" s="297">
        <v>2.65</v>
      </c>
      <c r="X537" s="297">
        <f>(1-VLOOKUP(R537,Start!$H$33:$I$40,2,FALSE)/100)*W537</f>
        <v>2.3584999999999998</v>
      </c>
      <c r="Y537" s="297">
        <f>VLOOKUP(Q537,Start!$C$9:$D$15,2,FALSE)+VLOOKUP(Q537,Start!$C$23:$D$29,2,FALSE)</f>
        <v>23.27</v>
      </c>
      <c r="Z537" s="298">
        <f>(Y537/U537)+Start!$D$19*(VLOOKUP(Q537,Start!$M$33:$N$39,2,FALSE)/U537)+VLOOKUP(R537,Start!$C$33:$D$40,2,FALSE)</f>
        <v>71.580973671137599</v>
      </c>
      <c r="AA537" s="234"/>
      <c r="AB537" s="278"/>
    </row>
    <row r="538" spans="2:28" ht="18.75" customHeight="1" x14ac:dyDescent="0.3">
      <c r="B538" s="229"/>
      <c r="C538" s="289" t="s">
        <v>2485</v>
      </c>
      <c r="D538" s="299" t="s">
        <v>1670</v>
      </c>
      <c r="E538" s="300" t="s">
        <v>1671</v>
      </c>
      <c r="F538" s="300" t="s">
        <v>1672</v>
      </c>
      <c r="G538" s="311">
        <v>66606</v>
      </c>
      <c r="H538" s="312" t="s">
        <v>1673</v>
      </c>
      <c r="I538" s="300" t="s">
        <v>1674</v>
      </c>
      <c r="J538" s="306" t="s">
        <v>213</v>
      </c>
      <c r="K538" s="300"/>
      <c r="L538" s="304" t="s">
        <v>2259</v>
      </c>
      <c r="M538" s="300" t="s">
        <v>7</v>
      </c>
      <c r="N538" s="300"/>
      <c r="O538" s="300"/>
      <c r="P538" s="314" t="s">
        <v>7</v>
      </c>
      <c r="Q538" s="300" t="s">
        <v>7</v>
      </c>
      <c r="R538" s="300" t="s">
        <v>96</v>
      </c>
      <c r="S538" s="300" t="s">
        <v>2115</v>
      </c>
      <c r="T538" s="300" t="s">
        <v>2458</v>
      </c>
      <c r="U538" s="303">
        <v>0.41639999999999999</v>
      </c>
      <c r="V538" s="300" t="s">
        <v>2458</v>
      </c>
      <c r="W538" s="315">
        <v>19.5</v>
      </c>
      <c r="X538" s="297">
        <f>(1-VLOOKUP(R538,Start!$H$33:$I$40,2,FALSE)/100)*W538</f>
        <v>17.355</v>
      </c>
      <c r="Y538" s="297">
        <f>VLOOKUP(Q538,Start!$C$9:$D$15,2,FALSE)+VLOOKUP(Q538,Start!$C$23:$D$29,2,FALSE)</f>
        <v>23.27</v>
      </c>
      <c r="Z538" s="298">
        <f>(Y538/U538)+Start!$D$19*(VLOOKUP(Q538,Start!$M$33:$N$39,2,FALSE)/U538)+VLOOKUP(R538,Start!$C$33:$D$40,2,FALSE)</f>
        <v>68.758405379442848</v>
      </c>
      <c r="AA538" s="234"/>
      <c r="AB538" s="278"/>
    </row>
    <row r="539" spans="2:28" ht="18.75" customHeight="1" x14ac:dyDescent="0.3">
      <c r="B539" s="229"/>
      <c r="C539" s="289" t="s">
        <v>2485</v>
      </c>
      <c r="D539" s="299" t="s">
        <v>1434</v>
      </c>
      <c r="E539" s="300" t="s">
        <v>1435</v>
      </c>
      <c r="F539" s="300" t="s">
        <v>1063</v>
      </c>
      <c r="G539" s="302">
        <v>49084</v>
      </c>
      <c r="H539" s="300" t="s">
        <v>1436</v>
      </c>
      <c r="I539" s="300" t="s">
        <v>1437</v>
      </c>
      <c r="J539" s="306" t="s">
        <v>22</v>
      </c>
      <c r="K539" s="300"/>
      <c r="L539" s="304">
        <v>1962</v>
      </c>
      <c r="M539" s="300" t="s">
        <v>47</v>
      </c>
      <c r="N539" s="300" t="s">
        <v>1438</v>
      </c>
      <c r="O539" s="300" t="s">
        <v>1439</v>
      </c>
      <c r="P539" s="300" t="s">
        <v>1272</v>
      </c>
      <c r="Q539" s="300" t="s">
        <v>6</v>
      </c>
      <c r="R539" s="300" t="s">
        <v>6</v>
      </c>
      <c r="S539" s="300" t="s">
        <v>1981</v>
      </c>
      <c r="T539" s="300" t="s">
        <v>2458</v>
      </c>
      <c r="U539" s="303">
        <v>0.33</v>
      </c>
      <c r="V539" s="300" t="s">
        <v>2460</v>
      </c>
      <c r="W539" s="307">
        <v>9.5</v>
      </c>
      <c r="X539" s="297">
        <f>(1-VLOOKUP(R539,Start!$H$33:$I$40,2,FALSE)/100)*W539</f>
        <v>8.0749999999999993</v>
      </c>
      <c r="Y539" s="297">
        <f>VLOOKUP(Q539,Start!$C$9:$D$15,2,FALSE)+VLOOKUP(Q539,Start!$C$23:$D$29,2,FALSE)</f>
        <v>0</v>
      </c>
      <c r="Z539" s="298">
        <f>(Y539/U539)+Start!$D$19*(VLOOKUP(Q539,Start!$M$33:$N$39,2,FALSE)/U539)+VLOOKUP(R539,Start!$C$33:$D$40,2,FALSE)</f>
        <v>1</v>
      </c>
      <c r="AA539" s="234"/>
      <c r="AB539" s="278"/>
    </row>
    <row r="540" spans="2:28" ht="18.75" customHeight="1" x14ac:dyDescent="0.3">
      <c r="B540" s="229"/>
      <c r="C540" s="289" t="s">
        <v>2485</v>
      </c>
      <c r="D540" s="305" t="s">
        <v>1440</v>
      </c>
      <c r="E540" s="300" t="s">
        <v>1435</v>
      </c>
      <c r="F540" s="300" t="s">
        <v>33</v>
      </c>
      <c r="G540" s="302">
        <v>49084</v>
      </c>
      <c r="H540" s="300" t="s">
        <v>1436</v>
      </c>
      <c r="I540" s="300" t="s">
        <v>1437</v>
      </c>
      <c r="J540" s="306" t="s">
        <v>22</v>
      </c>
      <c r="K540" s="300"/>
      <c r="L540" s="304">
        <v>1972</v>
      </c>
      <c r="M540" s="300" t="s">
        <v>47</v>
      </c>
      <c r="N540" s="300" t="s">
        <v>1438</v>
      </c>
      <c r="O540" s="300" t="s">
        <v>1439</v>
      </c>
      <c r="P540" s="300" t="s">
        <v>1272</v>
      </c>
      <c r="Q540" s="300" t="s">
        <v>6</v>
      </c>
      <c r="R540" s="300" t="s">
        <v>6</v>
      </c>
      <c r="S540" s="300" t="s">
        <v>1981</v>
      </c>
      <c r="T540" s="300" t="s">
        <v>2458</v>
      </c>
      <c r="U540" s="303">
        <v>0.33</v>
      </c>
      <c r="V540" s="300" t="s">
        <v>2460</v>
      </c>
      <c r="W540" s="307">
        <v>9.8000000000000007</v>
      </c>
      <c r="X540" s="297">
        <f>(1-VLOOKUP(R540,Start!$H$33:$I$40,2,FALSE)/100)*W540</f>
        <v>8.33</v>
      </c>
      <c r="Y540" s="297">
        <f>VLOOKUP(Q540,Start!$C$9:$D$15,2,FALSE)+VLOOKUP(Q540,Start!$C$23:$D$29,2,FALSE)</f>
        <v>0</v>
      </c>
      <c r="Z540" s="298">
        <f>(Y540/U540)+Start!$D$19*(VLOOKUP(Q540,Start!$M$33:$N$39,2,FALSE)/U540)+VLOOKUP(R540,Start!$C$33:$D$40,2,FALSE)</f>
        <v>1</v>
      </c>
      <c r="AA540" s="234"/>
      <c r="AB540" s="278"/>
    </row>
    <row r="541" spans="2:28" ht="18.75" customHeight="1" x14ac:dyDescent="0.3">
      <c r="B541" s="229"/>
      <c r="C541" s="289" t="s">
        <v>2485</v>
      </c>
      <c r="D541" s="305" t="s">
        <v>1310</v>
      </c>
      <c r="E541" s="300" t="s">
        <v>1311</v>
      </c>
      <c r="F541" s="303"/>
      <c r="G541" s="303">
        <v>1468</v>
      </c>
      <c r="H541" s="303" t="s">
        <v>1307</v>
      </c>
      <c r="I541" s="303"/>
      <c r="J541" s="306" t="s">
        <v>78</v>
      </c>
      <c r="K541" s="303"/>
      <c r="L541" s="304" t="s">
        <v>2457</v>
      </c>
      <c r="M541" s="303" t="s">
        <v>7</v>
      </c>
      <c r="N541" s="303"/>
      <c r="O541" s="303"/>
      <c r="P541" s="314" t="s">
        <v>7</v>
      </c>
      <c r="Q541" s="300" t="s">
        <v>7</v>
      </c>
      <c r="R541" s="300" t="s">
        <v>226</v>
      </c>
      <c r="S541" s="300" t="s">
        <v>1986</v>
      </c>
      <c r="T541" s="300" t="s">
        <v>2460</v>
      </c>
      <c r="U541" s="303">
        <v>0.442</v>
      </c>
      <c r="V541" s="303" t="s">
        <v>2461</v>
      </c>
      <c r="W541" s="297">
        <v>33.9</v>
      </c>
      <c r="X541" s="297">
        <f>(1-VLOOKUP(R541,Start!$H$33:$I$40,2,FALSE)/100)*W541</f>
        <v>30.170999999999999</v>
      </c>
      <c r="Y541" s="297">
        <f>VLOOKUP(Q541,Start!$C$9:$D$15,2,FALSE)+VLOOKUP(Q541,Start!$C$23:$D$29,2,FALSE)</f>
        <v>23.27</v>
      </c>
      <c r="Z541" s="298">
        <f>(Y541/U541)+Start!$D$19*(VLOOKUP(Q541,Start!$M$33:$N$39,2,FALSE)/U541)+VLOOKUP(R541,Start!$C$33:$D$40,2,FALSE)</f>
        <v>65.333936651583713</v>
      </c>
      <c r="AA541" s="234"/>
      <c r="AB541" s="278"/>
    </row>
    <row r="542" spans="2:28" ht="18.75" customHeight="1" x14ac:dyDescent="0.3">
      <c r="B542" s="229"/>
      <c r="C542" s="289" t="s">
        <v>2485</v>
      </c>
      <c r="D542" s="299" t="s">
        <v>1008</v>
      </c>
      <c r="E542" s="300" t="s">
        <v>1003</v>
      </c>
      <c r="F542" s="300" t="s">
        <v>1009</v>
      </c>
      <c r="G542" s="311">
        <v>50735</v>
      </c>
      <c r="H542" s="312" t="s">
        <v>1005</v>
      </c>
      <c r="I542" s="300" t="s">
        <v>1010</v>
      </c>
      <c r="J542" s="306" t="s">
        <v>19</v>
      </c>
      <c r="K542" s="300" t="s">
        <v>1011</v>
      </c>
      <c r="L542" s="304" t="s">
        <v>2356</v>
      </c>
      <c r="M542" s="300" t="s">
        <v>6</v>
      </c>
      <c r="N542" s="300" t="s">
        <v>6</v>
      </c>
      <c r="O542" s="300" t="s">
        <v>1007</v>
      </c>
      <c r="P542" s="314" t="s">
        <v>6</v>
      </c>
      <c r="Q542" s="300" t="s">
        <v>6</v>
      </c>
      <c r="R542" s="300" t="s">
        <v>6</v>
      </c>
      <c r="S542" s="300" t="s">
        <v>1981</v>
      </c>
      <c r="T542" s="300" t="s">
        <v>2458</v>
      </c>
      <c r="U542" s="303">
        <v>0.33</v>
      </c>
      <c r="V542" s="300" t="s">
        <v>2458</v>
      </c>
      <c r="W542" s="315">
        <v>18</v>
      </c>
      <c r="X542" s="297">
        <f>(1-VLOOKUP(R542,Start!$H$33:$I$40,2,FALSE)/100)*W542</f>
        <v>15.299999999999999</v>
      </c>
      <c r="Y542" s="297">
        <f>VLOOKUP(Q542,Start!$C$9:$D$15,2,FALSE)+VLOOKUP(Q542,Start!$C$23:$D$29,2,FALSE)</f>
        <v>0</v>
      </c>
      <c r="Z542" s="298">
        <f>(Y542/U542)+Start!$D$19*(VLOOKUP(Q542,Start!$M$33:$N$39,2,FALSE)/U542)+VLOOKUP(R542,Start!$C$33:$D$40,2,FALSE)</f>
        <v>1</v>
      </c>
      <c r="AA542" s="234"/>
      <c r="AB542" s="278"/>
    </row>
    <row r="543" spans="2:28" ht="18.75" customHeight="1" x14ac:dyDescent="0.3">
      <c r="B543" s="229"/>
      <c r="C543" s="289" t="s">
        <v>2485</v>
      </c>
      <c r="D543" s="305" t="s">
        <v>657</v>
      </c>
      <c r="E543" s="300" t="s">
        <v>519</v>
      </c>
      <c r="F543" s="303" t="s">
        <v>658</v>
      </c>
      <c r="G543" s="303">
        <v>60327</v>
      </c>
      <c r="H543" s="303" t="s">
        <v>644</v>
      </c>
      <c r="I543" s="303" t="s">
        <v>656</v>
      </c>
      <c r="J543" s="306" t="s">
        <v>105</v>
      </c>
      <c r="K543" s="303" t="s">
        <v>659</v>
      </c>
      <c r="L543" s="304" t="s">
        <v>2171</v>
      </c>
      <c r="M543" s="300" t="s">
        <v>47</v>
      </c>
      <c r="N543" s="303" t="s">
        <v>7</v>
      </c>
      <c r="O543" s="303" t="s">
        <v>3</v>
      </c>
      <c r="P543" s="303" t="s">
        <v>7</v>
      </c>
      <c r="Q543" s="303" t="s">
        <v>7</v>
      </c>
      <c r="R543" s="300" t="s">
        <v>226</v>
      </c>
      <c r="S543" s="300" t="s">
        <v>1981</v>
      </c>
      <c r="T543" s="300" t="s">
        <v>2458</v>
      </c>
      <c r="U543" s="303">
        <v>0.40479999999999999</v>
      </c>
      <c r="V543" s="300" t="s">
        <v>2458</v>
      </c>
      <c r="W543" s="307">
        <v>38.700000000000003</v>
      </c>
      <c r="X543" s="297">
        <f>(1-VLOOKUP(R543,Start!$H$33:$I$40,2,FALSE)/100)*W543</f>
        <v>34.443000000000005</v>
      </c>
      <c r="Y543" s="297">
        <f>VLOOKUP(Q543,Start!$C$9:$D$15,2,FALSE)+VLOOKUP(Q543,Start!$C$23:$D$29,2,FALSE)</f>
        <v>23.27</v>
      </c>
      <c r="Z543" s="298">
        <f>(Y543/U543)+Start!$D$19*(VLOOKUP(Q543,Start!$M$33:$N$39,2,FALSE)/U543)+VLOOKUP(R543,Start!$C$33:$D$40,2,FALSE)</f>
        <v>71.20009881422925</v>
      </c>
      <c r="AA543" s="234"/>
      <c r="AB543" s="278"/>
    </row>
    <row r="544" spans="2:28" ht="18.75" customHeight="1" x14ac:dyDescent="0.3">
      <c r="B544" s="229"/>
      <c r="C544" s="289" t="s">
        <v>2485</v>
      </c>
      <c r="D544" s="305" t="s">
        <v>1043</v>
      </c>
      <c r="E544" s="300" t="s">
        <v>1044</v>
      </c>
      <c r="F544" s="303" t="s">
        <v>1045</v>
      </c>
      <c r="G544" s="308">
        <v>50997</v>
      </c>
      <c r="H544" s="303" t="s">
        <v>1005</v>
      </c>
      <c r="I544" s="303" t="s">
        <v>1046</v>
      </c>
      <c r="J544" s="301" t="s">
        <v>19</v>
      </c>
      <c r="K544" s="303"/>
      <c r="L544" s="304" t="s">
        <v>2049</v>
      </c>
      <c r="M544" s="309" t="s">
        <v>419</v>
      </c>
      <c r="N544" s="309" t="s">
        <v>1047</v>
      </c>
      <c r="O544" s="309"/>
      <c r="P544" s="309" t="s">
        <v>214</v>
      </c>
      <c r="Q544" s="300" t="s">
        <v>7</v>
      </c>
      <c r="R544" s="300" t="s">
        <v>226</v>
      </c>
      <c r="S544" s="300" t="s">
        <v>1981</v>
      </c>
      <c r="T544" s="300" t="s">
        <v>2458</v>
      </c>
      <c r="U544" s="303">
        <v>0.34100000000000003</v>
      </c>
      <c r="V544" s="303" t="s">
        <v>2461</v>
      </c>
      <c r="W544" s="297">
        <v>26.5</v>
      </c>
      <c r="X544" s="297">
        <f>(1-VLOOKUP(R544,Start!$H$33:$I$40,2,FALSE)/100)*W544</f>
        <v>23.585000000000001</v>
      </c>
      <c r="Y544" s="297">
        <f>VLOOKUP(Q544,Start!$C$9:$D$15,2,FALSE)+VLOOKUP(Q544,Start!$C$23:$D$29,2,FALSE)</f>
        <v>23.27</v>
      </c>
      <c r="Z544" s="298">
        <f>(Y544/U544)+Start!$D$19*(VLOOKUP(Q544,Start!$M$33:$N$39,2,FALSE)/U544)+VLOOKUP(R544,Start!$C$33:$D$40,2,FALSE)</f>
        <v>84.240762463343103</v>
      </c>
      <c r="AA544" s="234"/>
      <c r="AB544" s="278"/>
    </row>
    <row r="545" spans="2:28" ht="18.75" customHeight="1" x14ac:dyDescent="0.3">
      <c r="B545" s="229"/>
      <c r="C545" s="289" t="s">
        <v>2485</v>
      </c>
      <c r="D545" s="305" t="s">
        <v>422</v>
      </c>
      <c r="E545" s="300" t="s">
        <v>423</v>
      </c>
      <c r="F545" s="300" t="s">
        <v>424</v>
      </c>
      <c r="G545" s="303">
        <v>84130</v>
      </c>
      <c r="H545" s="303" t="s">
        <v>425</v>
      </c>
      <c r="I545" s="303" t="s">
        <v>426</v>
      </c>
      <c r="J545" s="306" t="s">
        <v>55</v>
      </c>
      <c r="K545" s="303" t="s">
        <v>427</v>
      </c>
      <c r="L545" s="304" t="s">
        <v>2148</v>
      </c>
      <c r="M545" s="303" t="s">
        <v>7</v>
      </c>
      <c r="N545" s="303"/>
      <c r="O545" s="303"/>
      <c r="P545" s="303" t="s">
        <v>7</v>
      </c>
      <c r="Q545" s="303" t="s">
        <v>7</v>
      </c>
      <c r="R545" s="300" t="s">
        <v>226</v>
      </c>
      <c r="S545" s="300" t="s">
        <v>1981</v>
      </c>
      <c r="T545" s="300" t="s">
        <v>2458</v>
      </c>
      <c r="U545" s="303">
        <v>0.4037</v>
      </c>
      <c r="V545" s="300" t="s">
        <v>2458</v>
      </c>
      <c r="W545" s="307">
        <v>16</v>
      </c>
      <c r="X545" s="297">
        <f>(1-VLOOKUP(R545,Start!$H$33:$I$40,2,FALSE)/100)*W545</f>
        <v>14.24</v>
      </c>
      <c r="Y545" s="297">
        <f>VLOOKUP(Q545,Start!$C$9:$D$15,2,FALSE)+VLOOKUP(Q545,Start!$C$23:$D$29,2,FALSE)</f>
        <v>23.27</v>
      </c>
      <c r="Z545" s="298">
        <f>(Y545/U545)+Start!$D$19*(VLOOKUP(Q545,Start!$M$33:$N$39,2,FALSE)/U545)+VLOOKUP(R545,Start!$C$33:$D$40,2,FALSE)</f>
        <v>71.390017339608619</v>
      </c>
      <c r="AA545" s="234"/>
      <c r="AB545" s="278"/>
    </row>
    <row r="546" spans="2:28" ht="18.75" customHeight="1" x14ac:dyDescent="0.3">
      <c r="B546" s="229"/>
      <c r="C546" s="289" t="s">
        <v>2485</v>
      </c>
      <c r="D546" s="305" t="s">
        <v>1963</v>
      </c>
      <c r="E546" s="300" t="s">
        <v>1964</v>
      </c>
      <c r="F546" s="300"/>
      <c r="G546" s="303">
        <v>72359</v>
      </c>
      <c r="H546" s="303" t="s">
        <v>1965</v>
      </c>
      <c r="I546" s="303" t="s">
        <v>1966</v>
      </c>
      <c r="J546" s="306" t="s">
        <v>20</v>
      </c>
      <c r="K546" s="303"/>
      <c r="L546" s="304" t="s">
        <v>2450</v>
      </c>
      <c r="M546" s="303" t="s">
        <v>419</v>
      </c>
      <c r="N546" s="303" t="s">
        <v>1967</v>
      </c>
      <c r="O546" s="303"/>
      <c r="P546" s="314" t="s">
        <v>214</v>
      </c>
      <c r="Q546" s="300" t="s">
        <v>5</v>
      </c>
      <c r="R546" s="300" t="s">
        <v>5</v>
      </c>
      <c r="S546" s="300" t="s">
        <v>1981</v>
      </c>
      <c r="T546" s="300" t="s">
        <v>2460</v>
      </c>
      <c r="U546" s="303">
        <v>0.33</v>
      </c>
      <c r="V546" s="300" t="s">
        <v>2460</v>
      </c>
      <c r="W546" s="307">
        <v>10.119999999999999</v>
      </c>
      <c r="X546" s="297">
        <f>(1-VLOOKUP(R546,Start!$H$33:$I$40,2,FALSE)/100)*W546</f>
        <v>8.6019999999999985</v>
      </c>
      <c r="Y546" s="297">
        <f>VLOOKUP(Q546,Start!$C$9:$D$15,2,FALSE)+VLOOKUP(Q546,Start!$C$23:$D$29,2,FALSE)</f>
        <v>32.923832923832919</v>
      </c>
      <c r="Z546" s="298">
        <f>(Y546/U546)+Start!$D$19*(VLOOKUP(Q546,Start!$M$33:$N$39,2,FALSE)/U546)+VLOOKUP(R546,Start!$C$33:$D$40,2,FALSE)</f>
        <v>116.72191795100883</v>
      </c>
      <c r="AA546" s="234"/>
      <c r="AB546" s="278"/>
    </row>
    <row r="547" spans="2:28" ht="18.75" customHeight="1" x14ac:dyDescent="0.3">
      <c r="B547" s="229"/>
      <c r="C547" s="289" t="s">
        <v>2485</v>
      </c>
      <c r="D547" s="305" t="s">
        <v>1968</v>
      </c>
      <c r="E547" s="300" t="s">
        <v>630</v>
      </c>
      <c r="F547" s="313" t="s">
        <v>1969</v>
      </c>
      <c r="G547" s="131">
        <v>24939</v>
      </c>
      <c r="H547" s="132" t="s">
        <v>632</v>
      </c>
      <c r="I547" s="303" t="s">
        <v>633</v>
      </c>
      <c r="J547" s="306" t="s">
        <v>27</v>
      </c>
      <c r="K547" s="303"/>
      <c r="L547" s="304" t="s">
        <v>2138</v>
      </c>
      <c r="M547" s="303" t="s">
        <v>47</v>
      </c>
      <c r="N547" s="303" t="s">
        <v>7</v>
      </c>
      <c r="O547" s="303" t="s">
        <v>408</v>
      </c>
      <c r="P547" s="303" t="s">
        <v>7</v>
      </c>
      <c r="Q547" s="303" t="s">
        <v>7</v>
      </c>
      <c r="R547" s="300" t="s">
        <v>226</v>
      </c>
      <c r="S547" s="300" t="s">
        <v>1981</v>
      </c>
      <c r="T547" s="300" t="s">
        <v>2458</v>
      </c>
      <c r="U547" s="303">
        <v>0.40260000000000001</v>
      </c>
      <c r="V547" s="300" t="s">
        <v>2458</v>
      </c>
      <c r="W547" s="307">
        <v>29</v>
      </c>
      <c r="X547" s="297">
        <f>(1-VLOOKUP(R547,Start!$H$33:$I$40,2,FALSE)/100)*W547</f>
        <v>25.81</v>
      </c>
      <c r="Y547" s="297">
        <f>VLOOKUP(Q547,Start!$C$9:$D$15,2,FALSE)+VLOOKUP(Q547,Start!$C$23:$D$29,2,FALSE)</f>
        <v>23.27</v>
      </c>
      <c r="Z547" s="298">
        <f>(Y547/U547)+Start!$D$19*(VLOOKUP(Q547,Start!$M$33:$N$39,2,FALSE)/U547)+VLOOKUP(R547,Start!$C$33:$D$40,2,FALSE)</f>
        <v>71.580973671137599</v>
      </c>
      <c r="AA547" s="234"/>
      <c r="AB547" s="278"/>
    </row>
    <row r="548" spans="2:28" ht="18.75" customHeight="1" x14ac:dyDescent="0.3">
      <c r="B548" s="229"/>
      <c r="C548" s="289" t="s">
        <v>2485</v>
      </c>
      <c r="D548" s="305" t="s">
        <v>1970</v>
      </c>
      <c r="E548" s="317" t="s">
        <v>40</v>
      </c>
      <c r="F548" s="301" t="s">
        <v>1971</v>
      </c>
      <c r="G548" s="300">
        <v>70188</v>
      </c>
      <c r="H548" s="303" t="s">
        <v>1721</v>
      </c>
      <c r="I548" s="303"/>
      <c r="J548" s="301" t="s">
        <v>20</v>
      </c>
      <c r="K548" s="301" t="s">
        <v>1972</v>
      </c>
      <c r="L548" s="304" t="s">
        <v>2283</v>
      </c>
      <c r="M548" s="301" t="s">
        <v>7</v>
      </c>
      <c r="N548" s="132" t="s">
        <v>1973</v>
      </c>
      <c r="O548" s="303"/>
      <c r="P548" s="303" t="s">
        <v>7</v>
      </c>
      <c r="Q548" s="301" t="s">
        <v>7</v>
      </c>
      <c r="R548" s="300" t="s">
        <v>226</v>
      </c>
      <c r="S548" s="300" t="s">
        <v>1981</v>
      </c>
      <c r="T548" s="300" t="s">
        <v>2458</v>
      </c>
      <c r="U548" s="303">
        <v>0.40479999999999999</v>
      </c>
      <c r="V548" s="300" t="s">
        <v>2458</v>
      </c>
      <c r="W548" s="297">
        <v>29.151</v>
      </c>
      <c r="X548" s="297">
        <f>(1-VLOOKUP(R548,Start!$H$33:$I$40,2,FALSE)/100)*W548</f>
        <v>25.944389999999999</v>
      </c>
      <c r="Y548" s="297">
        <f>VLOOKUP(Q548,Start!$C$9:$D$15,2,FALSE)+VLOOKUP(Q548,Start!$C$23:$D$29,2,FALSE)</f>
        <v>23.27</v>
      </c>
      <c r="Z548" s="298">
        <f>(Y548/U548)+Start!$D$19*(VLOOKUP(Q548,Start!$M$33:$N$39,2,FALSE)/U548)+VLOOKUP(R548,Start!$C$33:$D$40,2,FALSE)</f>
        <v>71.20009881422925</v>
      </c>
      <c r="AA548" s="234"/>
      <c r="AB548" s="278"/>
    </row>
    <row r="549" spans="2:28" ht="18.75" customHeight="1" x14ac:dyDescent="0.3">
      <c r="B549" s="229"/>
      <c r="C549" s="289" t="s">
        <v>2485</v>
      </c>
      <c r="D549" s="299" t="s">
        <v>444</v>
      </c>
      <c r="E549" s="300" t="s">
        <v>439</v>
      </c>
      <c r="F549" s="300" t="s">
        <v>445</v>
      </c>
      <c r="G549" s="311">
        <v>1099</v>
      </c>
      <c r="H549" s="312" t="s">
        <v>441</v>
      </c>
      <c r="I549" s="313" t="s">
        <v>446</v>
      </c>
      <c r="J549" s="306" t="s">
        <v>78</v>
      </c>
      <c r="K549" s="313" t="s">
        <v>445</v>
      </c>
      <c r="L549" s="304" t="s">
        <v>2453</v>
      </c>
      <c r="M549" s="300" t="s">
        <v>7</v>
      </c>
      <c r="N549" s="300"/>
      <c r="O549" s="313"/>
      <c r="P549" s="314" t="s">
        <v>7</v>
      </c>
      <c r="Q549" s="300" t="s">
        <v>7</v>
      </c>
      <c r="R549" s="300" t="s">
        <v>226</v>
      </c>
      <c r="S549" s="300" t="s">
        <v>1986</v>
      </c>
      <c r="T549" s="300" t="s">
        <v>2460</v>
      </c>
      <c r="U549" s="303">
        <v>0.45600000000000002</v>
      </c>
      <c r="V549" s="303" t="s">
        <v>2461</v>
      </c>
      <c r="W549" s="315">
        <v>11.5</v>
      </c>
      <c r="X549" s="297">
        <f>(1-VLOOKUP(R549,Start!$H$33:$I$40,2,FALSE)/100)*W549</f>
        <v>10.234999999999999</v>
      </c>
      <c r="Y549" s="297">
        <f>VLOOKUP(Q549,Start!$C$9:$D$15,2,FALSE)+VLOOKUP(Q549,Start!$C$23:$D$29,2,FALSE)</f>
        <v>23.27</v>
      </c>
      <c r="Z549" s="298">
        <f>(Y549/U549)+Start!$D$19*(VLOOKUP(Q549,Start!$M$33:$N$39,2,FALSE)/U549)+VLOOKUP(R549,Start!$C$33:$D$40,2,FALSE)</f>
        <v>63.374122807017542</v>
      </c>
      <c r="AA549" s="234"/>
      <c r="AB549" s="278"/>
    </row>
    <row r="550" spans="2:28" ht="18.75" customHeight="1" x14ac:dyDescent="0.3">
      <c r="B550" s="229"/>
      <c r="C550" s="289" t="s">
        <v>2485</v>
      </c>
      <c r="D550" s="305" t="s">
        <v>397</v>
      </c>
      <c r="E550" s="300" t="s">
        <v>398</v>
      </c>
      <c r="F550" s="300" t="s">
        <v>399</v>
      </c>
      <c r="G550" s="302">
        <v>7546</v>
      </c>
      <c r="H550" s="300" t="s">
        <v>400</v>
      </c>
      <c r="I550" s="300"/>
      <c r="J550" s="306" t="s">
        <v>77</v>
      </c>
      <c r="K550" s="300"/>
      <c r="L550" s="304" t="s">
        <v>401</v>
      </c>
      <c r="M550" s="300" t="s">
        <v>7</v>
      </c>
      <c r="N550" s="300"/>
      <c r="O550" s="300"/>
      <c r="P550" s="314" t="s">
        <v>7</v>
      </c>
      <c r="Q550" s="300" t="s">
        <v>7</v>
      </c>
      <c r="R550" s="300" t="s">
        <v>226</v>
      </c>
      <c r="S550" s="300" t="s">
        <v>1986</v>
      </c>
      <c r="T550" s="300" t="s">
        <v>2391</v>
      </c>
      <c r="U550" s="303">
        <v>0.45600000000000002</v>
      </c>
      <c r="V550" s="303" t="s">
        <v>2461</v>
      </c>
      <c r="W550" s="307">
        <v>17.3</v>
      </c>
      <c r="X550" s="297">
        <f>(1-VLOOKUP(R550,Start!$H$33:$I$40,2,FALSE)/100)*W550</f>
        <v>15.397</v>
      </c>
      <c r="Y550" s="297">
        <f>VLOOKUP(Q550,Start!$C$9:$D$15,2,FALSE)+VLOOKUP(Q550,Start!$C$23:$D$29,2,FALSE)</f>
        <v>23.27</v>
      </c>
      <c r="Z550" s="298">
        <f>(Y550/U550)+Start!$D$19*(VLOOKUP(Q550,Start!$M$33:$N$39,2,FALSE)/U550)+VLOOKUP(R550,Start!$C$33:$D$40,2,FALSE)</f>
        <v>63.374122807017542</v>
      </c>
      <c r="AA550" s="234"/>
      <c r="AB550" s="278"/>
    </row>
    <row r="551" spans="2:28" ht="18.75" customHeight="1" x14ac:dyDescent="0.3">
      <c r="B551" s="229"/>
      <c r="C551" s="289" t="s">
        <v>2485</v>
      </c>
      <c r="D551" s="299" t="s">
        <v>402</v>
      </c>
      <c r="E551" s="300" t="s">
        <v>398</v>
      </c>
      <c r="F551" s="300" t="s">
        <v>403</v>
      </c>
      <c r="G551" s="302">
        <v>7549</v>
      </c>
      <c r="H551" s="300" t="s">
        <v>400</v>
      </c>
      <c r="I551" s="300"/>
      <c r="J551" s="306" t="s">
        <v>77</v>
      </c>
      <c r="K551" s="300"/>
      <c r="L551" s="304" t="s">
        <v>401</v>
      </c>
      <c r="M551" s="132" t="s">
        <v>7</v>
      </c>
      <c r="N551" s="132"/>
      <c r="O551" s="132"/>
      <c r="P551" s="314" t="s">
        <v>7</v>
      </c>
      <c r="Q551" s="300" t="s">
        <v>7</v>
      </c>
      <c r="R551" s="300" t="s">
        <v>226</v>
      </c>
      <c r="S551" s="300" t="s">
        <v>1986</v>
      </c>
      <c r="T551" s="300" t="s">
        <v>2390</v>
      </c>
      <c r="U551" s="303">
        <v>0.45600000000000002</v>
      </c>
      <c r="V551" s="303" t="s">
        <v>2461</v>
      </c>
      <c r="W551" s="307">
        <v>22.05</v>
      </c>
      <c r="X551" s="297">
        <f>(1-VLOOKUP(R551,Start!$H$33:$I$40,2,FALSE)/100)*W551</f>
        <v>19.624500000000001</v>
      </c>
      <c r="Y551" s="297">
        <f>VLOOKUP(Q551,Start!$C$9:$D$15,2,FALSE)+VLOOKUP(Q551,Start!$C$23:$D$29,2,FALSE)</f>
        <v>23.27</v>
      </c>
      <c r="Z551" s="298">
        <f>(Y551/U551)+Start!$D$19*(VLOOKUP(Q551,Start!$M$33:$N$39,2,FALSE)/U551)+VLOOKUP(R551,Start!$C$33:$D$40,2,FALSE)</f>
        <v>63.374122807017542</v>
      </c>
      <c r="AA551" s="234"/>
      <c r="AB551" s="278"/>
    </row>
    <row r="552" spans="2:28" ht="18.75" customHeight="1" x14ac:dyDescent="0.3">
      <c r="B552" s="229"/>
      <c r="C552" s="289" t="s">
        <v>2485</v>
      </c>
      <c r="D552" s="305" t="s">
        <v>1974</v>
      </c>
      <c r="E552" s="317" t="s">
        <v>1975</v>
      </c>
      <c r="F552" s="301" t="s">
        <v>1976</v>
      </c>
      <c r="G552" s="304">
        <v>36433</v>
      </c>
      <c r="H552" s="303" t="s">
        <v>113</v>
      </c>
      <c r="I552" s="303"/>
      <c r="J552" s="301" t="s">
        <v>77</v>
      </c>
      <c r="K552" s="301" t="s">
        <v>1976</v>
      </c>
      <c r="L552" s="304" t="s">
        <v>2446</v>
      </c>
      <c r="M552" s="301" t="s">
        <v>7</v>
      </c>
      <c r="N552" s="132"/>
      <c r="O552" s="303"/>
      <c r="P552" s="303" t="s">
        <v>7</v>
      </c>
      <c r="Q552" s="301" t="s">
        <v>7</v>
      </c>
      <c r="R552" s="300" t="s">
        <v>226</v>
      </c>
      <c r="S552" s="300" t="s">
        <v>1986</v>
      </c>
      <c r="T552" s="300" t="s">
        <v>2464</v>
      </c>
      <c r="U552" s="303">
        <v>0.45600000000000002</v>
      </c>
      <c r="V552" s="303" t="s">
        <v>2461</v>
      </c>
      <c r="W552" s="297">
        <v>10</v>
      </c>
      <c r="X552" s="297">
        <f>(1-VLOOKUP(R552,Start!$H$33:$I$40,2,FALSE)/100)*W552</f>
        <v>8.9</v>
      </c>
      <c r="Y552" s="297">
        <f>VLOOKUP(Q552,Start!$C$9:$D$15,2,FALSE)+VLOOKUP(Q552,Start!$C$23:$D$29,2,FALSE)</f>
        <v>23.27</v>
      </c>
      <c r="Z552" s="298">
        <f>(Y552/U552)+Start!$D$19*(VLOOKUP(Q552,Start!$M$33:$N$39,2,FALSE)/U552)+VLOOKUP(R552,Start!$C$33:$D$40,2,FALSE)</f>
        <v>63.374122807017542</v>
      </c>
      <c r="AA552" s="234"/>
      <c r="AB552" s="278"/>
    </row>
    <row r="553" spans="2:28" ht="18.75" customHeight="1" x14ac:dyDescent="0.3">
      <c r="B553" s="229"/>
      <c r="C553" s="289" t="s">
        <v>2485</v>
      </c>
      <c r="D553" s="305" t="s">
        <v>1977</v>
      </c>
      <c r="E553" s="317" t="s">
        <v>423</v>
      </c>
      <c r="F553" s="301" t="s">
        <v>1978</v>
      </c>
      <c r="G553" s="304">
        <v>84030</v>
      </c>
      <c r="H553" s="303" t="s">
        <v>1979</v>
      </c>
      <c r="I553" s="303"/>
      <c r="J553" s="301" t="s">
        <v>55</v>
      </c>
      <c r="K553" s="301" t="s">
        <v>1978</v>
      </c>
      <c r="L553" s="304"/>
      <c r="M553" s="301" t="s">
        <v>7</v>
      </c>
      <c r="N553" s="132"/>
      <c r="O553" s="303"/>
      <c r="P553" s="303" t="s">
        <v>7</v>
      </c>
      <c r="Q553" s="301" t="s">
        <v>7</v>
      </c>
      <c r="R553" s="300" t="s">
        <v>226</v>
      </c>
      <c r="S553" s="300" t="s">
        <v>1986</v>
      </c>
      <c r="T553" s="300" t="s">
        <v>2466</v>
      </c>
      <c r="U553" s="303">
        <v>0.45600000000000002</v>
      </c>
      <c r="V553" s="303" t="s">
        <v>2461</v>
      </c>
      <c r="W553" s="297">
        <v>17.600000000000001</v>
      </c>
      <c r="X553" s="297">
        <f>(1-VLOOKUP(R553,Start!$H$33:$I$40,2,FALSE)/100)*W553</f>
        <v>15.664000000000001</v>
      </c>
      <c r="Y553" s="297">
        <f>VLOOKUP(Q553,Start!$C$9:$D$15,2,FALSE)+VLOOKUP(Q553,Start!$C$23:$D$29,2,FALSE)</f>
        <v>23.27</v>
      </c>
      <c r="Z553" s="298">
        <f>(Y553/U553)+Start!$D$19*(VLOOKUP(Q553,Start!$M$33:$N$39,2,FALSE)/U553)+VLOOKUP(R553,Start!$C$33:$D$40,2,FALSE)</f>
        <v>63.374122807017542</v>
      </c>
      <c r="AA553" s="234"/>
      <c r="AB553" s="278"/>
    </row>
    <row r="554" spans="2:28" ht="18.75" customHeight="1" x14ac:dyDescent="0.3">
      <c r="B554" s="229"/>
      <c r="C554" s="290" t="s">
        <v>2485</v>
      </c>
      <c r="D554" s="305"/>
      <c r="E554" s="300" t="s">
        <v>1980</v>
      </c>
      <c r="F554" s="300"/>
      <c r="G554" s="304"/>
      <c r="H554" s="300"/>
      <c r="I554" s="300"/>
      <c r="J554" s="306"/>
      <c r="K554" s="300"/>
      <c r="L554" s="304"/>
      <c r="M554" s="300" t="s">
        <v>6</v>
      </c>
      <c r="N554" s="300"/>
      <c r="O554" s="313"/>
      <c r="P554" s="313" t="s">
        <v>6</v>
      </c>
      <c r="Q554" s="300" t="s">
        <v>6</v>
      </c>
      <c r="R554" s="300" t="s">
        <v>6</v>
      </c>
      <c r="S554" s="300" t="s">
        <v>1981</v>
      </c>
      <c r="T554" s="300" t="s">
        <v>2460</v>
      </c>
      <c r="U554" s="303">
        <v>0.33</v>
      </c>
      <c r="V554" s="300" t="s">
        <v>2460</v>
      </c>
      <c r="W554" s="297">
        <v>118.6865</v>
      </c>
      <c r="X554" s="297">
        <f>(1-VLOOKUP(R554,Start!$H$33:$I$40,2,FALSE)/100)*W554</f>
        <v>100.88352499999999</v>
      </c>
      <c r="Y554" s="297">
        <f>VLOOKUP(Q554,Start!$C$9:$D$15,2,FALSE)+VLOOKUP(Q554,Start!$C$23:$D$29,2,FALSE)</f>
        <v>0</v>
      </c>
      <c r="Z554" s="298">
        <f>(Y554/U554)+Start!$D$19*(VLOOKUP(Q554,Start!$M$33:$N$39,2,FALSE)/U554)+VLOOKUP(R554,Start!$C$33:$D$40,2,FALSE)</f>
        <v>1</v>
      </c>
      <c r="AA554" s="234"/>
      <c r="AB554" s="278"/>
    </row>
    <row r="555" spans="2:28" ht="18.75" customHeight="1" x14ac:dyDescent="0.3">
      <c r="B555" s="229"/>
      <c r="C555" s="289" t="s">
        <v>2485</v>
      </c>
      <c r="D555" s="305"/>
      <c r="E555" s="300" t="s">
        <v>1980</v>
      </c>
      <c r="F555" s="303"/>
      <c r="G555" s="304"/>
      <c r="H555" s="300"/>
      <c r="I555" s="300"/>
      <c r="J555" s="306"/>
      <c r="K555" s="300"/>
      <c r="L555" s="304"/>
      <c r="M555" s="303" t="s">
        <v>2</v>
      </c>
      <c r="N555" s="303"/>
      <c r="O555" s="300"/>
      <c r="P555" s="300" t="s">
        <v>2</v>
      </c>
      <c r="Q555" s="300" t="s">
        <v>2</v>
      </c>
      <c r="R555" s="300" t="s">
        <v>2</v>
      </c>
      <c r="S555" s="300" t="s">
        <v>1981</v>
      </c>
      <c r="T555" s="300" t="s">
        <v>2460</v>
      </c>
      <c r="U555" s="303">
        <v>0.376</v>
      </c>
      <c r="V555" s="303" t="s">
        <v>2461</v>
      </c>
      <c r="W555" s="297">
        <v>22.718</v>
      </c>
      <c r="X555" s="297">
        <f>(1-VLOOKUP(R555,Start!$H$33:$I$40,2,FALSE)/100)*W555</f>
        <v>19.764659999999999</v>
      </c>
      <c r="Y555" s="297">
        <f>VLOOKUP(Q555,Start!$C$9:$D$15,2,FALSE)+VLOOKUP(Q555,Start!$C$23:$D$29,2,FALSE)</f>
        <v>3.1</v>
      </c>
      <c r="Z555" s="298">
        <f>(Y555/U555)+Start!$D$19*(VLOOKUP(Q555,Start!$M$33:$N$39,2,FALSE)/U555)+VLOOKUP(R555,Start!$C$33:$D$40,2,FALSE)</f>
        <v>36.376595744680856</v>
      </c>
      <c r="AA555" s="234"/>
      <c r="AB555" s="278"/>
    </row>
    <row r="556" spans="2:28" ht="18.75" customHeight="1" x14ac:dyDescent="0.3">
      <c r="B556" s="229"/>
      <c r="C556" s="289" t="s">
        <v>2485</v>
      </c>
      <c r="D556" s="305"/>
      <c r="E556" s="300" t="s">
        <v>1980</v>
      </c>
      <c r="F556" s="303"/>
      <c r="G556" s="304"/>
      <c r="H556" s="300"/>
      <c r="I556" s="300"/>
      <c r="J556" s="306"/>
      <c r="K556" s="300"/>
      <c r="L556" s="304"/>
      <c r="M556" s="303" t="s">
        <v>3</v>
      </c>
      <c r="N556" s="303"/>
      <c r="O556" s="300"/>
      <c r="P556" s="300" t="s">
        <v>3</v>
      </c>
      <c r="Q556" s="300" t="s">
        <v>3</v>
      </c>
      <c r="R556" s="300" t="s">
        <v>3</v>
      </c>
      <c r="S556" s="300" t="s">
        <v>1981</v>
      </c>
      <c r="T556" s="300" t="s">
        <v>2460</v>
      </c>
      <c r="U556" s="303">
        <v>0.375</v>
      </c>
      <c r="V556" s="303" t="s">
        <v>2461</v>
      </c>
      <c r="W556" s="297">
        <v>14.3</v>
      </c>
      <c r="X556" s="297">
        <f>(1-VLOOKUP(R556,Start!$H$33:$I$40,2,FALSE)/100)*W556</f>
        <v>11.154000000000002</v>
      </c>
      <c r="Y556" s="297">
        <f>VLOOKUP(Q556,Start!$C$9:$D$15,2,FALSE)+VLOOKUP(Q556,Start!$C$23:$D$29,2,FALSE)</f>
        <v>12.53</v>
      </c>
      <c r="Z556" s="298">
        <f>(Y556/U556)+Start!$D$19*(VLOOKUP(Q556,Start!$M$33:$N$39,2,FALSE)/U556)+VLOOKUP(R556,Start!$C$33:$D$40,2,FALSE)</f>
        <v>56.82053333333333</v>
      </c>
      <c r="AA556" s="234"/>
      <c r="AB556" s="278"/>
    </row>
    <row r="557" spans="2:28" ht="18.75" customHeight="1" x14ac:dyDescent="0.3">
      <c r="B557" s="229"/>
      <c r="C557" s="289" t="s">
        <v>2485</v>
      </c>
      <c r="D557" s="305"/>
      <c r="E557" s="300" t="s">
        <v>1980</v>
      </c>
      <c r="F557" s="300"/>
      <c r="G557" s="304"/>
      <c r="H557" s="300"/>
      <c r="I557" s="300"/>
      <c r="J557" s="306"/>
      <c r="K557" s="300"/>
      <c r="L557" s="304"/>
      <c r="M557" s="300" t="s">
        <v>7</v>
      </c>
      <c r="N557" s="300"/>
      <c r="O557" s="300"/>
      <c r="P557" s="300" t="s">
        <v>7</v>
      </c>
      <c r="Q557" s="300" t="s">
        <v>7</v>
      </c>
      <c r="R557" s="300" t="s">
        <v>96</v>
      </c>
      <c r="S557" s="300" t="s">
        <v>2115</v>
      </c>
      <c r="T557" s="300" t="s">
        <v>2460</v>
      </c>
      <c r="U557" s="303">
        <v>0.35399999999999998</v>
      </c>
      <c r="V557" s="303" t="s">
        <v>2461</v>
      </c>
      <c r="W557" s="307">
        <v>3328.1768078703249</v>
      </c>
      <c r="X557" s="297">
        <f>(1-VLOOKUP(R557,Start!$H$33:$I$40,2,FALSE)/100)*W557</f>
        <v>2962.0773590045892</v>
      </c>
      <c r="Y557" s="297">
        <f>VLOOKUP(Q557,Start!$C$9:$D$15,2,FALSE)+VLOOKUP(Q557,Start!$C$23:$D$29,2,FALSE)</f>
        <v>23.27</v>
      </c>
      <c r="Z557" s="298">
        <f>(Y557/U557)+Start!$D$19*(VLOOKUP(Q557,Start!$M$33:$N$39,2,FALSE)/U557)+VLOOKUP(R557,Start!$C$33:$D$40,2,FALSE)</f>
        <v>80.702259887005653</v>
      </c>
      <c r="AA557" s="234"/>
      <c r="AB557" s="278"/>
    </row>
    <row r="558" spans="2:28" ht="18.75" customHeight="1" x14ac:dyDescent="0.3">
      <c r="B558" s="229"/>
      <c r="C558" s="289" t="s">
        <v>2485</v>
      </c>
      <c r="D558" s="305"/>
      <c r="E558" s="300" t="s">
        <v>1980</v>
      </c>
      <c r="F558" s="300"/>
      <c r="G558" s="304"/>
      <c r="H558" s="300"/>
      <c r="I558" s="300"/>
      <c r="J558" s="306"/>
      <c r="K558" s="300"/>
      <c r="L558" s="304"/>
      <c r="M558" s="300" t="s">
        <v>48</v>
      </c>
      <c r="N558" s="300"/>
      <c r="O558" s="300"/>
      <c r="P558" s="300" t="s">
        <v>48</v>
      </c>
      <c r="Q558" s="300" t="s">
        <v>4</v>
      </c>
      <c r="R558" s="300" t="s">
        <v>4</v>
      </c>
      <c r="S558" s="300" t="s">
        <v>1981</v>
      </c>
      <c r="T558" s="300" t="s">
        <v>2460</v>
      </c>
      <c r="U558" s="303">
        <v>0.374</v>
      </c>
      <c r="V558" s="303" t="s">
        <v>2461</v>
      </c>
      <c r="W558" s="307">
        <v>407.55932512967502</v>
      </c>
      <c r="X558" s="297">
        <f>(1-VLOOKUP(R558,Start!$H$33:$I$40,2,FALSE)/100)*W558</f>
        <v>346.42542636022375</v>
      </c>
      <c r="Y558" s="297">
        <f>VLOOKUP(Q558,Start!$C$9:$D$15,2,FALSE)+VLOOKUP(Q558,Start!$C$23:$D$29,2,FALSE)</f>
        <v>33.223832923832894</v>
      </c>
      <c r="Z558" s="298">
        <f>(Y558/U558)+Start!$D$19*(VLOOKUP(Q558,Start!$M$33:$N$39,2,FALSE)/U558)+VLOOKUP(R558,Start!$C$33:$D$40,2,FALSE)</f>
        <v>108.25089017067619</v>
      </c>
      <c r="AA558" s="234"/>
      <c r="AB558" s="278"/>
    </row>
    <row r="559" spans="2:28" ht="18.75" customHeight="1" thickBot="1" x14ac:dyDescent="0.35">
      <c r="B559" s="229"/>
      <c r="C559" s="291" t="s">
        <v>2485</v>
      </c>
      <c r="D559" s="342"/>
      <c r="E559" s="343" t="s">
        <v>1980</v>
      </c>
      <c r="F559" s="343"/>
      <c r="G559" s="344"/>
      <c r="H559" s="343"/>
      <c r="I559" s="343"/>
      <c r="J559" s="345"/>
      <c r="K559" s="343"/>
      <c r="L559" s="344"/>
      <c r="M559" s="343" t="s">
        <v>419</v>
      </c>
      <c r="N559" s="343"/>
      <c r="O559" s="343"/>
      <c r="P559" s="343" t="s">
        <v>214</v>
      </c>
      <c r="Q559" s="343" t="s">
        <v>5</v>
      </c>
      <c r="R559" s="343" t="s">
        <v>5</v>
      </c>
      <c r="S559" s="343" t="s">
        <v>1981</v>
      </c>
      <c r="T559" s="343" t="s">
        <v>2460</v>
      </c>
      <c r="U559" s="346">
        <v>0.33</v>
      </c>
      <c r="V559" s="343" t="s">
        <v>2460</v>
      </c>
      <c r="W559" s="347">
        <v>487.56326999999999</v>
      </c>
      <c r="X559" s="348">
        <f>(1-VLOOKUP(R559,Start!$H$33:$I$40,2,FALSE)/100)*W559</f>
        <v>414.42877949999996</v>
      </c>
      <c r="Y559" s="348">
        <f>VLOOKUP(Q559,Start!$C$9:$D$15,2,FALSE)+VLOOKUP(Q559,Start!$C$23:$D$29,2,FALSE)</f>
        <v>32.923832923832919</v>
      </c>
      <c r="Z559" s="349">
        <f>(Y559/U559)+Start!$D$19*(VLOOKUP(Q559,Start!$M$33:$N$39,2,FALSE)/U559)+VLOOKUP(R559,Start!$C$33:$D$40,2,FALSE)</f>
        <v>116.72191795100883</v>
      </c>
      <c r="AA559" s="234"/>
      <c r="AB559" s="278"/>
    </row>
    <row r="560" spans="2:28" ht="17.25" thickBot="1" x14ac:dyDescent="0.35">
      <c r="B560" s="267"/>
      <c r="C560" s="292"/>
      <c r="D560" s="292"/>
      <c r="E560" s="292"/>
      <c r="F560" s="292"/>
      <c r="G560" s="292"/>
      <c r="H560" s="292"/>
      <c r="I560" s="292"/>
      <c r="J560" s="292"/>
      <c r="K560" s="350"/>
      <c r="L560" s="292"/>
      <c r="M560" s="292"/>
      <c r="N560" s="292"/>
      <c r="O560" s="292"/>
      <c r="P560" s="292"/>
      <c r="Q560" s="292"/>
      <c r="R560" s="292"/>
      <c r="S560" s="292"/>
      <c r="T560" s="292"/>
      <c r="U560" s="292"/>
      <c r="V560" s="292"/>
      <c r="W560" s="292"/>
      <c r="X560" s="292"/>
      <c r="Y560" s="292"/>
      <c r="Z560" s="292"/>
      <c r="AA560" s="270"/>
    </row>
  </sheetData>
  <sheetProtection algorithmName="SHA-512" hashValue="FoaAI0uzR9eXEjzw/RsMqEF3/LfdsbD2ZscceJd3OV2OwrAkGgZY2B0hHzY4iMyZqaOjs5ybeAdhryR7KB8ctA==" saltValue="5/x5GKmec3Xh/HnEbm8Lyg==" spinCount="100000" sheet="1" objects="1" scenarios="1" sort="0" autoFilter="0" pivotTables="0"/>
  <autoFilter ref="C10:Z559" xr:uid="{00000000-0009-0000-0000-000004000000}">
    <sortState xmlns:xlrd2="http://schemas.microsoft.com/office/spreadsheetml/2017/richdata2" ref="C11:Z559">
      <sortCondition ref="D10:D559"/>
    </sortState>
  </autoFilter>
  <mergeCells count="1">
    <mergeCell ref="C7:K7"/>
  </mergeCells>
  <conditionalFormatting sqref="D11:D20">
    <cfRule type="cellIs" dxfId="9" priority="9" operator="equal">
      <formula>"(optional)"</formula>
    </cfRule>
  </conditionalFormatting>
  <conditionalFormatting sqref="E11:L20">
    <cfRule type="cellIs" dxfId="8" priority="8" operator="equal">
      <formula>"(optional)"</formula>
    </cfRule>
  </conditionalFormatting>
  <conditionalFormatting sqref="M11:M20">
    <cfRule type="cellIs" dxfId="7" priority="7" operator="equal">
      <formula>"(optional)"</formula>
    </cfRule>
  </conditionalFormatting>
  <conditionalFormatting sqref="S11:S20">
    <cfRule type="cellIs" dxfId="6" priority="6" operator="equal">
      <formula>"(optional)"</formula>
    </cfRule>
  </conditionalFormatting>
  <conditionalFormatting sqref="T11:T20">
    <cfRule type="cellIs" dxfId="5" priority="5" operator="equal">
      <formula>"(optional)"</formula>
    </cfRule>
  </conditionalFormatting>
  <conditionalFormatting sqref="V11:V20">
    <cfRule type="cellIs" dxfId="4" priority="4" operator="equal">
      <formula>"(optional)"</formula>
    </cfRule>
  </conditionalFormatting>
  <conditionalFormatting sqref="Q11:R20">
    <cfRule type="cellIs" dxfId="3" priority="3" operator="equal">
      <formula>"(notwendig)"</formula>
    </cfRule>
  </conditionalFormatting>
  <conditionalFormatting sqref="U11:U20">
    <cfRule type="cellIs" dxfId="2" priority="2" operator="equal">
      <formula>"(notwendig)"</formula>
    </cfRule>
  </conditionalFormatting>
  <conditionalFormatting sqref="W11:W20">
    <cfRule type="cellIs" dxfId="1" priority="1" operator="equal">
      <formula>"(notwendig)"</formula>
    </cfRule>
  </conditionalFormatting>
  <dataValidations disablePrompts="1" count="4">
    <dataValidation type="decimal" allowBlank="1" showInputMessage="1" showErrorMessage="1" sqref="U11:U20" xr:uid="{00000000-0002-0000-0400-000000000000}">
      <formula1>0.00001</formula1>
      <formula2>1</formula2>
    </dataValidation>
    <dataValidation type="decimal" allowBlank="1" showInputMessage="1" showErrorMessage="1" sqref="W11:W20" xr:uid="{00000000-0002-0000-0400-000001000000}">
      <formula1>0</formula1>
      <formula2>100000</formula2>
    </dataValidation>
    <dataValidation type="decimal" allowBlank="1" showInputMessage="1" showErrorMessage="1" sqref="U21:U559" xr:uid="{00000000-0002-0000-0400-000002000000}">
      <formula1>0.0001</formula1>
      <formula2>1</formula2>
    </dataValidation>
    <dataValidation type="list" allowBlank="1" showInputMessage="1" showErrorMessage="1" sqref="C11:C559" xr:uid="{00000000-0002-0000-0400-000003000000}">
      <formula1>"Ja,Nein"</formula1>
    </dataValidation>
  </dataValidations>
  <hyperlinks>
    <hyperlink ref="T206" r:id="rId1" xr:uid="{00000000-0004-0000-0400-000000000000}"/>
    <hyperlink ref="T553" r:id="rId2" xr:uid="{00000000-0004-0000-0400-000001000000}"/>
    <hyperlink ref="T520" r:id="rId3" xr:uid="{00000000-0004-0000-0400-000002000000}"/>
    <hyperlink ref="T550" r:id="rId4" xr:uid="{00000000-0004-0000-0400-000003000000}"/>
    <hyperlink ref="T515" r:id="rId5" xr:uid="{00000000-0004-0000-0400-000004000000}"/>
    <hyperlink ref="T552" r:id="rId6" xr:uid="{00000000-0004-0000-0400-000005000000}"/>
    <hyperlink ref="T551" r:id="rId7" xr:uid="{00000000-0004-0000-0400-000006000000}"/>
    <hyperlink ref="T519" r:id="rId8" xr:uid="{00000000-0004-0000-0400-000007000000}"/>
    <hyperlink ref="V296" r:id="rId9" xr:uid="{00000000-0004-0000-0400-000008000000}"/>
  </hyperlinks>
  <pageMargins left="0.7" right="0.7" top="0.78740157499999996" bottom="0.78740157499999996" header="0.3" footer="0.3"/>
  <pageSetup paperSize="9" orientation="portrait" verticalDpi="0" r:id="rId10"/>
  <drawing r:id="rId11"/>
  <legacyDrawing r:id="rId12"/>
  <mc:AlternateContent xmlns:mc="http://schemas.openxmlformats.org/markup-compatibility/2006">
    <mc:Choice Requires="x14">
      <controls>
        <mc:AlternateContent xmlns:mc="http://schemas.openxmlformats.org/markup-compatibility/2006">
          <mc:Choice Requires="x14">
            <control shapeId="20482" r:id="rId13" name="Button 2">
              <controlPr defaultSize="0" print="0" autoFill="0" autoPict="0" macro="[0]!calcMeritOrder">
                <anchor moveWithCells="1" sizeWithCells="1">
                  <from>
                    <xdr:col>9</xdr:col>
                    <xdr:colOff>800100</xdr:colOff>
                    <xdr:row>6</xdr:row>
                    <xdr:rowOff>371475</xdr:rowOff>
                  </from>
                  <to>
                    <xdr:col>16</xdr:col>
                    <xdr:colOff>1790700</xdr:colOff>
                    <xdr:row>6</xdr:row>
                    <xdr:rowOff>1133475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400-000004000000}">
          <x14:formula1>
            <xm:f>'Hilfssheet Abbildung'!$C$19:$C$25</xm:f>
          </x14:formula1>
          <xm:sqref>Q11:Q20</xm:sqref>
        </x14:dataValidation>
        <x14:dataValidation type="list" allowBlank="1" showInputMessage="1" showErrorMessage="1" xr:uid="{00000000-0002-0000-0400-000005000000}">
          <x14:formula1>
            <xm:f>'Hilfssheet Abbildung'!$D$19:$D$26</xm:f>
          </x14:formula1>
          <xm:sqref>R11:R20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3">
    <tabColor rgb="FFFFD97D"/>
  </sheetPr>
  <dimension ref="B1:E18"/>
  <sheetViews>
    <sheetView zoomScale="80" zoomScaleNormal="80" workbookViewId="0"/>
  </sheetViews>
  <sheetFormatPr defaultColWidth="11.42578125" defaultRowHeight="16.5" x14ac:dyDescent="0.3"/>
  <cols>
    <col min="1" max="1" width="3" style="26" customWidth="1"/>
    <col min="2" max="2" width="2.85546875" style="26" customWidth="1"/>
    <col min="3" max="3" width="23.85546875" style="26" customWidth="1"/>
    <col min="4" max="4" width="149" style="26" customWidth="1"/>
    <col min="5" max="5" width="3" style="26" customWidth="1"/>
    <col min="6" max="16384" width="11.42578125" style="26"/>
  </cols>
  <sheetData>
    <row r="1" spans="2:5" ht="17.25" customHeight="1" thickBot="1" x14ac:dyDescent="0.35"/>
    <row r="2" spans="2:5" ht="15" customHeight="1" x14ac:dyDescent="0.3">
      <c r="B2" s="6"/>
      <c r="C2" s="7"/>
      <c r="D2" s="8"/>
      <c r="E2" s="9"/>
    </row>
    <row r="3" spans="2:5" ht="82.5" customHeight="1" x14ac:dyDescent="0.3">
      <c r="B3" s="10"/>
      <c r="C3" s="11" t="s">
        <v>2489</v>
      </c>
      <c r="D3" s="97"/>
      <c r="E3" s="15"/>
    </row>
    <row r="4" spans="2:5" ht="7.5" customHeight="1" x14ac:dyDescent="0.3">
      <c r="B4" s="10"/>
      <c r="C4" s="16"/>
      <c r="D4" s="17"/>
      <c r="E4" s="15"/>
    </row>
    <row r="5" spans="2:5" ht="18" x14ac:dyDescent="0.35">
      <c r="B5" s="10"/>
      <c r="C5" s="18" t="s">
        <v>2480</v>
      </c>
      <c r="D5" s="95" t="str">
        <f>Impressum!F5</f>
        <v xml:space="preserve">Version 2019.1.4 </v>
      </c>
      <c r="E5" s="15"/>
    </row>
    <row r="6" spans="2:5" ht="8.25" customHeight="1" thickBot="1" x14ac:dyDescent="0.35">
      <c r="B6" s="10"/>
      <c r="C6" s="16"/>
      <c r="D6" s="17"/>
      <c r="E6" s="15"/>
    </row>
    <row r="7" spans="2:5" ht="17.25" thickBot="1" x14ac:dyDescent="0.35">
      <c r="B7" s="10"/>
      <c r="C7" s="96" t="s">
        <v>2421</v>
      </c>
      <c r="D7" s="98" t="s">
        <v>0</v>
      </c>
      <c r="E7" s="15"/>
    </row>
    <row r="8" spans="2:5" ht="56.25" customHeight="1" x14ac:dyDescent="0.3">
      <c r="B8" s="10"/>
      <c r="C8" s="100" t="s">
        <v>2503</v>
      </c>
      <c r="D8" s="366" t="s">
        <v>2551</v>
      </c>
      <c r="E8" s="15"/>
    </row>
    <row r="9" spans="2:5" ht="51.75" customHeight="1" x14ac:dyDescent="0.3">
      <c r="B9" s="10"/>
      <c r="C9" s="101" t="s">
        <v>2463</v>
      </c>
      <c r="D9" s="99" t="s">
        <v>2462</v>
      </c>
      <c r="E9" s="15"/>
    </row>
    <row r="10" spans="2:5" ht="28.5" customHeight="1" x14ac:dyDescent="0.3">
      <c r="B10" s="10"/>
      <c r="C10" s="101" t="s">
        <v>2494</v>
      </c>
      <c r="D10" s="99" t="s">
        <v>2501</v>
      </c>
      <c r="E10" s="15"/>
    </row>
    <row r="11" spans="2:5" ht="37.5" customHeight="1" x14ac:dyDescent="0.3">
      <c r="B11" s="10"/>
      <c r="C11" s="101" t="s">
        <v>2496</v>
      </c>
      <c r="D11" s="99" t="s">
        <v>2500</v>
      </c>
      <c r="E11" s="15"/>
    </row>
    <row r="12" spans="2:5" ht="28.5" customHeight="1" x14ac:dyDescent="0.3">
      <c r="B12" s="10"/>
      <c r="C12" s="101" t="s">
        <v>2458</v>
      </c>
      <c r="D12" s="185" t="s">
        <v>2459</v>
      </c>
      <c r="E12" s="15"/>
    </row>
    <row r="13" spans="2:5" ht="36.75" customHeight="1" x14ac:dyDescent="0.3">
      <c r="B13" s="10"/>
      <c r="C13" s="101" t="s">
        <v>2495</v>
      </c>
      <c r="D13" s="99" t="s">
        <v>2497</v>
      </c>
      <c r="E13" s="15"/>
    </row>
    <row r="14" spans="2:5" ht="28.5" customHeight="1" x14ac:dyDescent="0.3">
      <c r="B14" s="10"/>
      <c r="C14" s="101" t="s">
        <v>2492</v>
      </c>
      <c r="D14" s="99" t="s">
        <v>2498</v>
      </c>
      <c r="E14" s="15"/>
    </row>
    <row r="15" spans="2:5" ht="28.5" customHeight="1" x14ac:dyDescent="0.3">
      <c r="B15" s="10"/>
      <c r="C15" s="101" t="s">
        <v>2491</v>
      </c>
      <c r="D15" s="99" t="s">
        <v>2499</v>
      </c>
      <c r="E15" s="15"/>
    </row>
    <row r="16" spans="2:5" ht="37.5" customHeight="1" x14ac:dyDescent="0.3">
      <c r="B16" s="10"/>
      <c r="C16" s="101" t="s">
        <v>2493</v>
      </c>
      <c r="D16" s="99" t="s">
        <v>2502</v>
      </c>
      <c r="E16" s="15"/>
    </row>
    <row r="17" spans="2:5" ht="51.75" customHeight="1" thickBot="1" x14ac:dyDescent="0.35">
      <c r="B17" s="10"/>
      <c r="C17" s="183" t="s">
        <v>2482</v>
      </c>
      <c r="D17" s="184" t="s">
        <v>2550</v>
      </c>
      <c r="E17" s="15"/>
    </row>
    <row r="18" spans="2:5" ht="17.25" thickBot="1" x14ac:dyDescent="0.35">
      <c r="B18" s="21"/>
      <c r="C18" s="24"/>
      <c r="D18" s="23"/>
      <c r="E18" s="25"/>
    </row>
  </sheetData>
  <sheetProtection algorithmName="SHA-512" hashValue="E+DULFwJ15nYPpvanM/eUUHPuXvgkej04rk3kO3vWGUxR6PEt3BY10oSh8T5bH5wS8EE/8NicvqPDd5mYtBV3A==" saltValue="Q4QaHGhr6R/hE/GDdpxOfg==" spinCount="100000" sheet="1" objects="1" scenarios="1"/>
  <sortState xmlns:xlrd2="http://schemas.microsoft.com/office/spreadsheetml/2017/richdata2" ref="C9:D17">
    <sortCondition ref="C8"/>
  </sortState>
  <conditionalFormatting sqref="C8:D17">
    <cfRule type="expression" dxfId="0" priority="1">
      <formula>MOD(ROW(),2)=0</formula>
    </cfRule>
  </conditionalFormatting>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6">
    <tabColor rgb="FFFFD97D"/>
  </sheetPr>
  <dimension ref="B1:G31"/>
  <sheetViews>
    <sheetView zoomScale="80" zoomScaleNormal="80" workbookViewId="0">
      <selection activeCell="E13" sqref="E13:F13"/>
    </sheetView>
  </sheetViews>
  <sheetFormatPr defaultColWidth="11.42578125" defaultRowHeight="15" x14ac:dyDescent="0.25"/>
  <cols>
    <col min="1" max="1" width="3" style="5" customWidth="1"/>
    <col min="2" max="2" width="2.85546875" style="5" customWidth="1"/>
    <col min="3" max="3" width="4" style="5" customWidth="1"/>
    <col min="4" max="4" width="83.5703125" style="5" customWidth="1"/>
    <col min="5" max="5" width="30.5703125" style="5" customWidth="1"/>
    <col min="6" max="6" width="52.7109375" style="5" customWidth="1"/>
    <col min="7" max="7" width="3" style="5" customWidth="1"/>
    <col min="8" max="16384" width="11.42578125" style="5"/>
  </cols>
  <sheetData>
    <row r="1" spans="2:7" ht="17.25" customHeight="1" thickBot="1" x14ac:dyDescent="0.3"/>
    <row r="2" spans="2:7" ht="15" customHeight="1" x14ac:dyDescent="0.3">
      <c r="B2" s="6"/>
      <c r="C2" s="7"/>
      <c r="D2" s="8"/>
      <c r="E2" s="7"/>
      <c r="F2" s="7"/>
      <c r="G2" s="9"/>
    </row>
    <row r="3" spans="2:7" ht="82.5" customHeight="1" x14ac:dyDescent="0.3">
      <c r="B3" s="10"/>
      <c r="C3" s="11" t="s">
        <v>2489</v>
      </c>
      <c r="D3" s="12"/>
      <c r="E3" s="13"/>
      <c r="F3" s="14"/>
      <c r="G3" s="15"/>
    </row>
    <row r="4" spans="2:7" ht="8.25" customHeight="1" x14ac:dyDescent="0.3">
      <c r="B4" s="10"/>
      <c r="C4" s="16"/>
      <c r="D4" s="17"/>
      <c r="E4" s="16"/>
      <c r="F4" s="16"/>
      <c r="G4" s="15"/>
    </row>
    <row r="5" spans="2:7" ht="18" x14ac:dyDescent="0.35">
      <c r="B5" s="10"/>
      <c r="C5" s="18" t="s">
        <v>2505</v>
      </c>
      <c r="D5" s="12"/>
      <c r="E5" s="13"/>
      <c r="F5" s="95" t="str">
        <f>CONCATENATE("Version ",F11," ")</f>
        <v xml:space="preserve">Version 2019.1.4 </v>
      </c>
      <c r="G5" s="15"/>
    </row>
    <row r="6" spans="2:7" ht="8.25" customHeight="1" thickBot="1" x14ac:dyDescent="0.4">
      <c r="B6" s="10"/>
      <c r="C6" s="20"/>
      <c r="D6" s="17"/>
      <c r="E6" s="16"/>
      <c r="F6" s="16"/>
      <c r="G6" s="15"/>
    </row>
    <row r="7" spans="2:7" ht="16.5" x14ac:dyDescent="0.3">
      <c r="B7" s="10"/>
      <c r="C7" s="192"/>
      <c r="D7" s="193"/>
      <c r="E7" s="194"/>
      <c r="F7" s="187"/>
      <c r="G7" s="15"/>
    </row>
    <row r="8" spans="2:7" ht="18" x14ac:dyDescent="0.3">
      <c r="B8" s="10"/>
      <c r="C8" s="195"/>
      <c r="D8" s="205" t="s">
        <v>2522</v>
      </c>
      <c r="E8" s="197"/>
      <c r="F8" s="189"/>
      <c r="G8" s="15"/>
    </row>
    <row r="9" spans="2:7" ht="13.5" customHeight="1" x14ac:dyDescent="0.3">
      <c r="B9" s="10"/>
      <c r="C9" s="195"/>
      <c r="D9" s="196"/>
      <c r="E9" s="197"/>
      <c r="F9" s="189"/>
      <c r="G9" s="15"/>
    </row>
    <row r="10" spans="2:7" ht="16.5" x14ac:dyDescent="0.3">
      <c r="B10" s="10"/>
      <c r="C10" s="199" t="s">
        <v>2506</v>
      </c>
      <c r="D10" s="206" t="s">
        <v>2507</v>
      </c>
      <c r="E10" s="198" t="s">
        <v>2516</v>
      </c>
      <c r="F10" s="207" t="s">
        <v>2558</v>
      </c>
      <c r="G10" s="15"/>
    </row>
    <row r="11" spans="2:7" ht="16.5" x14ac:dyDescent="0.3">
      <c r="B11" s="10"/>
      <c r="C11" s="199"/>
      <c r="D11" s="198" t="s">
        <v>2508</v>
      </c>
      <c r="E11" s="198" t="s">
        <v>2517</v>
      </c>
      <c r="F11" s="207" t="s">
        <v>2559</v>
      </c>
      <c r="G11" s="15"/>
    </row>
    <row r="12" spans="2:7" ht="16.5" x14ac:dyDescent="0.3">
      <c r="B12" s="10"/>
      <c r="C12" s="199"/>
      <c r="D12" s="198" t="s">
        <v>2509</v>
      </c>
      <c r="E12" s="198"/>
      <c r="F12" s="200"/>
      <c r="G12" s="15"/>
    </row>
    <row r="13" spans="2:7" ht="18" x14ac:dyDescent="0.3">
      <c r="B13" s="10"/>
      <c r="C13" s="201"/>
      <c r="D13" s="198" t="s">
        <v>2510</v>
      </c>
      <c r="E13" s="383"/>
      <c r="F13" s="384"/>
      <c r="G13" s="15"/>
    </row>
    <row r="14" spans="2:7" ht="18" x14ac:dyDescent="0.3">
      <c r="B14" s="10"/>
      <c r="C14" s="201"/>
      <c r="D14" s="198" t="s">
        <v>2511</v>
      </c>
      <c r="E14" s="383"/>
      <c r="F14" s="384"/>
      <c r="G14" s="15"/>
    </row>
    <row r="15" spans="2:7" ht="18" x14ac:dyDescent="0.3">
      <c r="B15" s="10"/>
      <c r="C15" s="201"/>
      <c r="D15" s="198" t="s">
        <v>2512</v>
      </c>
      <c r="E15" s="198"/>
      <c r="F15" s="200"/>
      <c r="G15" s="15"/>
    </row>
    <row r="16" spans="2:7" ht="18" x14ac:dyDescent="0.3">
      <c r="B16" s="10"/>
      <c r="C16" s="201"/>
      <c r="D16" s="217" t="s">
        <v>2513</v>
      </c>
      <c r="E16" s="198"/>
      <c r="F16" s="200"/>
      <c r="G16" s="15"/>
    </row>
    <row r="17" spans="2:7" ht="18" x14ac:dyDescent="0.3">
      <c r="B17" s="10"/>
      <c r="C17" s="201"/>
      <c r="D17" s="198"/>
      <c r="E17" s="198"/>
      <c r="F17" s="200"/>
      <c r="G17" s="15"/>
    </row>
    <row r="18" spans="2:7" ht="18" x14ac:dyDescent="0.3">
      <c r="B18" s="10"/>
      <c r="C18" s="201"/>
      <c r="D18" s="206" t="s">
        <v>2515</v>
      </c>
      <c r="E18" s="198"/>
      <c r="F18" s="200"/>
      <c r="G18" s="15"/>
    </row>
    <row r="19" spans="2:7" ht="18" x14ac:dyDescent="0.3">
      <c r="B19" s="10"/>
      <c r="C19" s="201"/>
      <c r="D19" s="198" t="s">
        <v>2514</v>
      </c>
      <c r="E19" s="383"/>
      <c r="F19" s="384"/>
      <c r="G19" s="15"/>
    </row>
    <row r="20" spans="2:7" ht="18" x14ac:dyDescent="0.3">
      <c r="B20" s="10"/>
      <c r="C20" s="201"/>
      <c r="D20" s="198" t="s">
        <v>2531</v>
      </c>
      <c r="E20" s="198"/>
      <c r="F20" s="200"/>
      <c r="G20" s="15"/>
    </row>
    <row r="21" spans="2:7" ht="18" x14ac:dyDescent="0.3">
      <c r="B21" s="10"/>
      <c r="C21" s="201"/>
      <c r="D21" s="198" t="s">
        <v>2545</v>
      </c>
      <c r="E21" s="198"/>
      <c r="F21" s="200"/>
      <c r="G21" s="15"/>
    </row>
    <row r="22" spans="2:7" ht="18" customHeight="1" x14ac:dyDescent="0.3">
      <c r="B22" s="10"/>
      <c r="C22" s="201"/>
      <c r="D22" s="198"/>
      <c r="E22" s="198"/>
      <c r="F22" s="200"/>
      <c r="G22" s="15"/>
    </row>
    <row r="23" spans="2:7" ht="18" x14ac:dyDescent="0.3">
      <c r="B23" s="10"/>
      <c r="C23" s="201"/>
      <c r="D23" s="206" t="s">
        <v>2519</v>
      </c>
      <c r="E23" s="383" t="s">
        <v>2518</v>
      </c>
      <c r="F23" s="384"/>
      <c r="G23" s="15"/>
    </row>
    <row r="24" spans="2:7" ht="18" x14ac:dyDescent="0.3">
      <c r="B24" s="10"/>
      <c r="C24" s="201"/>
      <c r="D24" s="198" t="s">
        <v>2514</v>
      </c>
      <c r="E24" s="198" t="s">
        <v>2552</v>
      </c>
      <c r="F24" s="200"/>
      <c r="G24" s="15"/>
    </row>
    <row r="25" spans="2:7" ht="18" x14ac:dyDescent="0.3">
      <c r="B25" s="10"/>
      <c r="C25" s="201"/>
      <c r="D25" s="198" t="s">
        <v>2521</v>
      </c>
      <c r="E25" s="198" t="s">
        <v>2553</v>
      </c>
      <c r="F25" s="200"/>
      <c r="G25" s="15"/>
    </row>
    <row r="26" spans="2:7" ht="18" x14ac:dyDescent="0.3">
      <c r="B26" s="10"/>
      <c r="C26" s="201"/>
      <c r="D26" s="217" t="s">
        <v>2520</v>
      </c>
      <c r="E26" s="198" t="s">
        <v>2554</v>
      </c>
      <c r="F26" s="200"/>
      <c r="G26" s="15"/>
    </row>
    <row r="27" spans="2:7" ht="18" x14ac:dyDescent="0.3">
      <c r="B27" s="10"/>
      <c r="C27" s="201"/>
      <c r="D27" s="217"/>
      <c r="E27" s="198" t="s">
        <v>2555</v>
      </c>
      <c r="F27" s="200"/>
      <c r="G27" s="15"/>
    </row>
    <row r="28" spans="2:7" ht="18" x14ac:dyDescent="0.3">
      <c r="B28" s="10"/>
      <c r="C28" s="201"/>
      <c r="D28" s="217"/>
      <c r="E28" s="198" t="s">
        <v>2557</v>
      </c>
      <c r="F28" s="200"/>
      <c r="G28" s="15"/>
    </row>
    <row r="29" spans="2:7" ht="18" x14ac:dyDescent="0.3">
      <c r="B29" s="10"/>
      <c r="C29" s="201"/>
      <c r="D29" s="217"/>
      <c r="E29" s="198" t="s">
        <v>2556</v>
      </c>
      <c r="F29" s="200"/>
      <c r="G29" s="15"/>
    </row>
    <row r="30" spans="2:7" ht="18.75" thickBot="1" x14ac:dyDescent="0.35">
      <c r="B30" s="10"/>
      <c r="C30" s="202"/>
      <c r="D30" s="203"/>
      <c r="E30" s="203"/>
      <c r="F30" s="204"/>
      <c r="G30" s="15"/>
    </row>
    <row r="31" spans="2:7" ht="16.5" customHeight="1" thickBot="1" x14ac:dyDescent="0.4">
      <c r="B31" s="21"/>
      <c r="C31" s="22"/>
      <c r="D31" s="23"/>
      <c r="E31" s="24"/>
      <c r="F31" s="24"/>
      <c r="G31" s="25"/>
    </row>
  </sheetData>
  <sheetProtection algorithmName="SHA-512" hashValue="CqWed8CHqe/6r9SM0yKd2Pu9wUEQiN8W4kEkS2ktlOnE+K9tKT5C+ND+7YDLzos+Z5uFxql+SIJC70P+IawNbA==" saltValue="sADcwySUHRW2FWSlAmo4yw==" spinCount="100000" sheet="1" objects="1" scenarios="1"/>
  <mergeCells count="4">
    <mergeCell ref="E13:F13"/>
    <mergeCell ref="E19:F19"/>
    <mergeCell ref="E14:F14"/>
    <mergeCell ref="E23:F23"/>
  </mergeCells>
  <hyperlinks>
    <hyperlink ref="D26" r:id="rId1" xr:uid="{00000000-0004-0000-0600-000000000000}"/>
    <hyperlink ref="D16" r:id="rId2" xr:uid="{00000000-0004-0000-0600-000001000000}"/>
  </hyperlinks>
  <pageMargins left="0.7" right="0.7" top="0.78740157499999996" bottom="0.78740157499999996"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5">
    <tabColor theme="0" tint="-0.34998626667073579"/>
  </sheetPr>
  <dimension ref="B1:Q42"/>
  <sheetViews>
    <sheetView topLeftCell="A7" zoomScale="80" zoomScaleNormal="80" workbookViewId="0">
      <selection activeCell="K36" sqref="K36"/>
    </sheetView>
  </sheetViews>
  <sheetFormatPr defaultColWidth="11.42578125" defaultRowHeight="16.5" x14ac:dyDescent="0.3"/>
  <cols>
    <col min="1" max="1" width="3" style="26" customWidth="1"/>
    <col min="2" max="2" width="2.85546875" style="26" customWidth="1"/>
    <col min="3" max="3" width="34.28515625" style="26" customWidth="1"/>
    <col min="4" max="4" width="13.42578125" style="27" customWidth="1"/>
    <col min="5" max="5" width="14.140625" style="26" customWidth="1"/>
    <col min="6" max="6" width="33.140625" style="26" customWidth="1"/>
    <col min="7" max="7" width="2.85546875" style="26" customWidth="1"/>
    <col min="8" max="8" width="25.140625" style="26" customWidth="1"/>
    <col min="9" max="9" width="13.42578125" style="26" customWidth="1"/>
    <col min="10" max="10" width="14.140625" style="26" customWidth="1"/>
    <col min="11" max="11" width="25" style="26" customWidth="1"/>
    <col min="12" max="12" width="2.85546875" style="26" customWidth="1"/>
    <col min="13" max="13" width="25" style="26" customWidth="1"/>
    <col min="14" max="14" width="13.42578125" style="26" customWidth="1"/>
    <col min="15" max="15" width="14.140625" style="26" customWidth="1"/>
    <col min="16" max="16" width="25" style="26" customWidth="1"/>
    <col min="17" max="17" width="2.42578125" style="26" customWidth="1"/>
    <col min="18" max="16384" width="11.42578125" style="26"/>
  </cols>
  <sheetData>
    <row r="1" spans="2:17" ht="17.25" thickBot="1" x14ac:dyDescent="0.35"/>
    <row r="2" spans="2:17" ht="15" customHeight="1" x14ac:dyDescent="0.3">
      <c r="B2" s="6"/>
      <c r="C2" s="7"/>
      <c r="D2" s="8"/>
      <c r="E2" s="7"/>
      <c r="F2" s="7"/>
      <c r="G2" s="7"/>
      <c r="H2" s="7"/>
      <c r="I2" s="7"/>
      <c r="J2" s="7"/>
      <c r="K2" s="7"/>
      <c r="L2" s="7"/>
      <c r="M2" s="7"/>
      <c r="N2" s="7"/>
      <c r="O2" s="7"/>
      <c r="P2" s="7"/>
      <c r="Q2" s="9"/>
    </row>
    <row r="3" spans="2:17" ht="75.75" customHeight="1" x14ac:dyDescent="0.3">
      <c r="B3" s="10"/>
      <c r="C3" s="11" t="s">
        <v>2489</v>
      </c>
      <c r="D3" s="12"/>
      <c r="E3" s="13"/>
      <c r="F3" s="13"/>
      <c r="G3" s="13"/>
      <c r="H3" s="13"/>
      <c r="I3" s="13"/>
      <c r="J3" s="13"/>
      <c r="K3" s="13"/>
      <c r="L3" s="13"/>
      <c r="M3" s="13"/>
      <c r="N3" s="13"/>
      <c r="O3" s="13"/>
      <c r="P3" s="14"/>
      <c r="Q3" s="15"/>
    </row>
    <row r="4" spans="2:17" ht="8.25" customHeight="1" x14ac:dyDescent="0.3">
      <c r="B4" s="10"/>
      <c r="C4" s="16"/>
      <c r="D4" s="17"/>
      <c r="E4" s="16"/>
      <c r="F4" s="16"/>
      <c r="G4" s="16"/>
      <c r="H4" s="16"/>
      <c r="I4" s="16"/>
      <c r="J4" s="16"/>
      <c r="K4" s="16"/>
      <c r="L4" s="16"/>
      <c r="M4" s="16"/>
      <c r="N4" s="16"/>
      <c r="O4" s="16"/>
      <c r="P4" s="16"/>
      <c r="Q4" s="15"/>
    </row>
    <row r="5" spans="2:17" ht="18" x14ac:dyDescent="0.35">
      <c r="B5" s="10"/>
      <c r="C5" s="18" t="s">
        <v>2477</v>
      </c>
      <c r="D5" s="12"/>
      <c r="E5" s="13"/>
      <c r="F5" s="13"/>
      <c r="G5" s="13"/>
      <c r="H5" s="13"/>
      <c r="I5" s="13"/>
      <c r="J5" s="13"/>
      <c r="K5" s="13"/>
      <c r="L5" s="13"/>
      <c r="M5" s="13"/>
      <c r="N5" s="13"/>
      <c r="O5" s="13"/>
      <c r="P5" s="19" t="str">
        <f>Impressum!F5</f>
        <v xml:space="preserve">Version 2019.1.4 </v>
      </c>
      <c r="Q5" s="15"/>
    </row>
    <row r="6" spans="2:17" ht="8.25" customHeight="1" thickBot="1" x14ac:dyDescent="0.4">
      <c r="B6" s="10"/>
      <c r="C6" s="20"/>
      <c r="D6" s="17"/>
      <c r="E6" s="16"/>
      <c r="F6" s="16"/>
      <c r="G6" s="16"/>
      <c r="H6" s="16"/>
      <c r="I6" s="16"/>
      <c r="J6" s="16"/>
      <c r="K6" s="16"/>
      <c r="L6" s="16"/>
      <c r="M6" s="16"/>
      <c r="N6" s="16"/>
      <c r="O6" s="16"/>
      <c r="P6" s="16"/>
      <c r="Q6" s="15"/>
    </row>
    <row r="7" spans="2:17" ht="20.25" customHeight="1" x14ac:dyDescent="0.3">
      <c r="B7" s="10"/>
      <c r="C7" s="385" t="s">
        <v>2399</v>
      </c>
      <c r="D7" s="386"/>
      <c r="E7" s="386"/>
      <c r="F7" s="387"/>
      <c r="G7" s="16"/>
      <c r="H7" s="378" t="s">
        <v>2472</v>
      </c>
      <c r="I7" s="379"/>
      <c r="J7" s="379"/>
      <c r="K7" s="379"/>
      <c r="L7" s="379"/>
      <c r="M7" s="379"/>
      <c r="N7" s="379"/>
      <c r="O7" s="379"/>
      <c r="P7" s="380"/>
      <c r="Q7" s="15"/>
    </row>
    <row r="8" spans="2:17" ht="17.25" thickBot="1" x14ac:dyDescent="0.35">
      <c r="B8" s="10"/>
      <c r="C8" s="28" t="s">
        <v>2395</v>
      </c>
      <c r="D8" s="29" t="s">
        <v>2400</v>
      </c>
      <c r="E8" s="29" t="s">
        <v>8</v>
      </c>
      <c r="F8" s="30" t="s">
        <v>2398</v>
      </c>
      <c r="G8" s="16"/>
      <c r="H8" s="390" t="s">
        <v>2473</v>
      </c>
      <c r="I8" s="391"/>
      <c r="J8" s="391"/>
      <c r="K8" s="391"/>
      <c r="L8" s="391"/>
      <c r="M8" s="391"/>
      <c r="N8" s="391"/>
      <c r="O8" s="75"/>
      <c r="P8" s="76"/>
      <c r="Q8" s="15"/>
    </row>
    <row r="9" spans="2:17" ht="19.5" x14ac:dyDescent="0.4">
      <c r="B9" s="10"/>
      <c r="C9" s="31" t="s">
        <v>1</v>
      </c>
      <c r="D9" s="32">
        <v>5.5</v>
      </c>
      <c r="E9" s="33" t="s">
        <v>2423</v>
      </c>
      <c r="F9" s="361" t="s">
        <v>2534</v>
      </c>
      <c r="G9" s="16"/>
      <c r="H9" s="388" t="s">
        <v>2474</v>
      </c>
      <c r="I9" s="389"/>
      <c r="J9" s="389"/>
      <c r="K9" s="389"/>
      <c r="L9" s="389"/>
      <c r="M9" s="389"/>
      <c r="N9" s="389"/>
      <c r="O9" s="77"/>
      <c r="P9" s="78"/>
      <c r="Q9" s="15"/>
    </row>
    <row r="10" spans="2:17" ht="19.5" x14ac:dyDescent="0.4">
      <c r="B10" s="10"/>
      <c r="C10" s="34" t="s">
        <v>2</v>
      </c>
      <c r="D10" s="35">
        <v>3.1</v>
      </c>
      <c r="E10" s="36" t="s">
        <v>2423</v>
      </c>
      <c r="F10" s="362" t="s">
        <v>2496</v>
      </c>
      <c r="G10" s="16"/>
      <c r="H10" s="388" t="s">
        <v>2475</v>
      </c>
      <c r="I10" s="389"/>
      <c r="J10" s="389"/>
      <c r="K10" s="389"/>
      <c r="L10" s="389"/>
      <c r="M10" s="389"/>
      <c r="N10" s="389"/>
      <c r="O10" s="77"/>
      <c r="P10" s="78"/>
      <c r="Q10" s="15"/>
    </row>
    <row r="11" spans="2:17" ht="19.5" x14ac:dyDescent="0.4">
      <c r="B11" s="10"/>
      <c r="C11" s="34" t="s">
        <v>3</v>
      </c>
      <c r="D11" s="35">
        <v>11.28</v>
      </c>
      <c r="E11" s="36" t="s">
        <v>2423</v>
      </c>
      <c r="F11" s="362" t="s">
        <v>2482</v>
      </c>
      <c r="G11" s="16"/>
      <c r="H11" s="388" t="s">
        <v>2476</v>
      </c>
      <c r="I11" s="389"/>
      <c r="J11" s="389"/>
      <c r="K11" s="389"/>
      <c r="L11" s="389"/>
      <c r="M11" s="389"/>
      <c r="N11" s="389"/>
      <c r="O11" s="77"/>
      <c r="P11" s="78"/>
      <c r="Q11" s="15"/>
    </row>
    <row r="12" spans="2:17" ht="19.5" x14ac:dyDescent="0.4">
      <c r="B12" s="10"/>
      <c r="C12" s="34" t="s">
        <v>7</v>
      </c>
      <c r="D12" s="35">
        <v>22.77</v>
      </c>
      <c r="E12" s="36" t="s">
        <v>2423</v>
      </c>
      <c r="F12" s="362" t="s">
        <v>2490</v>
      </c>
      <c r="G12" s="16"/>
      <c r="H12" s="88"/>
      <c r="I12" s="89"/>
      <c r="J12" s="89"/>
      <c r="K12" s="89"/>
      <c r="L12" s="89"/>
      <c r="M12" s="89"/>
      <c r="N12" s="89"/>
      <c r="O12" s="89"/>
      <c r="P12" s="90"/>
      <c r="Q12" s="15"/>
    </row>
    <row r="13" spans="2:17" ht="19.5" x14ac:dyDescent="0.4">
      <c r="B13" s="10"/>
      <c r="C13" s="34" t="s">
        <v>4</v>
      </c>
      <c r="D13" s="35">
        <v>32.923832923832897</v>
      </c>
      <c r="E13" s="36" t="s">
        <v>2423</v>
      </c>
      <c r="F13" s="362" t="s">
        <v>2491</v>
      </c>
      <c r="G13" s="16"/>
      <c r="H13" s="79"/>
      <c r="I13" s="80"/>
      <c r="J13" s="80"/>
      <c r="K13" s="80"/>
      <c r="L13" s="80"/>
      <c r="M13" s="80"/>
      <c r="N13" s="80"/>
      <c r="O13" s="80"/>
      <c r="P13" s="81"/>
      <c r="Q13" s="15"/>
    </row>
    <row r="14" spans="2:17" ht="19.5" x14ac:dyDescent="0.4">
      <c r="B14" s="10"/>
      <c r="C14" s="34" t="s">
        <v>6</v>
      </c>
      <c r="D14" s="35">
        <v>0</v>
      </c>
      <c r="E14" s="36" t="s">
        <v>2423</v>
      </c>
      <c r="F14" s="362" t="s">
        <v>2534</v>
      </c>
      <c r="G14" s="16"/>
      <c r="H14" s="79"/>
      <c r="I14" s="80"/>
      <c r="J14" s="80"/>
      <c r="K14" s="80"/>
      <c r="L14" s="80"/>
      <c r="M14" s="80"/>
      <c r="N14" s="80"/>
      <c r="O14" s="80"/>
      <c r="P14" s="81"/>
      <c r="Q14" s="15"/>
    </row>
    <row r="15" spans="2:17" ht="20.25" thickBot="1" x14ac:dyDescent="0.45">
      <c r="B15" s="10"/>
      <c r="C15" s="37" t="s">
        <v>5</v>
      </c>
      <c r="D15" s="38">
        <v>32.923832923832919</v>
      </c>
      <c r="E15" s="39" t="s">
        <v>2423</v>
      </c>
      <c r="F15" s="363" t="s">
        <v>2534</v>
      </c>
      <c r="G15" s="16"/>
      <c r="H15" s="79"/>
      <c r="I15" s="80"/>
      <c r="J15" s="80"/>
      <c r="K15" s="80"/>
      <c r="L15" s="80"/>
      <c r="M15" s="80"/>
      <c r="N15" s="80"/>
      <c r="O15" s="80"/>
      <c r="P15" s="81"/>
      <c r="Q15" s="15"/>
    </row>
    <row r="16" spans="2:17" ht="17.25" thickBot="1" x14ac:dyDescent="0.35">
      <c r="B16" s="10"/>
      <c r="C16" s="16"/>
      <c r="D16" s="17"/>
      <c r="E16" s="16"/>
      <c r="F16" s="16"/>
      <c r="G16" s="16"/>
      <c r="H16" s="79"/>
      <c r="I16" s="80"/>
      <c r="J16" s="80"/>
      <c r="K16" s="80"/>
      <c r="L16" s="80"/>
      <c r="M16" s="82"/>
      <c r="N16" s="80"/>
      <c r="O16" s="80"/>
      <c r="P16" s="81"/>
      <c r="Q16" s="15"/>
    </row>
    <row r="17" spans="2:17" ht="20.25" customHeight="1" x14ac:dyDescent="0.3">
      <c r="B17" s="10"/>
      <c r="C17" s="385" t="s">
        <v>2401</v>
      </c>
      <c r="D17" s="386"/>
      <c r="E17" s="386"/>
      <c r="F17" s="387"/>
      <c r="G17" s="16"/>
      <c r="H17" s="79"/>
      <c r="I17" s="80"/>
      <c r="J17" s="80"/>
      <c r="K17" s="80"/>
      <c r="L17" s="80"/>
      <c r="M17" s="82"/>
      <c r="N17" s="80"/>
      <c r="O17" s="80"/>
      <c r="P17" s="81"/>
      <c r="Q17" s="15"/>
    </row>
    <row r="18" spans="2:17" ht="17.25" thickBot="1" x14ac:dyDescent="0.35">
      <c r="B18" s="10"/>
      <c r="C18" s="28"/>
      <c r="D18" s="29" t="s">
        <v>2400</v>
      </c>
      <c r="E18" s="29" t="s">
        <v>8</v>
      </c>
      <c r="F18" s="30" t="s">
        <v>2398</v>
      </c>
      <c r="G18" s="16"/>
      <c r="H18" s="79"/>
      <c r="I18" s="80"/>
      <c r="J18" s="80"/>
      <c r="K18" s="80"/>
      <c r="L18" s="80"/>
      <c r="M18" s="82"/>
      <c r="N18" s="80"/>
      <c r="O18" s="80"/>
      <c r="P18" s="81"/>
      <c r="Q18" s="15"/>
    </row>
    <row r="19" spans="2:17" ht="20.25" thickBot="1" x14ac:dyDescent="0.45">
      <c r="B19" s="10"/>
      <c r="C19" s="37" t="s">
        <v>2401</v>
      </c>
      <c r="D19" s="38">
        <v>15.92</v>
      </c>
      <c r="E19" s="39" t="s">
        <v>2424</v>
      </c>
      <c r="F19" s="363" t="s">
        <v>2492</v>
      </c>
      <c r="G19" s="16"/>
      <c r="H19" s="79"/>
      <c r="I19" s="80"/>
      <c r="J19" s="80"/>
      <c r="K19" s="80"/>
      <c r="L19" s="80"/>
      <c r="M19" s="82"/>
      <c r="N19" s="80"/>
      <c r="O19" s="80"/>
      <c r="P19" s="81"/>
      <c r="Q19" s="15"/>
    </row>
    <row r="20" spans="2:17" ht="17.25" thickBot="1" x14ac:dyDescent="0.35">
      <c r="B20" s="10"/>
      <c r="C20" s="16"/>
      <c r="D20" s="17"/>
      <c r="E20" s="16"/>
      <c r="F20" s="16"/>
      <c r="G20" s="16"/>
      <c r="H20" s="79"/>
      <c r="I20" s="80"/>
      <c r="J20" s="80"/>
      <c r="K20" s="80"/>
      <c r="L20" s="80"/>
      <c r="M20" s="82"/>
      <c r="N20" s="80"/>
      <c r="O20" s="80"/>
      <c r="P20" s="81"/>
      <c r="Q20" s="15"/>
    </row>
    <row r="21" spans="2:17" ht="20.25" customHeight="1" x14ac:dyDescent="0.3">
      <c r="B21" s="10"/>
      <c r="C21" s="385" t="s">
        <v>2393</v>
      </c>
      <c r="D21" s="379"/>
      <c r="E21" s="379"/>
      <c r="F21" s="380"/>
      <c r="G21" s="16"/>
      <c r="H21" s="79"/>
      <c r="I21" s="80"/>
      <c r="J21" s="80"/>
      <c r="K21" s="80"/>
      <c r="L21" s="80"/>
      <c r="M21" s="82"/>
      <c r="N21" s="80"/>
      <c r="O21" s="80"/>
      <c r="P21" s="81"/>
      <c r="Q21" s="15"/>
    </row>
    <row r="22" spans="2:17" ht="17.25" thickBot="1" x14ac:dyDescent="0.35">
      <c r="B22" s="10"/>
      <c r="C22" s="28" t="s">
        <v>2403</v>
      </c>
      <c r="D22" s="29" t="s">
        <v>2400</v>
      </c>
      <c r="E22" s="29" t="s">
        <v>8</v>
      </c>
      <c r="F22" s="30" t="s">
        <v>2398</v>
      </c>
      <c r="G22" s="16"/>
      <c r="H22" s="79"/>
      <c r="I22" s="80"/>
      <c r="J22" s="80"/>
      <c r="K22" s="80"/>
      <c r="L22" s="80"/>
      <c r="M22" s="82"/>
      <c r="N22" s="80"/>
      <c r="O22" s="80"/>
      <c r="P22" s="81"/>
      <c r="Q22" s="15"/>
    </row>
    <row r="23" spans="2:17" ht="19.5" x14ac:dyDescent="0.4">
      <c r="B23" s="10"/>
      <c r="C23" s="31" t="s">
        <v>1</v>
      </c>
      <c r="D23" s="32">
        <v>0</v>
      </c>
      <c r="E23" s="33" t="s">
        <v>2423</v>
      </c>
      <c r="F23" s="361" t="s">
        <v>2534</v>
      </c>
      <c r="G23" s="16"/>
      <c r="H23" s="79"/>
      <c r="I23" s="80"/>
      <c r="J23" s="80"/>
      <c r="K23" s="80"/>
      <c r="L23" s="80"/>
      <c r="M23" s="80"/>
      <c r="N23" s="80"/>
      <c r="O23" s="80"/>
      <c r="P23" s="81"/>
      <c r="Q23" s="15"/>
    </row>
    <row r="24" spans="2:17" ht="19.5" x14ac:dyDescent="0.4">
      <c r="B24" s="10"/>
      <c r="C24" s="34" t="s">
        <v>2</v>
      </c>
      <c r="D24" s="35">
        <v>0</v>
      </c>
      <c r="E24" s="36" t="s">
        <v>2423</v>
      </c>
      <c r="F24" s="362" t="s">
        <v>2534</v>
      </c>
      <c r="G24" s="16"/>
      <c r="H24" s="79"/>
      <c r="I24" s="80"/>
      <c r="J24" s="80"/>
      <c r="K24" s="80"/>
      <c r="L24" s="80"/>
      <c r="M24" s="80"/>
      <c r="N24" s="80"/>
      <c r="O24" s="80"/>
      <c r="P24" s="81"/>
      <c r="Q24" s="15"/>
    </row>
    <row r="25" spans="2:17" ht="19.5" x14ac:dyDescent="0.4">
      <c r="B25" s="10"/>
      <c r="C25" s="34" t="s">
        <v>3</v>
      </c>
      <c r="D25" s="35">
        <v>1.25</v>
      </c>
      <c r="E25" s="36" t="s">
        <v>2423</v>
      </c>
      <c r="F25" s="362" t="s">
        <v>2495</v>
      </c>
      <c r="G25" s="16"/>
      <c r="H25" s="79"/>
      <c r="I25" s="80"/>
      <c r="J25" s="80"/>
      <c r="K25" s="80"/>
      <c r="L25" s="80"/>
      <c r="M25" s="80"/>
      <c r="N25" s="80"/>
      <c r="O25" s="80"/>
      <c r="P25" s="81"/>
      <c r="Q25" s="15"/>
    </row>
    <row r="26" spans="2:17" ht="19.5" x14ac:dyDescent="0.4">
      <c r="B26" s="10"/>
      <c r="C26" s="34" t="s">
        <v>7</v>
      </c>
      <c r="D26" s="35">
        <v>0.5</v>
      </c>
      <c r="E26" s="36" t="s">
        <v>2423</v>
      </c>
      <c r="F26" s="362" t="s">
        <v>2495</v>
      </c>
      <c r="G26" s="16"/>
      <c r="H26" s="79"/>
      <c r="I26" s="80"/>
      <c r="J26" s="80"/>
      <c r="K26" s="80"/>
      <c r="L26" s="80"/>
      <c r="M26" s="80"/>
      <c r="N26" s="80"/>
      <c r="O26" s="80"/>
      <c r="P26" s="81"/>
      <c r="Q26" s="15"/>
    </row>
    <row r="27" spans="2:17" ht="20.25" thickBot="1" x14ac:dyDescent="0.45">
      <c r="B27" s="10"/>
      <c r="C27" s="34" t="s">
        <v>4</v>
      </c>
      <c r="D27" s="35">
        <v>0.3</v>
      </c>
      <c r="E27" s="36" t="s">
        <v>2423</v>
      </c>
      <c r="F27" s="362" t="s">
        <v>2495</v>
      </c>
      <c r="G27" s="16"/>
      <c r="H27" s="83"/>
      <c r="I27" s="84"/>
      <c r="J27" s="84"/>
      <c r="K27" s="84"/>
      <c r="L27" s="84"/>
      <c r="M27" s="84"/>
      <c r="N27" s="84"/>
      <c r="O27" s="84"/>
      <c r="P27" s="85"/>
      <c r="Q27" s="15"/>
    </row>
    <row r="28" spans="2:17" ht="20.25" thickBot="1" x14ac:dyDescent="0.45">
      <c r="B28" s="10"/>
      <c r="C28" s="34" t="s">
        <v>6</v>
      </c>
      <c r="D28" s="35">
        <v>0</v>
      </c>
      <c r="E28" s="36" t="s">
        <v>2423</v>
      </c>
      <c r="F28" s="362" t="s">
        <v>2534</v>
      </c>
      <c r="G28" s="16"/>
      <c r="H28" s="16"/>
      <c r="I28" s="16"/>
      <c r="J28" s="16"/>
      <c r="K28" s="16"/>
      <c r="L28" s="16"/>
      <c r="M28" s="16"/>
      <c r="N28" s="16"/>
      <c r="O28" s="16"/>
      <c r="P28" s="16"/>
      <c r="Q28" s="15"/>
    </row>
    <row r="29" spans="2:17" ht="20.25" thickBot="1" x14ac:dyDescent="0.45">
      <c r="B29" s="10"/>
      <c r="C29" s="37" t="s">
        <v>5</v>
      </c>
      <c r="D29" s="38">
        <v>0</v>
      </c>
      <c r="E29" s="39" t="s">
        <v>2423</v>
      </c>
      <c r="F29" s="363" t="s">
        <v>2534</v>
      </c>
      <c r="G29" s="16"/>
      <c r="H29" s="40" t="s">
        <v>2406</v>
      </c>
      <c r="I29" s="41">
        <v>0</v>
      </c>
      <c r="J29" s="42" t="s">
        <v>2418</v>
      </c>
      <c r="K29" s="16"/>
      <c r="L29" s="16"/>
      <c r="M29" s="16"/>
      <c r="N29" s="16"/>
      <c r="O29" s="16"/>
      <c r="P29" s="16"/>
      <c r="Q29" s="15"/>
    </row>
    <row r="30" spans="2:17" ht="17.25" thickBot="1" x14ac:dyDescent="0.35">
      <c r="B30" s="10"/>
      <c r="C30" s="16"/>
      <c r="D30" s="17"/>
      <c r="E30" s="16"/>
      <c r="F30" s="43"/>
      <c r="G30" s="43"/>
      <c r="H30" s="43"/>
      <c r="I30" s="43"/>
      <c r="J30" s="43"/>
      <c r="K30" s="16"/>
      <c r="L30" s="16"/>
      <c r="M30" s="16"/>
      <c r="N30" s="16"/>
      <c r="O30" s="16"/>
      <c r="P30" s="16"/>
      <c r="Q30" s="15"/>
    </row>
    <row r="31" spans="2:17" x14ac:dyDescent="0.3">
      <c r="B31" s="10"/>
      <c r="C31" s="385" t="s">
        <v>2402</v>
      </c>
      <c r="D31" s="386"/>
      <c r="E31" s="386"/>
      <c r="F31" s="387"/>
      <c r="G31" s="43"/>
      <c r="H31" s="385" t="s">
        <v>2404</v>
      </c>
      <c r="I31" s="379"/>
      <c r="J31" s="379"/>
      <c r="K31" s="380"/>
      <c r="L31" s="16"/>
      <c r="M31" s="385" t="s">
        <v>2405</v>
      </c>
      <c r="N31" s="379"/>
      <c r="O31" s="379"/>
      <c r="P31" s="380"/>
      <c r="Q31" s="15"/>
    </row>
    <row r="32" spans="2:17" ht="20.25" customHeight="1" thickBot="1" x14ac:dyDescent="0.35">
      <c r="B32" s="10"/>
      <c r="C32" s="28" t="s">
        <v>2403</v>
      </c>
      <c r="D32" s="29" t="s">
        <v>2400</v>
      </c>
      <c r="E32" s="29" t="s">
        <v>8</v>
      </c>
      <c r="F32" s="30" t="s">
        <v>2398</v>
      </c>
      <c r="G32" s="43"/>
      <c r="H32" s="28" t="s">
        <v>2403</v>
      </c>
      <c r="I32" s="29" t="s">
        <v>2400</v>
      </c>
      <c r="J32" s="29" t="s">
        <v>8</v>
      </c>
      <c r="K32" s="30" t="s">
        <v>2398</v>
      </c>
      <c r="L32" s="16"/>
      <c r="M32" s="28" t="s">
        <v>2395</v>
      </c>
      <c r="N32" s="29" t="s">
        <v>2400</v>
      </c>
      <c r="O32" s="29" t="s">
        <v>8</v>
      </c>
      <c r="P32" s="30" t="s">
        <v>2398</v>
      </c>
      <c r="Q32" s="15"/>
    </row>
    <row r="33" spans="2:17" ht="19.5" x14ac:dyDescent="0.4">
      <c r="B33" s="10"/>
      <c r="C33" s="31" t="s">
        <v>1</v>
      </c>
      <c r="D33" s="32">
        <v>1.2</v>
      </c>
      <c r="E33" s="33" t="s">
        <v>2425</v>
      </c>
      <c r="F33" s="361" t="s">
        <v>2534</v>
      </c>
      <c r="G33" s="43"/>
      <c r="H33" s="31" t="s">
        <v>1</v>
      </c>
      <c r="I33" s="32">
        <v>11</v>
      </c>
      <c r="J33" s="33" t="s">
        <v>2397</v>
      </c>
      <c r="K33" s="361" t="s">
        <v>2494</v>
      </c>
      <c r="L33" s="16"/>
      <c r="M33" s="31" t="s">
        <v>1</v>
      </c>
      <c r="N33" s="32">
        <v>0</v>
      </c>
      <c r="O33" s="33" t="s">
        <v>2426</v>
      </c>
      <c r="P33" s="361" t="s">
        <v>2534</v>
      </c>
      <c r="Q33" s="15"/>
    </row>
    <row r="34" spans="2:17" ht="18.75" customHeight="1" x14ac:dyDescent="0.4">
      <c r="B34" s="10"/>
      <c r="C34" s="34" t="s">
        <v>2</v>
      </c>
      <c r="D34" s="35">
        <v>1.7</v>
      </c>
      <c r="E34" s="36" t="s">
        <v>2425</v>
      </c>
      <c r="F34" s="362" t="s">
        <v>2495</v>
      </c>
      <c r="G34" s="43"/>
      <c r="H34" s="34" t="s">
        <v>2</v>
      </c>
      <c r="I34" s="35">
        <v>13</v>
      </c>
      <c r="J34" s="36" t="s">
        <v>2397</v>
      </c>
      <c r="K34" s="362" t="s">
        <v>2494</v>
      </c>
      <c r="L34" s="16"/>
      <c r="M34" s="34" t="s">
        <v>2</v>
      </c>
      <c r="N34" s="35">
        <v>0.40400000000000003</v>
      </c>
      <c r="O34" s="36" t="s">
        <v>2426</v>
      </c>
      <c r="P34" s="362" t="s">
        <v>2493</v>
      </c>
      <c r="Q34" s="15"/>
    </row>
    <row r="35" spans="2:17" ht="18.75" customHeight="1" x14ac:dyDescent="0.4">
      <c r="B35" s="10"/>
      <c r="C35" s="34" t="s">
        <v>3</v>
      </c>
      <c r="D35" s="35">
        <v>1.3</v>
      </c>
      <c r="E35" s="36" t="s">
        <v>2425</v>
      </c>
      <c r="F35" s="362" t="s">
        <v>2495</v>
      </c>
      <c r="G35" s="43"/>
      <c r="H35" s="34" t="s">
        <v>3</v>
      </c>
      <c r="I35" s="35">
        <v>22</v>
      </c>
      <c r="J35" s="36" t="s">
        <v>2397</v>
      </c>
      <c r="K35" s="362" t="s">
        <v>2494</v>
      </c>
      <c r="L35" s="16"/>
      <c r="M35" s="34" t="s">
        <v>3</v>
      </c>
      <c r="N35" s="35">
        <v>0.33700000000000002</v>
      </c>
      <c r="O35" s="36" t="s">
        <v>2426</v>
      </c>
      <c r="P35" s="362" t="s">
        <v>2493</v>
      </c>
      <c r="Q35" s="15"/>
    </row>
    <row r="36" spans="2:17" ht="18.75" customHeight="1" x14ac:dyDescent="0.4">
      <c r="B36" s="10"/>
      <c r="C36" s="34" t="s">
        <v>226</v>
      </c>
      <c r="D36" s="35">
        <v>1.5</v>
      </c>
      <c r="E36" s="36" t="s">
        <v>2425</v>
      </c>
      <c r="F36" s="362" t="s">
        <v>2495</v>
      </c>
      <c r="G36" s="43"/>
      <c r="H36" s="34" t="s">
        <v>226</v>
      </c>
      <c r="I36" s="35">
        <v>11</v>
      </c>
      <c r="J36" s="36" t="s">
        <v>2397</v>
      </c>
      <c r="K36" s="362" t="s">
        <v>2494</v>
      </c>
      <c r="L36" s="16"/>
      <c r="M36" s="34" t="s">
        <v>7</v>
      </c>
      <c r="N36" s="35">
        <v>0.20100000000000001</v>
      </c>
      <c r="O36" s="36" t="s">
        <v>2426</v>
      </c>
      <c r="P36" s="362" t="s">
        <v>2493</v>
      </c>
      <c r="Q36" s="15"/>
    </row>
    <row r="37" spans="2:17" ht="18.75" customHeight="1" x14ac:dyDescent="0.4">
      <c r="B37" s="10"/>
      <c r="C37" s="34" t="s">
        <v>96</v>
      </c>
      <c r="D37" s="35">
        <v>1</v>
      </c>
      <c r="E37" s="36" t="s">
        <v>2425</v>
      </c>
      <c r="F37" s="362" t="s">
        <v>2495</v>
      </c>
      <c r="G37" s="43"/>
      <c r="H37" s="34" t="s">
        <v>96</v>
      </c>
      <c r="I37" s="35">
        <v>11</v>
      </c>
      <c r="J37" s="36" t="s">
        <v>2397</v>
      </c>
      <c r="K37" s="362" t="s">
        <v>2494</v>
      </c>
      <c r="L37" s="16"/>
      <c r="M37" s="34" t="s">
        <v>4</v>
      </c>
      <c r="N37" s="35">
        <v>0.28000000000000003</v>
      </c>
      <c r="O37" s="36" t="s">
        <v>2426</v>
      </c>
      <c r="P37" s="362" t="s">
        <v>2493</v>
      </c>
      <c r="Q37" s="15"/>
    </row>
    <row r="38" spans="2:17" ht="18.75" customHeight="1" x14ac:dyDescent="0.4">
      <c r="B38" s="10"/>
      <c r="C38" s="34" t="s">
        <v>4</v>
      </c>
      <c r="D38" s="35">
        <v>1</v>
      </c>
      <c r="E38" s="36" t="s">
        <v>2425</v>
      </c>
      <c r="F38" s="362" t="s">
        <v>2534</v>
      </c>
      <c r="G38" s="43"/>
      <c r="H38" s="34" t="s">
        <v>4</v>
      </c>
      <c r="I38" s="35">
        <v>15</v>
      </c>
      <c r="J38" s="36" t="s">
        <v>2397</v>
      </c>
      <c r="K38" s="362" t="s">
        <v>2534</v>
      </c>
      <c r="L38" s="16"/>
      <c r="M38" s="34" t="s">
        <v>6</v>
      </c>
      <c r="N38" s="35">
        <v>0</v>
      </c>
      <c r="O38" s="36" t="s">
        <v>2426</v>
      </c>
      <c r="P38" s="362" t="s">
        <v>2534</v>
      </c>
      <c r="Q38" s="15"/>
    </row>
    <row r="39" spans="2:17" ht="18.75" customHeight="1" thickBot="1" x14ac:dyDescent="0.45">
      <c r="B39" s="10"/>
      <c r="C39" s="34" t="s">
        <v>6</v>
      </c>
      <c r="D39" s="35">
        <v>1</v>
      </c>
      <c r="E39" s="36" t="s">
        <v>2425</v>
      </c>
      <c r="F39" s="362" t="s">
        <v>2534</v>
      </c>
      <c r="G39" s="43"/>
      <c r="H39" s="34" t="s">
        <v>6</v>
      </c>
      <c r="I39" s="35">
        <v>15</v>
      </c>
      <c r="J39" s="36" t="s">
        <v>2397</v>
      </c>
      <c r="K39" s="362" t="s">
        <v>2534</v>
      </c>
      <c r="L39" s="16"/>
      <c r="M39" s="37" t="s">
        <v>5</v>
      </c>
      <c r="N39" s="38">
        <v>0.214</v>
      </c>
      <c r="O39" s="39" t="s">
        <v>2426</v>
      </c>
      <c r="P39" s="363" t="s">
        <v>2493</v>
      </c>
      <c r="Q39" s="15"/>
    </row>
    <row r="40" spans="2:17" ht="18.75" customHeight="1" thickBot="1" x14ac:dyDescent="0.45">
      <c r="B40" s="10"/>
      <c r="C40" s="37" t="s">
        <v>5</v>
      </c>
      <c r="D40" s="38">
        <v>1</v>
      </c>
      <c r="E40" s="39" t="s">
        <v>2425</v>
      </c>
      <c r="F40" s="363" t="s">
        <v>2534</v>
      </c>
      <c r="G40" s="43"/>
      <c r="H40" s="37" t="s">
        <v>5</v>
      </c>
      <c r="I40" s="38">
        <v>15</v>
      </c>
      <c r="J40" s="39" t="s">
        <v>2397</v>
      </c>
      <c r="K40" s="363" t="s">
        <v>2534</v>
      </c>
      <c r="L40" s="16"/>
      <c r="M40" s="16"/>
      <c r="N40" s="16"/>
      <c r="O40" s="16"/>
      <c r="P40" s="16"/>
      <c r="Q40" s="15"/>
    </row>
    <row r="41" spans="2:17" ht="18.75" customHeight="1" thickBot="1" x14ac:dyDescent="0.35">
      <c r="B41" s="21"/>
      <c r="C41" s="24"/>
      <c r="D41" s="23"/>
      <c r="E41" s="24"/>
      <c r="F41" s="24"/>
      <c r="G41" s="24"/>
      <c r="H41" s="24"/>
      <c r="I41" s="24"/>
      <c r="J41" s="24"/>
      <c r="K41" s="24"/>
      <c r="L41" s="24"/>
      <c r="M41" s="24"/>
      <c r="N41" s="24"/>
      <c r="O41" s="24"/>
      <c r="P41" s="24"/>
      <c r="Q41" s="25"/>
    </row>
    <row r="42" spans="2:17" x14ac:dyDescent="0.3">
      <c r="C42" s="102"/>
    </row>
  </sheetData>
  <mergeCells count="11">
    <mergeCell ref="H11:N11"/>
    <mergeCell ref="C7:F7"/>
    <mergeCell ref="H7:P7"/>
    <mergeCell ref="H8:N8"/>
    <mergeCell ref="H9:N9"/>
    <mergeCell ref="H10:N10"/>
    <mergeCell ref="C17:F17"/>
    <mergeCell ref="C21:F21"/>
    <mergeCell ref="C31:F31"/>
    <mergeCell ref="H31:K31"/>
    <mergeCell ref="M31:P31"/>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tabColor theme="0" tint="-0.34998626667073579"/>
  </sheetPr>
  <dimension ref="A1:E540"/>
  <sheetViews>
    <sheetView workbookViewId="0">
      <selection activeCell="C3" sqref="C3"/>
    </sheetView>
  </sheetViews>
  <sheetFormatPr defaultColWidth="11.42578125" defaultRowHeight="15" x14ac:dyDescent="0.25"/>
  <cols>
    <col min="1" max="1" width="11.42578125" style="1"/>
    <col min="2" max="2" width="11.42578125" style="1" bestFit="1" customWidth="1"/>
    <col min="3" max="3" width="18.140625" style="2" customWidth="1"/>
    <col min="4" max="4" width="18.42578125" style="2" bestFit="1" customWidth="1"/>
    <col min="5" max="5" width="15.28515625" style="3" bestFit="1" customWidth="1"/>
    <col min="6" max="16384" width="11.42578125" style="1"/>
  </cols>
  <sheetData>
    <row r="1" spans="1:5" x14ac:dyDescent="0.25">
      <c r="A1" s="1" t="s">
        <v>2427</v>
      </c>
      <c r="B1" s="1" t="s">
        <v>2428</v>
      </c>
      <c r="C1" s="2" t="s">
        <v>2429</v>
      </c>
      <c r="D1" s="2" t="s">
        <v>2430</v>
      </c>
      <c r="E1" s="3" t="s">
        <v>2396</v>
      </c>
    </row>
    <row r="2" spans="1:5" x14ac:dyDescent="0.25">
      <c r="A2" s="1" t="s">
        <v>162</v>
      </c>
      <c r="B2" s="1" t="s">
        <v>6</v>
      </c>
      <c r="C2" s="2">
        <v>30.599999999999998</v>
      </c>
      <c r="D2" s="2">
        <v>30.599999999999998</v>
      </c>
      <c r="E2" s="3">
        <v>1</v>
      </c>
    </row>
    <row r="3" spans="1:5" x14ac:dyDescent="0.25">
      <c r="A3" s="1" t="s">
        <v>207</v>
      </c>
      <c r="B3" s="1" t="s">
        <v>6</v>
      </c>
      <c r="C3" s="2">
        <v>29.75</v>
      </c>
      <c r="D3" s="2">
        <v>60.349999999999994</v>
      </c>
      <c r="E3" s="3">
        <v>1</v>
      </c>
    </row>
    <row r="4" spans="1:5" x14ac:dyDescent="0.25">
      <c r="A4" s="1" t="s">
        <v>215</v>
      </c>
      <c r="B4" s="1" t="s">
        <v>6</v>
      </c>
      <c r="C4" s="2">
        <v>28.9</v>
      </c>
      <c r="D4" s="2">
        <v>89.25</v>
      </c>
      <c r="E4" s="3">
        <v>1</v>
      </c>
    </row>
    <row r="5" spans="1:5" x14ac:dyDescent="0.25">
      <c r="A5" s="1" t="s">
        <v>260</v>
      </c>
      <c r="B5" s="1" t="s">
        <v>6</v>
      </c>
      <c r="C5" s="2">
        <v>10.199999999999999</v>
      </c>
      <c r="D5" s="2">
        <v>99.45</v>
      </c>
      <c r="E5" s="3">
        <v>1</v>
      </c>
    </row>
    <row r="6" spans="1:5" x14ac:dyDescent="0.25">
      <c r="A6" s="1" t="s">
        <v>293</v>
      </c>
      <c r="B6" s="1" t="s">
        <v>6</v>
      </c>
      <c r="C6" s="2">
        <v>28.05</v>
      </c>
      <c r="D6" s="2">
        <v>127.5</v>
      </c>
      <c r="E6" s="3">
        <v>1</v>
      </c>
    </row>
    <row r="7" spans="1:5" x14ac:dyDescent="0.25">
      <c r="A7" s="1" t="s">
        <v>497</v>
      </c>
      <c r="B7" s="1" t="s">
        <v>6</v>
      </c>
      <c r="C7" s="2">
        <v>45.645000000000003</v>
      </c>
      <c r="D7" s="2">
        <v>173.14500000000001</v>
      </c>
      <c r="E7" s="3">
        <v>1</v>
      </c>
    </row>
    <row r="8" spans="1:5" x14ac:dyDescent="0.25">
      <c r="A8" s="1" t="s">
        <v>536</v>
      </c>
      <c r="B8" s="1" t="s">
        <v>6</v>
      </c>
      <c r="C8" s="2">
        <v>19.974999999999998</v>
      </c>
      <c r="D8" s="2">
        <v>193.12</v>
      </c>
      <c r="E8" s="3">
        <v>1</v>
      </c>
    </row>
    <row r="9" spans="1:5" x14ac:dyDescent="0.25">
      <c r="A9" s="1" t="s">
        <v>642</v>
      </c>
      <c r="B9" s="1" t="s">
        <v>6</v>
      </c>
      <c r="C9" s="2">
        <v>22.099999999999998</v>
      </c>
      <c r="D9" s="2">
        <v>215.22</v>
      </c>
      <c r="E9" s="3">
        <v>1</v>
      </c>
    </row>
    <row r="10" spans="1:5" x14ac:dyDescent="0.25">
      <c r="A10" s="1" t="s">
        <v>647</v>
      </c>
      <c r="B10" s="1" t="s">
        <v>6</v>
      </c>
      <c r="C10" s="2">
        <v>39.524999999999999</v>
      </c>
      <c r="D10" s="2">
        <v>254.745</v>
      </c>
      <c r="E10" s="3">
        <v>1</v>
      </c>
    </row>
    <row r="11" spans="1:5" x14ac:dyDescent="0.25">
      <c r="A11" s="1" t="s">
        <v>751</v>
      </c>
      <c r="B11" s="1" t="s">
        <v>6</v>
      </c>
      <c r="C11" s="2">
        <v>19.805</v>
      </c>
      <c r="D11" s="2">
        <v>274.55</v>
      </c>
      <c r="E11" s="3">
        <v>1</v>
      </c>
    </row>
    <row r="12" spans="1:5" x14ac:dyDescent="0.25">
      <c r="A12" s="1" t="s">
        <v>780</v>
      </c>
      <c r="B12" s="1" t="s">
        <v>6</v>
      </c>
      <c r="C12" s="2">
        <v>20.399999999999999</v>
      </c>
      <c r="D12" s="2">
        <v>294.95</v>
      </c>
      <c r="E12" s="3">
        <v>1</v>
      </c>
    </row>
    <row r="13" spans="1:5" x14ac:dyDescent="0.25">
      <c r="A13" s="1" t="s">
        <v>800</v>
      </c>
      <c r="B13" s="1" t="s">
        <v>6</v>
      </c>
      <c r="C13" s="2">
        <v>11.219999999999999</v>
      </c>
      <c r="D13" s="2">
        <v>306.16999999999996</v>
      </c>
      <c r="E13" s="3">
        <v>1</v>
      </c>
    </row>
    <row r="14" spans="1:5" x14ac:dyDescent="0.25">
      <c r="A14" s="1" t="s">
        <v>820</v>
      </c>
      <c r="B14" s="1" t="s">
        <v>6</v>
      </c>
      <c r="C14" s="2">
        <v>19.125</v>
      </c>
      <c r="D14" s="2">
        <v>325.29499999999996</v>
      </c>
      <c r="E14" s="3">
        <v>1</v>
      </c>
    </row>
    <row r="15" spans="1:5" x14ac:dyDescent="0.25">
      <c r="A15" s="1" t="s">
        <v>858</v>
      </c>
      <c r="B15" s="1" t="s">
        <v>6</v>
      </c>
      <c r="C15" s="2">
        <v>31.875</v>
      </c>
      <c r="D15" s="2">
        <v>357.16999999999996</v>
      </c>
      <c r="E15" s="3">
        <v>1</v>
      </c>
    </row>
    <row r="16" spans="1:5" x14ac:dyDescent="0.25">
      <c r="A16" s="1" t="s">
        <v>614</v>
      </c>
      <c r="B16" s="1" t="s">
        <v>6</v>
      </c>
      <c r="C16" s="2">
        <v>32.299999999999997</v>
      </c>
      <c r="D16" s="2">
        <v>389.46999999999997</v>
      </c>
      <c r="E16" s="3">
        <v>1</v>
      </c>
    </row>
    <row r="17" spans="1:5" x14ac:dyDescent="0.25">
      <c r="A17" s="1" t="s">
        <v>1128</v>
      </c>
      <c r="B17" s="1" t="s">
        <v>6</v>
      </c>
      <c r="C17" s="2">
        <v>13.8125</v>
      </c>
      <c r="D17" s="2">
        <v>403.28249999999997</v>
      </c>
      <c r="E17" s="3">
        <v>1</v>
      </c>
    </row>
    <row r="18" spans="1:5" x14ac:dyDescent="0.25">
      <c r="A18" s="1" t="s">
        <v>1134</v>
      </c>
      <c r="B18" s="1" t="s">
        <v>6</v>
      </c>
      <c r="C18" s="2">
        <v>13.8125</v>
      </c>
      <c r="D18" s="2">
        <v>417.09499999999997</v>
      </c>
      <c r="E18" s="3">
        <v>1</v>
      </c>
    </row>
    <row r="19" spans="1:5" x14ac:dyDescent="0.25">
      <c r="A19" s="1" t="s">
        <v>1154</v>
      </c>
      <c r="B19" s="1" t="s">
        <v>6</v>
      </c>
      <c r="C19" s="2">
        <v>9.86</v>
      </c>
      <c r="D19" s="2">
        <v>426.95499999999998</v>
      </c>
      <c r="E19" s="3">
        <v>1</v>
      </c>
    </row>
    <row r="20" spans="1:5" x14ac:dyDescent="0.25">
      <c r="A20" s="1" t="s">
        <v>1226</v>
      </c>
      <c r="B20" s="1" t="s">
        <v>6</v>
      </c>
      <c r="C20" s="2">
        <v>24.82</v>
      </c>
      <c r="D20" s="2">
        <v>451.77499999999998</v>
      </c>
      <c r="E20" s="3">
        <v>1</v>
      </c>
    </row>
    <row r="21" spans="1:5" x14ac:dyDescent="0.25">
      <c r="A21" s="1" t="s">
        <v>1230</v>
      </c>
      <c r="B21" s="1" t="s">
        <v>6</v>
      </c>
      <c r="C21" s="2">
        <v>24.82</v>
      </c>
      <c r="D21" s="2">
        <v>476.59499999999997</v>
      </c>
      <c r="E21" s="3">
        <v>1</v>
      </c>
    </row>
    <row r="22" spans="1:5" x14ac:dyDescent="0.25">
      <c r="A22" s="1" t="s">
        <v>1240</v>
      </c>
      <c r="B22" s="1" t="s">
        <v>6</v>
      </c>
      <c r="C22" s="2">
        <v>7.3525</v>
      </c>
      <c r="D22" s="2">
        <v>483.94749999999999</v>
      </c>
      <c r="E22" s="3">
        <v>1</v>
      </c>
    </row>
    <row r="23" spans="1:5" x14ac:dyDescent="0.25">
      <c r="A23" s="1" t="s">
        <v>1244</v>
      </c>
      <c r="B23" s="1" t="s">
        <v>6</v>
      </c>
      <c r="C23" s="2">
        <v>18.785</v>
      </c>
      <c r="D23" s="2">
        <v>502.73250000000002</v>
      </c>
      <c r="E23" s="3">
        <v>1</v>
      </c>
    </row>
    <row r="24" spans="1:5" x14ac:dyDescent="0.25">
      <c r="A24" s="1" t="s">
        <v>1247</v>
      </c>
      <c r="B24" s="1" t="s">
        <v>6</v>
      </c>
      <c r="C24" s="2">
        <v>6.8849999999999998</v>
      </c>
      <c r="D24" s="2">
        <v>509.61750000000001</v>
      </c>
      <c r="E24" s="3">
        <v>1</v>
      </c>
    </row>
    <row r="25" spans="1:5" x14ac:dyDescent="0.25">
      <c r="A25" s="1" t="s">
        <v>1249</v>
      </c>
      <c r="B25" s="1" t="s">
        <v>6</v>
      </c>
      <c r="C25" s="2">
        <v>4.93</v>
      </c>
      <c r="D25" s="2">
        <v>514.54750000000001</v>
      </c>
      <c r="E25" s="3">
        <v>1</v>
      </c>
    </row>
    <row r="26" spans="1:5" x14ac:dyDescent="0.25">
      <c r="A26" s="1" t="s">
        <v>1347</v>
      </c>
      <c r="B26" s="1" t="s">
        <v>6</v>
      </c>
      <c r="C26" s="2">
        <v>45.56</v>
      </c>
      <c r="D26" s="2">
        <v>560.10750000000007</v>
      </c>
      <c r="E26" s="3">
        <v>1</v>
      </c>
    </row>
    <row r="27" spans="1:5" x14ac:dyDescent="0.25">
      <c r="A27" s="1" t="s">
        <v>1369</v>
      </c>
      <c r="B27" s="1" t="s">
        <v>6</v>
      </c>
      <c r="C27" s="2">
        <v>15.299999999999999</v>
      </c>
      <c r="D27" s="2">
        <v>575.40750000000003</v>
      </c>
      <c r="E27" s="3">
        <v>1</v>
      </c>
    </row>
    <row r="28" spans="1:5" x14ac:dyDescent="0.25">
      <c r="A28" s="1" t="s">
        <v>1392</v>
      </c>
      <c r="B28" s="1" t="s">
        <v>6</v>
      </c>
      <c r="C28" s="2">
        <v>34.339999999999996</v>
      </c>
      <c r="D28" s="2">
        <v>609.74750000000006</v>
      </c>
      <c r="E28" s="3">
        <v>1</v>
      </c>
    </row>
    <row r="29" spans="1:5" x14ac:dyDescent="0.25">
      <c r="A29" s="1" t="s">
        <v>1398</v>
      </c>
      <c r="B29" s="1" t="s">
        <v>6</v>
      </c>
      <c r="C29" s="2">
        <v>17.935000000000002</v>
      </c>
      <c r="D29" s="2">
        <v>627.68250000000012</v>
      </c>
      <c r="E29" s="3">
        <v>1</v>
      </c>
    </row>
    <row r="30" spans="1:5" x14ac:dyDescent="0.25">
      <c r="A30" s="1" t="s">
        <v>1543</v>
      </c>
      <c r="B30" s="1" t="s">
        <v>6</v>
      </c>
      <c r="C30" s="2">
        <v>7.6499999999999995</v>
      </c>
      <c r="D30" s="2">
        <v>635.3325000000001</v>
      </c>
      <c r="E30" s="3">
        <v>1</v>
      </c>
    </row>
    <row r="31" spans="1:5" x14ac:dyDescent="0.25">
      <c r="A31" s="1" t="s">
        <v>1569</v>
      </c>
      <c r="B31" s="1" t="s">
        <v>6</v>
      </c>
      <c r="C31" s="2">
        <v>25.5</v>
      </c>
      <c r="D31" s="2">
        <v>660.8325000000001</v>
      </c>
      <c r="E31" s="3">
        <v>1</v>
      </c>
    </row>
    <row r="32" spans="1:5" x14ac:dyDescent="0.25">
      <c r="A32" s="1" t="s">
        <v>1640</v>
      </c>
      <c r="B32" s="1" t="s">
        <v>6</v>
      </c>
      <c r="C32" s="2">
        <v>20.74</v>
      </c>
      <c r="D32" s="2">
        <v>681.5725000000001</v>
      </c>
      <c r="E32" s="3">
        <v>1</v>
      </c>
    </row>
    <row r="33" spans="1:5" x14ac:dyDescent="0.25">
      <c r="A33" s="1" t="s">
        <v>1719</v>
      </c>
      <c r="B33" s="1" t="s">
        <v>6</v>
      </c>
      <c r="C33" s="2">
        <v>16.574999999999999</v>
      </c>
      <c r="D33" s="2">
        <v>698.14750000000015</v>
      </c>
      <c r="E33" s="3">
        <v>1</v>
      </c>
    </row>
    <row r="34" spans="1:5" x14ac:dyDescent="0.25">
      <c r="A34" s="1" t="s">
        <v>1771</v>
      </c>
      <c r="B34" s="1" t="s">
        <v>6</v>
      </c>
      <c r="C34" s="2">
        <v>15.299999999999999</v>
      </c>
      <c r="D34" s="2">
        <v>713.4475000000001</v>
      </c>
      <c r="E34" s="3">
        <v>1</v>
      </c>
    </row>
    <row r="35" spans="1:5" x14ac:dyDescent="0.25">
      <c r="A35" s="1" t="s">
        <v>1775</v>
      </c>
      <c r="B35" s="1" t="s">
        <v>6</v>
      </c>
      <c r="C35" s="2">
        <v>18.7</v>
      </c>
      <c r="D35" s="2">
        <v>732.14750000000015</v>
      </c>
      <c r="E35" s="3">
        <v>1</v>
      </c>
    </row>
    <row r="36" spans="1:5" x14ac:dyDescent="0.25">
      <c r="A36" s="1" t="s">
        <v>1824</v>
      </c>
      <c r="B36" s="1" t="s">
        <v>6</v>
      </c>
      <c r="C36" s="2">
        <v>22.95</v>
      </c>
      <c r="D36" s="2">
        <v>755.0975000000002</v>
      </c>
      <c r="E36" s="3">
        <v>1</v>
      </c>
    </row>
    <row r="37" spans="1:5" x14ac:dyDescent="0.25">
      <c r="A37" s="1" t="s">
        <v>232</v>
      </c>
      <c r="B37" s="1" t="s">
        <v>6</v>
      </c>
      <c r="C37" s="2">
        <v>8.4150000000000009</v>
      </c>
      <c r="D37" s="2">
        <v>763.51250000000016</v>
      </c>
      <c r="E37" s="3">
        <v>1</v>
      </c>
    </row>
    <row r="38" spans="1:5" x14ac:dyDescent="0.25">
      <c r="A38" s="1" t="s">
        <v>237</v>
      </c>
      <c r="B38" s="1" t="s">
        <v>6</v>
      </c>
      <c r="C38" s="2">
        <v>8.0749999999999993</v>
      </c>
      <c r="D38" s="2">
        <v>771.5875000000002</v>
      </c>
      <c r="E38" s="3">
        <v>1</v>
      </c>
    </row>
    <row r="39" spans="1:5" x14ac:dyDescent="0.25">
      <c r="A39" s="1" t="s">
        <v>299</v>
      </c>
      <c r="B39" s="1" t="s">
        <v>6</v>
      </c>
      <c r="C39" s="2">
        <v>37.4</v>
      </c>
      <c r="D39" s="2">
        <v>808.98750000000018</v>
      </c>
      <c r="E39" s="3">
        <v>1</v>
      </c>
    </row>
    <row r="40" spans="1:5" x14ac:dyDescent="0.25">
      <c r="A40" s="1" t="s">
        <v>333</v>
      </c>
      <c r="B40" s="1" t="s">
        <v>6</v>
      </c>
      <c r="C40" s="2">
        <v>11.9</v>
      </c>
      <c r="D40" s="2">
        <v>820.88750000000016</v>
      </c>
      <c r="E40" s="3">
        <v>1</v>
      </c>
    </row>
    <row r="41" spans="1:5" x14ac:dyDescent="0.25">
      <c r="A41" s="1" t="s">
        <v>363</v>
      </c>
      <c r="B41" s="1" t="s">
        <v>6</v>
      </c>
      <c r="C41" s="2">
        <v>10.625</v>
      </c>
      <c r="D41" s="2">
        <v>831.51250000000016</v>
      </c>
      <c r="E41" s="3">
        <v>1</v>
      </c>
    </row>
    <row r="42" spans="1:5" x14ac:dyDescent="0.25">
      <c r="A42" s="1" t="s">
        <v>596</v>
      </c>
      <c r="B42" s="1" t="s">
        <v>6</v>
      </c>
      <c r="C42" s="2">
        <v>11.559999999999999</v>
      </c>
      <c r="D42" s="2">
        <v>843.0725000000001</v>
      </c>
      <c r="E42" s="3">
        <v>1</v>
      </c>
    </row>
    <row r="43" spans="1:5" x14ac:dyDescent="0.25">
      <c r="A43" s="1" t="s">
        <v>707</v>
      </c>
      <c r="B43" s="1" t="s">
        <v>6</v>
      </c>
      <c r="C43" s="2">
        <v>9.35</v>
      </c>
      <c r="D43" s="2">
        <v>852.42250000000013</v>
      </c>
      <c r="E43" s="3">
        <v>1</v>
      </c>
    </row>
    <row r="44" spans="1:5" x14ac:dyDescent="0.25">
      <c r="A44" s="1" t="s">
        <v>806</v>
      </c>
      <c r="B44" s="1" t="s">
        <v>6</v>
      </c>
      <c r="C44" s="2">
        <v>12.392999999999999</v>
      </c>
      <c r="D44" s="2">
        <v>864.81550000000016</v>
      </c>
      <c r="E44" s="3">
        <v>1</v>
      </c>
    </row>
    <row r="45" spans="1:5" x14ac:dyDescent="0.25">
      <c r="A45" s="1" t="s">
        <v>884</v>
      </c>
      <c r="B45" s="1" t="s">
        <v>6</v>
      </c>
      <c r="C45" s="2">
        <v>13.174999999999999</v>
      </c>
      <c r="D45" s="2">
        <v>877.99050000000011</v>
      </c>
      <c r="E45" s="3">
        <v>1</v>
      </c>
    </row>
    <row r="46" spans="1:5" x14ac:dyDescent="0.25">
      <c r="A46" s="1" t="s">
        <v>890</v>
      </c>
      <c r="B46" s="1" t="s">
        <v>6</v>
      </c>
      <c r="C46" s="2">
        <v>16.574999999999999</v>
      </c>
      <c r="D46" s="2">
        <v>894.56550000000016</v>
      </c>
      <c r="E46" s="3">
        <v>1</v>
      </c>
    </row>
    <row r="47" spans="1:5" x14ac:dyDescent="0.25">
      <c r="A47" s="1" t="s">
        <v>923</v>
      </c>
      <c r="B47" s="1" t="s">
        <v>6</v>
      </c>
      <c r="C47" s="2">
        <v>21.675000000000001</v>
      </c>
      <c r="D47" s="2">
        <v>916.24050000000011</v>
      </c>
      <c r="E47" s="3">
        <v>1</v>
      </c>
    </row>
    <row r="48" spans="1:5" x14ac:dyDescent="0.25">
      <c r="A48" s="1" t="s">
        <v>951</v>
      </c>
      <c r="B48" s="1" t="s">
        <v>6</v>
      </c>
      <c r="C48" s="2">
        <v>13.6</v>
      </c>
      <c r="D48" s="2">
        <v>929.84050000000013</v>
      </c>
      <c r="E48" s="3">
        <v>1</v>
      </c>
    </row>
    <row r="49" spans="1:5" x14ac:dyDescent="0.25">
      <c r="A49" s="1" t="s">
        <v>975</v>
      </c>
      <c r="B49" s="1" t="s">
        <v>6</v>
      </c>
      <c r="C49" s="2">
        <v>12.494999999999999</v>
      </c>
      <c r="D49" s="2">
        <v>942.33550000000014</v>
      </c>
      <c r="E49" s="3">
        <v>1</v>
      </c>
    </row>
    <row r="50" spans="1:5" x14ac:dyDescent="0.25">
      <c r="A50" s="1" t="s">
        <v>1002</v>
      </c>
      <c r="B50" s="1" t="s">
        <v>6</v>
      </c>
      <c r="C50" s="2">
        <v>38.335000000000001</v>
      </c>
      <c r="D50" s="2">
        <v>980.67050000000017</v>
      </c>
      <c r="E50" s="3">
        <v>1</v>
      </c>
    </row>
    <row r="51" spans="1:5" x14ac:dyDescent="0.25">
      <c r="A51" s="1" t="s">
        <v>1062</v>
      </c>
      <c r="B51" s="1" t="s">
        <v>6</v>
      </c>
      <c r="C51" s="2">
        <v>11.73</v>
      </c>
      <c r="D51" s="2">
        <v>992.40050000000019</v>
      </c>
      <c r="E51" s="3">
        <v>1</v>
      </c>
    </row>
    <row r="52" spans="1:5" x14ac:dyDescent="0.25">
      <c r="A52" s="1" t="s">
        <v>1064</v>
      </c>
      <c r="B52" s="1" t="s">
        <v>6</v>
      </c>
      <c r="C52" s="2">
        <v>1.2749999999999999</v>
      </c>
      <c r="D52" s="2">
        <v>993.67550000000017</v>
      </c>
      <c r="E52" s="3">
        <v>1</v>
      </c>
    </row>
    <row r="53" spans="1:5" x14ac:dyDescent="0.25">
      <c r="A53" s="1" t="s">
        <v>1066</v>
      </c>
      <c r="B53" s="1" t="s">
        <v>6</v>
      </c>
      <c r="C53" s="2">
        <v>2.38</v>
      </c>
      <c r="D53" s="2">
        <v>996.05550000000017</v>
      </c>
      <c r="E53" s="3">
        <v>1</v>
      </c>
    </row>
    <row r="54" spans="1:5" x14ac:dyDescent="0.25">
      <c r="A54" s="1" t="s">
        <v>1067</v>
      </c>
      <c r="B54" s="1" t="s">
        <v>6</v>
      </c>
      <c r="C54" s="2">
        <v>1.2749999999999999</v>
      </c>
      <c r="D54" s="2">
        <v>997.33050000000014</v>
      </c>
      <c r="E54" s="3">
        <v>1</v>
      </c>
    </row>
    <row r="55" spans="1:5" x14ac:dyDescent="0.25">
      <c r="A55" s="1" t="s">
        <v>1108</v>
      </c>
      <c r="B55" s="1" t="s">
        <v>6</v>
      </c>
      <c r="C55" s="2">
        <v>13.344999999999999</v>
      </c>
      <c r="D55" s="2">
        <v>1010.6755000000002</v>
      </c>
      <c r="E55" s="3">
        <v>1</v>
      </c>
    </row>
    <row r="56" spans="1:5" x14ac:dyDescent="0.25">
      <c r="A56" s="1" t="s">
        <v>1188</v>
      </c>
      <c r="B56" s="1" t="s">
        <v>6</v>
      </c>
      <c r="C56" s="2">
        <v>23.8</v>
      </c>
      <c r="D56" s="2">
        <v>1034.4755000000002</v>
      </c>
      <c r="E56" s="3">
        <v>1</v>
      </c>
    </row>
    <row r="57" spans="1:5" x14ac:dyDescent="0.25">
      <c r="A57" s="1" t="s">
        <v>1221</v>
      </c>
      <c r="B57" s="1" t="s">
        <v>6</v>
      </c>
      <c r="C57" s="2">
        <v>21.59</v>
      </c>
      <c r="D57" s="2">
        <v>1056.0655000000002</v>
      </c>
      <c r="E57" s="3">
        <v>1</v>
      </c>
    </row>
    <row r="58" spans="1:5" x14ac:dyDescent="0.25">
      <c r="A58" s="1" t="s">
        <v>1231</v>
      </c>
      <c r="B58" s="1" t="s">
        <v>6</v>
      </c>
      <c r="C58" s="2">
        <v>13.26</v>
      </c>
      <c r="D58" s="2">
        <v>1069.3255000000001</v>
      </c>
      <c r="E58" s="3">
        <v>1</v>
      </c>
    </row>
    <row r="59" spans="1:5" x14ac:dyDescent="0.25">
      <c r="A59" s="1" t="s">
        <v>1425</v>
      </c>
      <c r="B59" s="1" t="s">
        <v>6</v>
      </c>
      <c r="C59" s="2">
        <v>12.324999999999999</v>
      </c>
      <c r="D59" s="2">
        <v>1081.6505000000002</v>
      </c>
      <c r="E59" s="3">
        <v>1</v>
      </c>
    </row>
    <row r="60" spans="1:5" x14ac:dyDescent="0.25">
      <c r="A60" s="1" t="s">
        <v>1492</v>
      </c>
      <c r="B60" s="1" t="s">
        <v>6</v>
      </c>
      <c r="C60" s="2">
        <v>12.75</v>
      </c>
      <c r="D60" s="2">
        <v>1094.4005000000002</v>
      </c>
      <c r="E60" s="3">
        <v>1</v>
      </c>
    </row>
    <row r="61" spans="1:5" x14ac:dyDescent="0.25">
      <c r="A61" s="1" t="s">
        <v>1505</v>
      </c>
      <c r="B61" s="1" t="s">
        <v>6</v>
      </c>
      <c r="C61" s="2">
        <v>2.125</v>
      </c>
      <c r="D61" s="2">
        <v>1096.5255000000002</v>
      </c>
      <c r="E61" s="3">
        <v>1</v>
      </c>
    </row>
    <row r="62" spans="1:5" x14ac:dyDescent="0.25">
      <c r="A62" s="1" t="s">
        <v>1510</v>
      </c>
      <c r="B62" s="1" t="s">
        <v>6</v>
      </c>
      <c r="C62" s="2">
        <v>12.324999999999999</v>
      </c>
      <c r="D62" s="2">
        <v>1108.8505000000002</v>
      </c>
      <c r="E62" s="3">
        <v>1</v>
      </c>
    </row>
    <row r="63" spans="1:5" x14ac:dyDescent="0.25">
      <c r="A63" s="1" t="s">
        <v>1558</v>
      </c>
      <c r="B63" s="1" t="s">
        <v>6</v>
      </c>
      <c r="C63" s="2">
        <v>14.45</v>
      </c>
      <c r="D63" s="2">
        <v>1123.3005000000003</v>
      </c>
      <c r="E63" s="3">
        <v>1</v>
      </c>
    </row>
    <row r="64" spans="1:5" x14ac:dyDescent="0.25">
      <c r="A64" s="1" t="s">
        <v>1594</v>
      </c>
      <c r="B64" s="1" t="s">
        <v>6</v>
      </c>
      <c r="C64" s="2">
        <v>13.6</v>
      </c>
      <c r="D64" s="2">
        <v>1136.9005000000002</v>
      </c>
      <c r="E64" s="3">
        <v>1</v>
      </c>
    </row>
    <row r="65" spans="1:5" x14ac:dyDescent="0.25">
      <c r="A65" s="1" t="s">
        <v>1624</v>
      </c>
      <c r="B65" s="1" t="s">
        <v>6</v>
      </c>
      <c r="C65" s="2">
        <v>45.9</v>
      </c>
      <c r="D65" s="2">
        <v>1182.8005000000003</v>
      </c>
      <c r="E65" s="3">
        <v>1</v>
      </c>
    </row>
    <row r="66" spans="1:5" x14ac:dyDescent="0.25">
      <c r="A66" s="1" t="s">
        <v>1635</v>
      </c>
      <c r="B66" s="1" t="s">
        <v>6</v>
      </c>
      <c r="C66" s="2">
        <v>24.564999999999998</v>
      </c>
      <c r="D66" s="2">
        <v>1207.3655000000003</v>
      </c>
      <c r="E66" s="3">
        <v>1</v>
      </c>
    </row>
    <row r="67" spans="1:5" x14ac:dyDescent="0.25">
      <c r="A67" s="1" t="s">
        <v>1688</v>
      </c>
      <c r="B67" s="1" t="s">
        <v>6</v>
      </c>
      <c r="C67" s="2">
        <v>13.939999999999998</v>
      </c>
      <c r="D67" s="2">
        <v>1221.3055000000004</v>
      </c>
      <c r="E67" s="3">
        <v>1</v>
      </c>
    </row>
    <row r="68" spans="1:5" x14ac:dyDescent="0.25">
      <c r="A68" s="1" t="s">
        <v>1692</v>
      </c>
      <c r="B68" s="1" t="s">
        <v>6</v>
      </c>
      <c r="C68" s="2">
        <v>20.399999999999999</v>
      </c>
      <c r="D68" s="2">
        <v>1241.7055000000005</v>
      </c>
      <c r="E68" s="3">
        <v>1</v>
      </c>
    </row>
    <row r="69" spans="1:5" x14ac:dyDescent="0.25">
      <c r="A69" s="1" t="s">
        <v>1937</v>
      </c>
      <c r="B69" s="1" t="s">
        <v>6</v>
      </c>
      <c r="C69" s="2">
        <v>10.285</v>
      </c>
      <c r="D69" s="2">
        <v>1251.9905000000006</v>
      </c>
      <c r="E69" s="3">
        <v>1</v>
      </c>
    </row>
    <row r="70" spans="1:5" x14ac:dyDescent="0.25">
      <c r="A70" s="1" t="s">
        <v>928</v>
      </c>
      <c r="B70" s="1" t="s">
        <v>6</v>
      </c>
      <c r="C70" s="2">
        <v>10.718499999999999</v>
      </c>
      <c r="D70" s="2">
        <v>1262.7090000000005</v>
      </c>
      <c r="E70" s="3">
        <v>1</v>
      </c>
    </row>
    <row r="71" spans="1:5" x14ac:dyDescent="0.25">
      <c r="A71" s="1" t="s">
        <v>56</v>
      </c>
      <c r="B71" s="1" t="s">
        <v>6</v>
      </c>
      <c r="C71" s="2">
        <v>10.625</v>
      </c>
      <c r="D71" s="2">
        <v>1273.3340000000005</v>
      </c>
      <c r="E71" s="3">
        <v>1</v>
      </c>
    </row>
    <row r="72" spans="1:5" x14ac:dyDescent="0.25">
      <c r="A72" s="1" t="s">
        <v>88</v>
      </c>
      <c r="B72" s="1" t="s">
        <v>6</v>
      </c>
      <c r="C72" s="2">
        <v>8.5</v>
      </c>
      <c r="D72" s="2">
        <v>1281.8340000000005</v>
      </c>
      <c r="E72" s="3">
        <v>1</v>
      </c>
    </row>
    <row r="73" spans="1:5" x14ac:dyDescent="0.25">
      <c r="A73" s="1" t="s">
        <v>1903</v>
      </c>
      <c r="B73" s="1" t="s">
        <v>6</v>
      </c>
      <c r="C73" s="2">
        <v>25.5</v>
      </c>
      <c r="D73" s="2">
        <v>1307.3340000000005</v>
      </c>
      <c r="E73" s="3">
        <v>1</v>
      </c>
    </row>
    <row r="74" spans="1:5" x14ac:dyDescent="0.25">
      <c r="A74" s="1" t="s">
        <v>700</v>
      </c>
      <c r="B74" s="1" t="s">
        <v>6</v>
      </c>
      <c r="C74" s="2">
        <v>14.45</v>
      </c>
      <c r="D74" s="2">
        <v>1321.7840000000006</v>
      </c>
      <c r="E74" s="3">
        <v>1</v>
      </c>
    </row>
    <row r="75" spans="1:5" x14ac:dyDescent="0.25">
      <c r="A75" s="1" t="s">
        <v>1885</v>
      </c>
      <c r="B75" s="1" t="s">
        <v>6</v>
      </c>
      <c r="C75" s="2">
        <v>10.115</v>
      </c>
      <c r="D75" s="2">
        <v>1331.8990000000006</v>
      </c>
      <c r="E75" s="3">
        <v>1</v>
      </c>
    </row>
    <row r="76" spans="1:5" x14ac:dyDescent="0.25">
      <c r="A76" s="1" t="s">
        <v>1889</v>
      </c>
      <c r="B76" s="1" t="s">
        <v>6</v>
      </c>
      <c r="C76" s="2">
        <v>5.8650000000000002</v>
      </c>
      <c r="D76" s="2">
        <v>1337.7640000000006</v>
      </c>
      <c r="E76" s="3">
        <v>1</v>
      </c>
    </row>
    <row r="77" spans="1:5" x14ac:dyDescent="0.25">
      <c r="A77" s="1" t="s">
        <v>1353</v>
      </c>
      <c r="B77" s="1" t="s">
        <v>6</v>
      </c>
      <c r="C77" s="2">
        <v>9.86</v>
      </c>
      <c r="D77" s="2">
        <v>1347.6240000000005</v>
      </c>
      <c r="E77" s="3">
        <v>1</v>
      </c>
    </row>
    <row r="78" spans="1:5" x14ac:dyDescent="0.25">
      <c r="A78" s="1" t="s">
        <v>1910</v>
      </c>
      <c r="B78" s="1" t="s">
        <v>6</v>
      </c>
      <c r="C78" s="2">
        <v>7.3949999999999996</v>
      </c>
      <c r="D78" s="2">
        <v>1355.0190000000005</v>
      </c>
      <c r="E78" s="3">
        <v>1</v>
      </c>
    </row>
    <row r="79" spans="1:5" x14ac:dyDescent="0.25">
      <c r="A79" s="1" t="s">
        <v>1915</v>
      </c>
      <c r="B79" s="1" t="s">
        <v>6</v>
      </c>
      <c r="C79" s="2">
        <v>10.199999999999999</v>
      </c>
      <c r="D79" s="2">
        <v>1365.2190000000005</v>
      </c>
      <c r="E79" s="3">
        <v>1</v>
      </c>
    </row>
    <row r="80" spans="1:5" x14ac:dyDescent="0.25">
      <c r="A80" s="1" t="s">
        <v>1863</v>
      </c>
      <c r="B80" s="1" t="s">
        <v>6</v>
      </c>
      <c r="C80" s="2">
        <v>23.8</v>
      </c>
      <c r="D80" s="2">
        <v>1389.0190000000005</v>
      </c>
      <c r="E80" s="3">
        <v>1</v>
      </c>
    </row>
    <row r="81" spans="1:5" x14ac:dyDescent="0.25">
      <c r="A81" s="1" t="s">
        <v>901</v>
      </c>
      <c r="B81" s="1" t="s">
        <v>6</v>
      </c>
      <c r="C81" s="2">
        <v>28.389999999999997</v>
      </c>
      <c r="D81" s="2">
        <v>1417.4090000000006</v>
      </c>
      <c r="E81" s="3">
        <v>1</v>
      </c>
    </row>
    <row r="82" spans="1:5" x14ac:dyDescent="0.25">
      <c r="A82" s="1" t="s">
        <v>1661</v>
      </c>
      <c r="B82" s="1" t="s">
        <v>6</v>
      </c>
      <c r="C82" s="2">
        <v>15.895</v>
      </c>
      <c r="D82" s="2">
        <v>1433.3040000000005</v>
      </c>
      <c r="E82" s="3">
        <v>1</v>
      </c>
    </row>
    <row r="83" spans="1:5" x14ac:dyDescent="0.25">
      <c r="A83" s="1" t="s">
        <v>1846</v>
      </c>
      <c r="B83" s="1" t="s">
        <v>6</v>
      </c>
      <c r="C83" s="2">
        <v>8.9249999999999989</v>
      </c>
      <c r="D83" s="2">
        <v>1442.2290000000005</v>
      </c>
      <c r="E83" s="3">
        <v>1</v>
      </c>
    </row>
    <row r="84" spans="1:5" x14ac:dyDescent="0.25">
      <c r="A84" s="1" t="s">
        <v>1434</v>
      </c>
      <c r="B84" s="1" t="s">
        <v>6</v>
      </c>
      <c r="C84" s="2">
        <v>8.0749999999999993</v>
      </c>
      <c r="D84" s="2">
        <v>1450.3040000000005</v>
      </c>
      <c r="E84" s="3">
        <v>1</v>
      </c>
    </row>
    <row r="85" spans="1:5" x14ac:dyDescent="0.25">
      <c r="A85" s="1" t="s">
        <v>1440</v>
      </c>
      <c r="B85" s="1" t="s">
        <v>6</v>
      </c>
      <c r="C85" s="2">
        <v>8.33</v>
      </c>
      <c r="D85" s="2">
        <v>1458.6340000000005</v>
      </c>
      <c r="E85" s="3">
        <v>1</v>
      </c>
    </row>
    <row r="86" spans="1:5" x14ac:dyDescent="0.25">
      <c r="A86" s="1" t="s">
        <v>1008</v>
      </c>
      <c r="B86" s="1" t="s">
        <v>6</v>
      </c>
      <c r="C86" s="2">
        <v>15.299999999999999</v>
      </c>
      <c r="D86" s="2">
        <v>1473.9340000000004</v>
      </c>
      <c r="E86" s="3">
        <v>1</v>
      </c>
    </row>
    <row r="87" spans="1:5" x14ac:dyDescent="0.25">
      <c r="B87" s="1" t="s">
        <v>6</v>
      </c>
      <c r="C87" s="2">
        <v>100.88352499999999</v>
      </c>
      <c r="D87" s="2">
        <v>1574.8175250000004</v>
      </c>
      <c r="E87" s="3">
        <v>1</v>
      </c>
    </row>
    <row r="88" spans="1:5" x14ac:dyDescent="0.25">
      <c r="A88" s="1" t="s">
        <v>351</v>
      </c>
      <c r="B88" s="1" t="s">
        <v>1</v>
      </c>
      <c r="C88" s="2">
        <v>1254.9000000000001</v>
      </c>
      <c r="D88" s="2">
        <v>2829.7175250000005</v>
      </c>
      <c r="E88" s="3">
        <v>17.866666666666664</v>
      </c>
    </row>
    <row r="89" spans="1:5" x14ac:dyDescent="0.25">
      <c r="A89" s="1" t="s">
        <v>566</v>
      </c>
      <c r="B89" s="1" t="s">
        <v>1</v>
      </c>
      <c r="C89" s="2">
        <v>1210.4000000000001</v>
      </c>
      <c r="D89" s="2">
        <v>4040.1175250000006</v>
      </c>
      <c r="E89" s="3">
        <v>17.866666666666664</v>
      </c>
    </row>
    <row r="90" spans="1:5" x14ac:dyDescent="0.25">
      <c r="A90" s="1" t="s">
        <v>617</v>
      </c>
      <c r="B90" s="1" t="s">
        <v>1</v>
      </c>
      <c r="C90" s="2">
        <v>1254.9000000000001</v>
      </c>
      <c r="D90" s="2">
        <v>5295.0175250000011</v>
      </c>
      <c r="E90" s="3">
        <v>17.866666666666664</v>
      </c>
    </row>
    <row r="91" spans="1:5" x14ac:dyDescent="0.25">
      <c r="A91" s="1" t="s">
        <v>755</v>
      </c>
      <c r="B91" s="1" t="s">
        <v>1</v>
      </c>
      <c r="C91" s="2">
        <v>1146.32</v>
      </c>
      <c r="D91" s="2">
        <v>6441.3375250000008</v>
      </c>
      <c r="E91" s="3">
        <v>17.866666666666664</v>
      </c>
    </row>
    <row r="92" spans="1:5" x14ac:dyDescent="0.25">
      <c r="A92" s="1" t="s">
        <v>1179</v>
      </c>
      <c r="B92" s="1" t="s">
        <v>1</v>
      </c>
      <c r="C92" s="2">
        <v>1189.04</v>
      </c>
      <c r="D92" s="2">
        <v>7630.3775250000008</v>
      </c>
      <c r="E92" s="3">
        <v>17.866666666666664</v>
      </c>
    </row>
    <row r="93" spans="1:5" x14ac:dyDescent="0.25">
      <c r="A93" s="1" t="s">
        <v>1338</v>
      </c>
      <c r="B93" s="1" t="s">
        <v>1</v>
      </c>
      <c r="C93" s="2">
        <v>1165.9000000000001</v>
      </c>
      <c r="D93" s="2">
        <v>8796.2775250000013</v>
      </c>
      <c r="E93" s="3">
        <v>17.866666666666664</v>
      </c>
    </row>
    <row r="94" spans="1:5" x14ac:dyDescent="0.25">
      <c r="A94" s="1" t="s">
        <v>1483</v>
      </c>
      <c r="B94" s="1" t="s">
        <v>1</v>
      </c>
      <c r="C94" s="2">
        <v>1247.78</v>
      </c>
      <c r="D94" s="2">
        <v>10044.057525000002</v>
      </c>
      <c r="E94" s="3">
        <v>17.866666666666664</v>
      </c>
    </row>
    <row r="95" spans="1:5" x14ac:dyDescent="0.25">
      <c r="A95" s="1" t="s">
        <v>1048</v>
      </c>
      <c r="B95" s="1" t="s">
        <v>2</v>
      </c>
      <c r="C95" s="2">
        <v>17.661000000000001</v>
      </c>
      <c r="D95" s="2">
        <v>10061.718525000002</v>
      </c>
      <c r="E95" s="3">
        <v>31.770110701107011</v>
      </c>
    </row>
    <row r="96" spans="1:5" x14ac:dyDescent="0.25">
      <c r="A96" s="1" t="s">
        <v>935</v>
      </c>
      <c r="B96" s="1" t="s">
        <v>2</v>
      </c>
      <c r="C96" s="2">
        <v>20.2014</v>
      </c>
      <c r="D96" s="2">
        <v>10081.919925000002</v>
      </c>
      <c r="E96" s="3">
        <v>31.93747680890538</v>
      </c>
    </row>
    <row r="97" spans="1:5" x14ac:dyDescent="0.25">
      <c r="A97" s="1" t="s">
        <v>725</v>
      </c>
      <c r="B97" s="1" t="s">
        <v>2</v>
      </c>
      <c r="C97" s="2">
        <v>922.2</v>
      </c>
      <c r="D97" s="2">
        <v>11004.119925000003</v>
      </c>
      <c r="E97" s="3">
        <v>32.106716417910455</v>
      </c>
    </row>
    <row r="98" spans="1:5" x14ac:dyDescent="0.25">
      <c r="A98" s="1" t="s">
        <v>730</v>
      </c>
      <c r="B98" s="1" t="s">
        <v>2</v>
      </c>
      <c r="C98" s="2">
        <v>922.2</v>
      </c>
      <c r="D98" s="2">
        <v>11926.319925000003</v>
      </c>
      <c r="E98" s="3">
        <v>32.106716417910455</v>
      </c>
    </row>
    <row r="99" spans="1:5" x14ac:dyDescent="0.25">
      <c r="A99" s="1" t="s">
        <v>273</v>
      </c>
      <c r="B99" s="1" t="s">
        <v>2</v>
      </c>
      <c r="C99" s="2">
        <v>556.79999999999995</v>
      </c>
      <c r="D99" s="2">
        <v>12483.119925000003</v>
      </c>
      <c r="E99" s="3">
        <v>32.106716417910455</v>
      </c>
    </row>
    <row r="100" spans="1:5" x14ac:dyDescent="0.25">
      <c r="A100" s="1" t="s">
        <v>386</v>
      </c>
      <c r="B100" s="1" t="s">
        <v>2</v>
      </c>
      <c r="C100" s="2">
        <v>78.995999999999995</v>
      </c>
      <c r="D100" s="2">
        <v>12562.115925000002</v>
      </c>
      <c r="E100" s="3">
        <v>32.450943396226421</v>
      </c>
    </row>
    <row r="101" spans="1:5" x14ac:dyDescent="0.25">
      <c r="A101" s="1" t="s">
        <v>1012</v>
      </c>
      <c r="B101" s="1" t="s">
        <v>2</v>
      </c>
      <c r="C101" s="2">
        <v>65.510999999999996</v>
      </c>
      <c r="D101" s="2">
        <v>12627.626925000002</v>
      </c>
      <c r="E101" s="3">
        <v>32.450943396226421</v>
      </c>
    </row>
    <row r="102" spans="1:5" x14ac:dyDescent="0.25">
      <c r="A102" s="1" t="s">
        <v>133</v>
      </c>
      <c r="B102" s="1" t="s">
        <v>2</v>
      </c>
      <c r="C102" s="2">
        <v>563.76</v>
      </c>
      <c r="D102" s="2">
        <v>13191.386925000003</v>
      </c>
      <c r="E102" s="3">
        <v>32.625996204933593</v>
      </c>
    </row>
    <row r="103" spans="1:5" x14ac:dyDescent="0.25">
      <c r="A103" s="1" t="s">
        <v>135</v>
      </c>
      <c r="B103" s="1" t="s">
        <v>2</v>
      </c>
      <c r="C103" s="2">
        <v>546.36</v>
      </c>
      <c r="D103" s="2">
        <v>13737.746925000003</v>
      </c>
      <c r="E103" s="3">
        <v>32.803053435114506</v>
      </c>
    </row>
    <row r="104" spans="1:5" x14ac:dyDescent="0.25">
      <c r="A104" s="1" t="s">
        <v>137</v>
      </c>
      <c r="B104" s="1" t="s">
        <v>2</v>
      </c>
      <c r="C104" s="2">
        <v>821.28</v>
      </c>
      <c r="D104" s="2">
        <v>14559.026925000004</v>
      </c>
      <c r="E104" s="3">
        <v>33.909486166007916</v>
      </c>
    </row>
    <row r="105" spans="1:5" x14ac:dyDescent="0.25">
      <c r="A105" s="1" t="s">
        <v>247</v>
      </c>
      <c r="B105" s="1" t="s">
        <v>2</v>
      </c>
      <c r="C105" s="2">
        <v>761.25</v>
      </c>
      <c r="D105" s="2">
        <v>15320.276925000004</v>
      </c>
      <c r="E105" s="3">
        <v>34.296000000000006</v>
      </c>
    </row>
    <row r="106" spans="1:5" x14ac:dyDescent="0.25">
      <c r="A106" s="1" t="s">
        <v>271</v>
      </c>
      <c r="B106" s="1" t="s">
        <v>2</v>
      </c>
      <c r="C106" s="2">
        <v>745.59</v>
      </c>
      <c r="D106" s="2">
        <v>16065.866925000004</v>
      </c>
      <c r="E106" s="3">
        <v>34.296000000000006</v>
      </c>
    </row>
    <row r="107" spans="1:5" x14ac:dyDescent="0.25">
      <c r="A107" s="1" t="s">
        <v>1933</v>
      </c>
      <c r="B107" s="1" t="s">
        <v>2</v>
      </c>
      <c r="C107" s="2">
        <v>15.225</v>
      </c>
      <c r="D107" s="2">
        <v>16081.091925000004</v>
      </c>
      <c r="E107" s="3">
        <v>34.296000000000006</v>
      </c>
    </row>
    <row r="108" spans="1:5" x14ac:dyDescent="0.25">
      <c r="A108" s="1" t="s">
        <v>252</v>
      </c>
      <c r="B108" s="1" t="s">
        <v>2</v>
      </c>
      <c r="C108" s="2">
        <v>761.25</v>
      </c>
      <c r="D108" s="2">
        <v>16842.341925000004</v>
      </c>
      <c r="E108" s="3">
        <v>34.492756539235415</v>
      </c>
    </row>
    <row r="109" spans="1:5" x14ac:dyDescent="0.25">
      <c r="A109" s="1" t="s">
        <v>391</v>
      </c>
      <c r="B109" s="1" t="s">
        <v>2</v>
      </c>
      <c r="C109" s="2">
        <v>64.38</v>
      </c>
      <c r="D109" s="2">
        <v>16906.721925000005</v>
      </c>
      <c r="E109" s="3">
        <v>34.492756539235415</v>
      </c>
    </row>
    <row r="110" spans="1:5" x14ac:dyDescent="0.25">
      <c r="A110" s="1" t="s">
        <v>1669</v>
      </c>
      <c r="B110" s="1" t="s">
        <v>2</v>
      </c>
      <c r="C110" s="2">
        <v>652.5</v>
      </c>
      <c r="D110" s="2">
        <v>17559.221925000005</v>
      </c>
      <c r="E110" s="3">
        <v>34.691902834008104</v>
      </c>
    </row>
    <row r="111" spans="1:5" x14ac:dyDescent="0.25">
      <c r="A111" s="1" t="s">
        <v>662</v>
      </c>
      <c r="B111" s="1" t="s">
        <v>2</v>
      </c>
      <c r="C111" s="2">
        <v>39.15</v>
      </c>
      <c r="D111" s="2">
        <v>17598.371925000007</v>
      </c>
      <c r="E111" s="3">
        <v>34.893482688391046</v>
      </c>
    </row>
    <row r="112" spans="1:5" x14ac:dyDescent="0.25">
      <c r="A112" s="1" t="s">
        <v>1666</v>
      </c>
      <c r="B112" s="1" t="s">
        <v>2</v>
      </c>
      <c r="C112" s="2">
        <v>652.5</v>
      </c>
      <c r="D112" s="2">
        <v>18250.871925000007</v>
      </c>
      <c r="E112" s="3">
        <v>34.893482688391046</v>
      </c>
    </row>
    <row r="113" spans="1:5" x14ac:dyDescent="0.25">
      <c r="A113" s="1" t="s">
        <v>409</v>
      </c>
      <c r="B113" s="1" t="s">
        <v>2</v>
      </c>
      <c r="C113" s="2">
        <v>42.63</v>
      </c>
      <c r="D113" s="2">
        <v>18293.501925000008</v>
      </c>
      <c r="E113" s="3">
        <v>35.097540983606564</v>
      </c>
    </row>
    <row r="114" spans="1:5" x14ac:dyDescent="0.25">
      <c r="A114" s="1" t="s">
        <v>1461</v>
      </c>
      <c r="B114" s="1" t="s">
        <v>2</v>
      </c>
      <c r="C114" s="2">
        <v>404.55</v>
      </c>
      <c r="D114" s="2">
        <v>18698.051925000007</v>
      </c>
      <c r="E114" s="3">
        <v>35.097540983606564</v>
      </c>
    </row>
    <row r="115" spans="1:5" x14ac:dyDescent="0.25">
      <c r="A115" s="1" t="s">
        <v>1465</v>
      </c>
      <c r="B115" s="1" t="s">
        <v>2</v>
      </c>
      <c r="C115" s="2">
        <v>404.55</v>
      </c>
      <c r="D115" s="2">
        <v>19102.601925000006</v>
      </c>
      <c r="E115" s="3">
        <v>35.097540983606564</v>
      </c>
    </row>
    <row r="116" spans="1:5" x14ac:dyDescent="0.25">
      <c r="A116" s="1" t="s">
        <v>1466</v>
      </c>
      <c r="B116" s="1" t="s">
        <v>2</v>
      </c>
      <c r="C116" s="2">
        <v>404.55</v>
      </c>
      <c r="D116" s="2">
        <v>19507.151925000006</v>
      </c>
      <c r="E116" s="3">
        <v>35.097540983606564</v>
      </c>
    </row>
    <row r="117" spans="1:5" x14ac:dyDescent="0.25">
      <c r="A117" s="1" t="s">
        <v>1467</v>
      </c>
      <c r="B117" s="1" t="s">
        <v>2</v>
      </c>
      <c r="C117" s="2">
        <v>404.55</v>
      </c>
      <c r="D117" s="2">
        <v>19911.701925000005</v>
      </c>
      <c r="E117" s="3">
        <v>35.097540983606564</v>
      </c>
    </row>
    <row r="118" spans="1:5" x14ac:dyDescent="0.25">
      <c r="A118" s="1" t="s">
        <v>1468</v>
      </c>
      <c r="B118" s="1" t="s">
        <v>2</v>
      </c>
      <c r="C118" s="2">
        <v>404.55</v>
      </c>
      <c r="D118" s="2">
        <v>20316.251925000004</v>
      </c>
      <c r="E118" s="3">
        <v>35.097540983606564</v>
      </c>
    </row>
    <row r="119" spans="1:5" x14ac:dyDescent="0.25">
      <c r="A119" s="1" t="s">
        <v>1611</v>
      </c>
      <c r="B119" s="1" t="s">
        <v>2</v>
      </c>
      <c r="C119" s="2">
        <v>391.5</v>
      </c>
      <c r="D119" s="2">
        <v>20707.751925000004</v>
      </c>
      <c r="E119" s="3">
        <v>35.097540983606564</v>
      </c>
    </row>
    <row r="120" spans="1:5" x14ac:dyDescent="0.25">
      <c r="A120" s="1" t="s">
        <v>1613</v>
      </c>
      <c r="B120" s="1" t="s">
        <v>2</v>
      </c>
      <c r="C120" s="2">
        <v>391.5</v>
      </c>
      <c r="D120" s="2">
        <v>21099.251925000004</v>
      </c>
      <c r="E120" s="3">
        <v>35.097540983606564</v>
      </c>
    </row>
    <row r="121" spans="1:5" x14ac:dyDescent="0.25">
      <c r="A121" s="1" t="s">
        <v>146</v>
      </c>
      <c r="B121" s="1" t="s">
        <v>2</v>
      </c>
      <c r="C121" s="2">
        <v>8.6999999999999993</v>
      </c>
      <c r="D121" s="2">
        <v>21107.951925000005</v>
      </c>
      <c r="E121" s="3">
        <v>35.30412371134021</v>
      </c>
    </row>
    <row r="122" spans="1:5" x14ac:dyDescent="0.25">
      <c r="A122" s="1" t="s">
        <v>151</v>
      </c>
      <c r="B122" s="1" t="s">
        <v>2</v>
      </c>
      <c r="C122" s="2">
        <v>8.6999999999999993</v>
      </c>
      <c r="D122" s="2">
        <v>21116.651925000006</v>
      </c>
      <c r="E122" s="3">
        <v>35.30412371134021</v>
      </c>
    </row>
    <row r="123" spans="1:5" x14ac:dyDescent="0.25">
      <c r="A123" s="1" t="s">
        <v>269</v>
      </c>
      <c r="B123" s="1" t="s">
        <v>2</v>
      </c>
      <c r="C123" s="2">
        <v>404.55</v>
      </c>
      <c r="D123" s="2">
        <v>21521.201925000005</v>
      </c>
      <c r="E123" s="3">
        <v>35.513278008298762</v>
      </c>
    </row>
    <row r="124" spans="1:5" x14ac:dyDescent="0.25">
      <c r="A124" s="1" t="s">
        <v>1796</v>
      </c>
      <c r="B124" s="1" t="s">
        <v>2</v>
      </c>
      <c r="C124" s="2">
        <v>26.97</v>
      </c>
      <c r="D124" s="2">
        <v>21548.171925000006</v>
      </c>
      <c r="E124" s="3">
        <v>35.513278008298762</v>
      </c>
    </row>
    <row r="125" spans="1:5" x14ac:dyDescent="0.25">
      <c r="A125" s="1" t="s">
        <v>265</v>
      </c>
      <c r="B125" s="1" t="s">
        <v>2</v>
      </c>
      <c r="C125" s="2">
        <v>404.55</v>
      </c>
      <c r="D125" s="2">
        <v>21952.721925000005</v>
      </c>
      <c r="E125" s="3">
        <v>35.725052192066812</v>
      </c>
    </row>
    <row r="126" spans="1:5" x14ac:dyDescent="0.25">
      <c r="A126" s="1" t="s">
        <v>1927</v>
      </c>
      <c r="B126" s="1" t="s">
        <v>2</v>
      </c>
      <c r="C126" s="2">
        <v>20.271000000000001</v>
      </c>
      <c r="D126" s="2">
        <v>21972.992925000006</v>
      </c>
      <c r="E126" s="3">
        <v>35.725052192066812</v>
      </c>
    </row>
    <row r="127" spans="1:5" x14ac:dyDescent="0.25">
      <c r="A127" s="1" t="s">
        <v>621</v>
      </c>
      <c r="B127" s="1" t="s">
        <v>2</v>
      </c>
      <c r="C127" s="2">
        <v>12.615</v>
      </c>
      <c r="D127" s="2">
        <v>21985.607925000008</v>
      </c>
      <c r="E127" s="3">
        <v>36.156659619450323</v>
      </c>
    </row>
    <row r="128" spans="1:5" x14ac:dyDescent="0.25">
      <c r="B128" s="1" t="s">
        <v>2</v>
      </c>
      <c r="C128" s="2">
        <v>19.764659999999999</v>
      </c>
      <c r="D128" s="2">
        <v>22005.372585000008</v>
      </c>
      <c r="E128" s="3">
        <v>36.376595744680856</v>
      </c>
    </row>
    <row r="129" spans="1:5" x14ac:dyDescent="0.25">
      <c r="A129" s="1" t="s">
        <v>980</v>
      </c>
      <c r="B129" s="1" t="s">
        <v>2</v>
      </c>
      <c r="C129" s="2">
        <v>29.145</v>
      </c>
      <c r="D129" s="2">
        <v>22034.517585000009</v>
      </c>
      <c r="E129" s="3">
        <v>36.599357601713074</v>
      </c>
    </row>
    <row r="130" spans="1:5" x14ac:dyDescent="0.25">
      <c r="A130" s="1" t="s">
        <v>379</v>
      </c>
      <c r="B130" s="1" t="s">
        <v>2</v>
      </c>
      <c r="C130" s="2">
        <v>49.415999999999997</v>
      </c>
      <c r="D130" s="2">
        <v>22083.93358500001</v>
      </c>
      <c r="E130" s="3">
        <v>36.82500000000001</v>
      </c>
    </row>
    <row r="131" spans="1:5" x14ac:dyDescent="0.25">
      <c r="A131" s="1" t="s">
        <v>668</v>
      </c>
      <c r="B131" s="1" t="s">
        <v>2</v>
      </c>
      <c r="C131" s="2">
        <v>153.12</v>
      </c>
      <c r="D131" s="2">
        <v>22237.053585000009</v>
      </c>
      <c r="E131" s="3">
        <v>36.82500000000001</v>
      </c>
    </row>
    <row r="132" spans="1:5" x14ac:dyDescent="0.25">
      <c r="A132" s="1" t="s">
        <v>482</v>
      </c>
      <c r="B132" s="1" t="s">
        <v>2</v>
      </c>
      <c r="C132" s="2">
        <v>8.0910000000000011</v>
      </c>
      <c r="D132" s="2">
        <v>22245.144585000009</v>
      </c>
      <c r="E132" s="3">
        <v>37.998440979955461</v>
      </c>
    </row>
    <row r="133" spans="1:5" x14ac:dyDescent="0.25">
      <c r="A133" s="1" t="s">
        <v>1652</v>
      </c>
      <c r="B133" s="1" t="s">
        <v>2</v>
      </c>
      <c r="C133" s="2">
        <v>39.15</v>
      </c>
      <c r="D133" s="2">
        <v>22284.294585000011</v>
      </c>
      <c r="E133" s="3">
        <v>38.995194508009156</v>
      </c>
    </row>
    <row r="134" spans="1:5" x14ac:dyDescent="0.25">
      <c r="A134" s="1" t="s">
        <v>739</v>
      </c>
      <c r="B134" s="1" t="s">
        <v>2</v>
      </c>
      <c r="C134" s="2">
        <v>525.48</v>
      </c>
      <c r="D134" s="2">
        <v>22809.77458500001</v>
      </c>
      <c r="E134" s="3">
        <v>39.779439252336459</v>
      </c>
    </row>
    <row r="135" spans="1:5" x14ac:dyDescent="0.25">
      <c r="A135" s="1" t="s">
        <v>738</v>
      </c>
      <c r="B135" s="1" t="s">
        <v>2</v>
      </c>
      <c r="C135" s="2">
        <v>528.09</v>
      </c>
      <c r="D135" s="2">
        <v>23337.86458500001</v>
      </c>
      <c r="E135" s="3">
        <v>40.048235294117646</v>
      </c>
    </row>
    <row r="136" spans="1:5" x14ac:dyDescent="0.25">
      <c r="A136" s="1" t="s">
        <v>609</v>
      </c>
      <c r="B136" s="1" t="s">
        <v>2</v>
      </c>
      <c r="C136" s="2">
        <v>570.72</v>
      </c>
      <c r="D136" s="2">
        <v>23908.584585000011</v>
      </c>
      <c r="E136" s="3">
        <v>40.048235294117646</v>
      </c>
    </row>
    <row r="137" spans="1:5" x14ac:dyDescent="0.25">
      <c r="A137" s="1" t="s">
        <v>607</v>
      </c>
      <c r="B137" s="1" t="s">
        <v>2</v>
      </c>
      <c r="C137" s="2">
        <v>576.80999999999995</v>
      </c>
      <c r="D137" s="2">
        <v>24485.394585000013</v>
      </c>
      <c r="E137" s="3">
        <v>40.320853080568725</v>
      </c>
    </row>
    <row r="138" spans="1:5" x14ac:dyDescent="0.25">
      <c r="A138" s="1" t="s">
        <v>733</v>
      </c>
      <c r="B138" s="1" t="s">
        <v>2</v>
      </c>
      <c r="C138" s="2">
        <v>254.04</v>
      </c>
      <c r="D138" s="2">
        <v>24739.434585000014</v>
      </c>
      <c r="E138" s="3">
        <v>40.597374701670645</v>
      </c>
    </row>
    <row r="139" spans="1:5" x14ac:dyDescent="0.25">
      <c r="A139" s="1" t="s">
        <v>736</v>
      </c>
      <c r="B139" s="1" t="s">
        <v>2</v>
      </c>
      <c r="C139" s="2">
        <v>255.78</v>
      </c>
      <c r="D139" s="2">
        <v>24995.214585000012</v>
      </c>
      <c r="E139" s="3">
        <v>40.87788461538463</v>
      </c>
    </row>
    <row r="140" spans="1:5" x14ac:dyDescent="0.25">
      <c r="A140" s="1" t="s">
        <v>737</v>
      </c>
      <c r="B140" s="1" t="s">
        <v>2</v>
      </c>
      <c r="C140" s="2">
        <v>255.78</v>
      </c>
      <c r="D140" s="2">
        <v>25250.994585000011</v>
      </c>
      <c r="E140" s="3">
        <v>40.87788461538463</v>
      </c>
    </row>
    <row r="141" spans="1:5" x14ac:dyDescent="0.25">
      <c r="A141" s="1" t="s">
        <v>127</v>
      </c>
      <c r="B141" s="1" t="s">
        <v>2</v>
      </c>
      <c r="C141" s="2">
        <v>258.39</v>
      </c>
      <c r="D141" s="2">
        <v>25509.384585000011</v>
      </c>
      <c r="E141" s="3">
        <v>42.041584158415851</v>
      </c>
    </row>
    <row r="142" spans="1:5" x14ac:dyDescent="0.25">
      <c r="A142" s="1" t="s">
        <v>606</v>
      </c>
      <c r="B142" s="1" t="s">
        <v>2</v>
      </c>
      <c r="C142" s="2">
        <v>279.27</v>
      </c>
      <c r="D142" s="2">
        <v>25788.654585000011</v>
      </c>
      <c r="E142" s="3">
        <v>42.34339152119702</v>
      </c>
    </row>
    <row r="143" spans="1:5" x14ac:dyDescent="0.25">
      <c r="A143" s="1" t="s">
        <v>634</v>
      </c>
      <c r="B143" s="1" t="s">
        <v>3</v>
      </c>
      <c r="C143" s="2">
        <v>24.18</v>
      </c>
      <c r="D143" s="2">
        <v>25812.834585000011</v>
      </c>
      <c r="E143" s="3">
        <v>42.609920634920634</v>
      </c>
    </row>
    <row r="144" spans="1:5" x14ac:dyDescent="0.25">
      <c r="A144" s="1" t="s">
        <v>141</v>
      </c>
      <c r="B144" s="1" t="s">
        <v>2</v>
      </c>
      <c r="C144" s="2">
        <v>256.64999999999998</v>
      </c>
      <c r="D144" s="2">
        <v>26069.484585000013</v>
      </c>
      <c r="E144" s="3">
        <v>42.960759493670892</v>
      </c>
    </row>
    <row r="145" spans="1:5" x14ac:dyDescent="0.25">
      <c r="A145" s="1" t="s">
        <v>602</v>
      </c>
      <c r="B145" s="1" t="s">
        <v>2</v>
      </c>
      <c r="C145" s="2">
        <v>279.27</v>
      </c>
      <c r="D145" s="2">
        <v>26348.754585000013</v>
      </c>
      <c r="E145" s="3">
        <v>42.960759493670892</v>
      </c>
    </row>
    <row r="146" spans="1:5" x14ac:dyDescent="0.25">
      <c r="A146" s="1" t="s">
        <v>1949</v>
      </c>
      <c r="B146" s="1" t="s">
        <v>2</v>
      </c>
      <c r="C146" s="2">
        <v>16.965</v>
      </c>
      <c r="D146" s="2">
        <v>26365.719585000013</v>
      </c>
      <c r="E146" s="3">
        <v>43.276530612244912</v>
      </c>
    </row>
    <row r="147" spans="1:5" x14ac:dyDescent="0.25">
      <c r="A147" s="1" t="s">
        <v>447</v>
      </c>
      <c r="B147" s="1" t="s">
        <v>2</v>
      </c>
      <c r="C147" s="2">
        <v>23.925000000000001</v>
      </c>
      <c r="D147" s="2">
        <v>26389.644585000013</v>
      </c>
      <c r="E147" s="3">
        <v>43.276530612244912</v>
      </c>
    </row>
    <row r="148" spans="1:5" x14ac:dyDescent="0.25">
      <c r="A148" s="1" t="s">
        <v>637</v>
      </c>
      <c r="B148" s="1" t="s">
        <v>3</v>
      </c>
      <c r="C148" s="2">
        <v>25.740000000000002</v>
      </c>
      <c r="D148" s="2">
        <v>26415.384585000014</v>
      </c>
      <c r="E148" s="3">
        <v>43.746890927624875</v>
      </c>
    </row>
    <row r="149" spans="1:5" x14ac:dyDescent="0.25">
      <c r="A149" s="1" t="s">
        <v>922</v>
      </c>
      <c r="B149" s="1" t="s">
        <v>3</v>
      </c>
      <c r="C149" s="2">
        <v>51.480000000000004</v>
      </c>
      <c r="D149" s="2">
        <v>26466.864585000014</v>
      </c>
      <c r="E149" s="3">
        <v>43.746890927624875</v>
      </c>
    </row>
    <row r="150" spans="1:5" x14ac:dyDescent="0.25">
      <c r="A150" s="1" t="s">
        <v>639</v>
      </c>
      <c r="B150" s="1" t="s">
        <v>3</v>
      </c>
      <c r="C150" s="2">
        <v>25.740000000000002</v>
      </c>
      <c r="D150" s="2">
        <v>26492.604585000016</v>
      </c>
      <c r="E150" s="3">
        <v>45.363915343915345</v>
      </c>
    </row>
    <row r="151" spans="1:5" x14ac:dyDescent="0.25">
      <c r="A151" s="1" t="s">
        <v>291</v>
      </c>
      <c r="B151" s="1" t="s">
        <v>3</v>
      </c>
      <c r="C151" s="2">
        <v>33.774000000000001</v>
      </c>
      <c r="D151" s="2">
        <v>26526.378585000017</v>
      </c>
      <c r="E151" s="3">
        <v>45.78760683760683</v>
      </c>
    </row>
    <row r="152" spans="1:5" x14ac:dyDescent="0.25">
      <c r="A152" s="1" t="s">
        <v>1277</v>
      </c>
      <c r="B152" s="1" t="s">
        <v>3</v>
      </c>
      <c r="C152" s="2">
        <v>53.352000000000004</v>
      </c>
      <c r="D152" s="2">
        <v>26579.730585000016</v>
      </c>
      <c r="E152" s="3">
        <v>46.219525350593301</v>
      </c>
    </row>
    <row r="153" spans="1:5" x14ac:dyDescent="0.25">
      <c r="A153" s="1" t="s">
        <v>1258</v>
      </c>
      <c r="B153" s="1" t="s">
        <v>3</v>
      </c>
      <c r="C153" s="2">
        <v>657.54000000000008</v>
      </c>
      <c r="D153" s="2">
        <v>27237.270585000017</v>
      </c>
      <c r="E153" s="3">
        <v>46.316648648648645</v>
      </c>
    </row>
    <row r="154" spans="1:5" x14ac:dyDescent="0.25">
      <c r="A154" s="1" t="s">
        <v>798</v>
      </c>
      <c r="B154" s="1" t="s">
        <v>3</v>
      </c>
      <c r="C154" s="2">
        <v>624</v>
      </c>
      <c r="D154" s="2">
        <v>27861.270585000017</v>
      </c>
      <c r="E154" s="3">
        <v>46.316648648648645</v>
      </c>
    </row>
    <row r="155" spans="1:5" x14ac:dyDescent="0.25">
      <c r="A155" s="1" t="s">
        <v>792</v>
      </c>
      <c r="B155" s="1" t="s">
        <v>3</v>
      </c>
      <c r="C155" s="2">
        <v>624</v>
      </c>
      <c r="D155" s="2">
        <v>28485.270585000017</v>
      </c>
      <c r="E155" s="3">
        <v>46.316648648648645</v>
      </c>
    </row>
    <row r="156" spans="1:5" x14ac:dyDescent="0.25">
      <c r="A156" s="1" t="s">
        <v>1858</v>
      </c>
      <c r="B156" s="1" t="s">
        <v>3</v>
      </c>
      <c r="C156" s="2">
        <v>570.18000000000006</v>
      </c>
      <c r="D156" s="2">
        <v>29055.450585000017</v>
      </c>
      <c r="E156" s="3">
        <v>46.316648648648645</v>
      </c>
    </row>
    <row r="157" spans="1:5" x14ac:dyDescent="0.25">
      <c r="A157" s="1" t="s">
        <v>322</v>
      </c>
      <c r="B157" s="1" t="s">
        <v>3</v>
      </c>
      <c r="C157" s="2">
        <v>92.820000000000007</v>
      </c>
      <c r="D157" s="2">
        <v>29148.270585000017</v>
      </c>
      <c r="E157" s="3">
        <v>46.561304347826081</v>
      </c>
    </row>
    <row r="158" spans="1:5" x14ac:dyDescent="0.25">
      <c r="A158" s="1" t="s">
        <v>817</v>
      </c>
      <c r="B158" s="1" t="s">
        <v>3</v>
      </c>
      <c r="C158" s="2">
        <v>595.68600000000004</v>
      </c>
      <c r="D158" s="2">
        <v>29743.956585000018</v>
      </c>
      <c r="E158" s="3">
        <v>46.561304347826081</v>
      </c>
    </row>
    <row r="159" spans="1:5" x14ac:dyDescent="0.25">
      <c r="A159" s="1" t="s">
        <v>973</v>
      </c>
      <c r="B159" s="1" t="s">
        <v>3</v>
      </c>
      <c r="C159" s="2">
        <v>650.52</v>
      </c>
      <c r="D159" s="2">
        <v>30394.476585000019</v>
      </c>
      <c r="E159" s="3">
        <v>46.561304347826081</v>
      </c>
    </row>
    <row r="160" spans="1:5" x14ac:dyDescent="0.25">
      <c r="A160" s="1" t="s">
        <v>462</v>
      </c>
      <c r="B160" s="1" t="s">
        <v>3</v>
      </c>
      <c r="C160" s="2">
        <v>565.5</v>
      </c>
      <c r="D160" s="2">
        <v>30959.976585000019</v>
      </c>
      <c r="E160" s="3">
        <v>46.808633879781411</v>
      </c>
    </row>
    <row r="161" spans="1:5" x14ac:dyDescent="0.25">
      <c r="A161" s="1" t="s">
        <v>881</v>
      </c>
      <c r="B161" s="1" t="s">
        <v>3</v>
      </c>
      <c r="C161" s="2">
        <v>350.22</v>
      </c>
      <c r="D161" s="2">
        <v>31310.19658500002</v>
      </c>
      <c r="E161" s="3">
        <v>46.808633879781411</v>
      </c>
    </row>
    <row r="162" spans="1:5" x14ac:dyDescent="0.25">
      <c r="A162" s="1" t="s">
        <v>1217</v>
      </c>
      <c r="B162" s="1" t="s">
        <v>3</v>
      </c>
      <c r="C162" s="2">
        <v>573.30000000000007</v>
      </c>
      <c r="D162" s="2">
        <v>31883.496585000019</v>
      </c>
      <c r="E162" s="3">
        <v>46.808633879781411</v>
      </c>
    </row>
    <row r="163" spans="1:5" x14ac:dyDescent="0.25">
      <c r="A163" s="1" t="s">
        <v>1947</v>
      </c>
      <c r="B163" s="1" t="s">
        <v>3</v>
      </c>
      <c r="C163" s="2">
        <v>368.16</v>
      </c>
      <c r="D163" s="2">
        <v>32251.656585000019</v>
      </c>
      <c r="E163" s="3">
        <v>47.311491712707181</v>
      </c>
    </row>
    <row r="164" spans="1:5" x14ac:dyDescent="0.25">
      <c r="A164" s="1" t="s">
        <v>515</v>
      </c>
      <c r="B164" s="1" t="s">
        <v>226</v>
      </c>
      <c r="C164" s="2">
        <v>529.54999999999995</v>
      </c>
      <c r="D164" s="2">
        <v>32781.206585000022</v>
      </c>
      <c r="E164" s="3">
        <v>47.602287581699343</v>
      </c>
    </row>
    <row r="165" spans="1:5" x14ac:dyDescent="0.25">
      <c r="A165" s="1" t="s">
        <v>629</v>
      </c>
      <c r="B165" s="1" t="s">
        <v>226</v>
      </c>
      <c r="C165" s="2">
        <v>69.42</v>
      </c>
      <c r="D165" s="2">
        <v>32850.62658500002</v>
      </c>
      <c r="E165" s="3">
        <v>47.602287581699343</v>
      </c>
    </row>
    <row r="166" spans="1:5" x14ac:dyDescent="0.25">
      <c r="A166" s="1" t="s">
        <v>309</v>
      </c>
      <c r="B166" s="1" t="s">
        <v>226</v>
      </c>
      <c r="C166" s="2">
        <v>395.60500000000002</v>
      </c>
      <c r="D166" s="2">
        <v>33246.231585000023</v>
      </c>
      <c r="E166" s="3">
        <v>47.602287581699343</v>
      </c>
    </row>
    <row r="167" spans="1:5" x14ac:dyDescent="0.25">
      <c r="A167" s="1" t="s">
        <v>856</v>
      </c>
      <c r="B167" s="1" t="s">
        <v>3</v>
      </c>
      <c r="C167" s="2">
        <v>606.84</v>
      </c>
      <c r="D167" s="2">
        <v>33853.07158500002</v>
      </c>
      <c r="E167" s="3">
        <v>47.825586592178766</v>
      </c>
    </row>
    <row r="168" spans="1:5" x14ac:dyDescent="0.25">
      <c r="A168" s="1" t="s">
        <v>915</v>
      </c>
      <c r="B168" s="1" t="s">
        <v>3</v>
      </c>
      <c r="C168" s="2">
        <v>619.32000000000005</v>
      </c>
      <c r="D168" s="2">
        <v>34472.391585000019</v>
      </c>
      <c r="E168" s="3">
        <v>47.825586592178766</v>
      </c>
    </row>
    <row r="169" spans="1:5" x14ac:dyDescent="0.25">
      <c r="A169" s="1" t="s">
        <v>1742</v>
      </c>
      <c r="B169" s="1" t="s">
        <v>3</v>
      </c>
      <c r="C169" s="2">
        <v>17.628</v>
      </c>
      <c r="D169" s="2">
        <v>34490.019585000016</v>
      </c>
      <c r="E169" s="3">
        <v>47.825586592178766</v>
      </c>
    </row>
    <row r="170" spans="1:5" x14ac:dyDescent="0.25">
      <c r="A170" s="1" t="s">
        <v>1675</v>
      </c>
      <c r="B170" s="1" t="s">
        <v>226</v>
      </c>
      <c r="C170" s="2">
        <v>139.72999999999999</v>
      </c>
      <c r="D170" s="2">
        <v>34629.74958500002</v>
      </c>
      <c r="E170" s="3">
        <v>47.943786008230454</v>
      </c>
    </row>
    <row r="171" spans="1:5" x14ac:dyDescent="0.25">
      <c r="A171" s="1" t="s">
        <v>1696</v>
      </c>
      <c r="B171" s="1" t="s">
        <v>226</v>
      </c>
      <c r="C171" s="2">
        <v>89</v>
      </c>
      <c r="D171" s="2">
        <v>34718.74958500002</v>
      </c>
      <c r="E171" s="3">
        <v>47.943786008230454</v>
      </c>
    </row>
    <row r="172" spans="1:5" x14ac:dyDescent="0.25">
      <c r="A172" s="1" t="s">
        <v>577</v>
      </c>
      <c r="B172" s="1" t="s">
        <v>226</v>
      </c>
      <c r="C172" s="2">
        <v>29.014000000000003</v>
      </c>
      <c r="D172" s="2">
        <v>34747.763585000022</v>
      </c>
      <c r="E172" s="3">
        <v>48.290381426202323</v>
      </c>
    </row>
    <row r="173" spans="1:5" x14ac:dyDescent="0.25">
      <c r="A173" s="1" t="s">
        <v>591</v>
      </c>
      <c r="B173" s="1" t="s">
        <v>226</v>
      </c>
      <c r="C173" s="2">
        <v>5.9630000000000001</v>
      </c>
      <c r="D173" s="2">
        <v>34753.726585000026</v>
      </c>
      <c r="E173" s="3">
        <v>48.290381426202323</v>
      </c>
    </row>
    <row r="174" spans="1:5" x14ac:dyDescent="0.25">
      <c r="A174" s="1" t="s">
        <v>328</v>
      </c>
      <c r="B174" s="1" t="s">
        <v>3</v>
      </c>
      <c r="C174" s="2">
        <v>273</v>
      </c>
      <c r="D174" s="2">
        <v>35026.726585000026</v>
      </c>
      <c r="E174" s="3">
        <v>48.351299435028245</v>
      </c>
    </row>
    <row r="175" spans="1:5" x14ac:dyDescent="0.25">
      <c r="A175" s="1" t="s">
        <v>53</v>
      </c>
      <c r="B175" s="1" t="s">
        <v>3</v>
      </c>
      <c r="C175" s="2">
        <v>262.08</v>
      </c>
      <c r="D175" s="2">
        <v>35288.806585000028</v>
      </c>
      <c r="E175" s="3">
        <v>48.618636363636362</v>
      </c>
    </row>
    <row r="176" spans="1:5" x14ac:dyDescent="0.25">
      <c r="A176" s="1" t="s">
        <v>769</v>
      </c>
      <c r="B176" s="1" t="s">
        <v>226</v>
      </c>
      <c r="C176" s="2">
        <v>49.964600000000004</v>
      </c>
      <c r="D176" s="2">
        <v>35338.771185000027</v>
      </c>
      <c r="E176" s="3">
        <v>48.642188805346699</v>
      </c>
    </row>
    <row r="177" spans="1:5" x14ac:dyDescent="0.25">
      <c r="A177" s="1" t="s">
        <v>823</v>
      </c>
      <c r="B177" s="1" t="s">
        <v>226</v>
      </c>
      <c r="C177" s="2">
        <v>204.70000000000002</v>
      </c>
      <c r="D177" s="2">
        <v>35543.471185000024</v>
      </c>
      <c r="E177" s="3">
        <v>48.642188805346699</v>
      </c>
    </row>
    <row r="178" spans="1:5" x14ac:dyDescent="0.25">
      <c r="A178" s="1" t="s">
        <v>912</v>
      </c>
      <c r="B178" s="1" t="s">
        <v>226</v>
      </c>
      <c r="C178" s="2">
        <v>382.7</v>
      </c>
      <c r="D178" s="2">
        <v>35926.171185000021</v>
      </c>
      <c r="E178" s="3">
        <v>48.642188805346699</v>
      </c>
    </row>
    <row r="179" spans="1:5" x14ac:dyDescent="0.25">
      <c r="A179" s="1" t="s">
        <v>83</v>
      </c>
      <c r="B179" s="1" t="s">
        <v>226</v>
      </c>
      <c r="C179" s="2">
        <v>41.83</v>
      </c>
      <c r="D179" s="2">
        <v>35968.001185000023</v>
      </c>
      <c r="E179" s="3">
        <v>48.642188805346699</v>
      </c>
    </row>
    <row r="180" spans="1:5" x14ac:dyDescent="0.25">
      <c r="A180" s="1" t="s">
        <v>1287</v>
      </c>
      <c r="B180" s="1" t="s">
        <v>226</v>
      </c>
      <c r="C180" s="2">
        <v>24.385999999999999</v>
      </c>
      <c r="D180" s="2">
        <v>35992.387185000021</v>
      </c>
      <c r="E180" s="3">
        <v>48.642188805346699</v>
      </c>
    </row>
    <row r="181" spans="1:5" x14ac:dyDescent="0.25">
      <c r="A181" s="1" t="s">
        <v>971</v>
      </c>
      <c r="B181" s="1" t="s">
        <v>3</v>
      </c>
      <c r="C181" s="2">
        <v>403.26</v>
      </c>
      <c r="D181" s="2">
        <v>36395.647185000023</v>
      </c>
      <c r="E181" s="3">
        <v>48.889028571428568</v>
      </c>
    </row>
    <row r="182" spans="1:5" x14ac:dyDescent="0.25">
      <c r="A182" s="1" t="s">
        <v>1251</v>
      </c>
      <c r="B182" s="1" t="s">
        <v>3</v>
      </c>
      <c r="C182" s="2">
        <v>198.9</v>
      </c>
      <c r="D182" s="2">
        <v>36594.547185000025</v>
      </c>
      <c r="E182" s="3">
        <v>48.889028571428568</v>
      </c>
    </row>
    <row r="183" spans="1:5" x14ac:dyDescent="0.25">
      <c r="A183" s="1" t="s">
        <v>1592</v>
      </c>
      <c r="B183" s="1" t="s">
        <v>3</v>
      </c>
      <c r="C183" s="2">
        <v>39</v>
      </c>
      <c r="D183" s="2">
        <v>36633.547185000025</v>
      </c>
      <c r="E183" s="3">
        <v>48.889028571428568</v>
      </c>
    </row>
    <row r="184" spans="1:5" x14ac:dyDescent="0.25">
      <c r="A184" s="1" t="s">
        <v>123</v>
      </c>
      <c r="B184" s="1" t="s">
        <v>226</v>
      </c>
      <c r="C184" s="2">
        <v>69.42</v>
      </c>
      <c r="D184" s="2">
        <v>36702.967185000023</v>
      </c>
      <c r="E184" s="3">
        <v>49.361916878710765</v>
      </c>
    </row>
    <row r="185" spans="1:5" x14ac:dyDescent="0.25">
      <c r="A185" s="1" t="s">
        <v>897</v>
      </c>
      <c r="B185" s="1" t="s">
        <v>3</v>
      </c>
      <c r="C185" s="2">
        <v>538.20000000000005</v>
      </c>
      <c r="D185" s="2">
        <v>37241.16718500002</v>
      </c>
      <c r="E185" s="3">
        <v>49.439190751445082</v>
      </c>
    </row>
    <row r="186" spans="1:5" x14ac:dyDescent="0.25">
      <c r="A186" s="1" t="s">
        <v>287</v>
      </c>
      <c r="B186" s="1" t="s">
        <v>226</v>
      </c>
      <c r="C186" s="2">
        <v>65.86</v>
      </c>
      <c r="D186" s="2">
        <v>37307.027185000021</v>
      </c>
      <c r="E186" s="3">
        <v>49.73008547008547</v>
      </c>
    </row>
    <row r="187" spans="1:5" x14ac:dyDescent="0.25">
      <c r="A187" s="1" t="s">
        <v>1112</v>
      </c>
      <c r="B187" s="1" t="s">
        <v>226</v>
      </c>
      <c r="C187" s="2">
        <v>148.63</v>
      </c>
      <c r="D187" s="2">
        <v>37455.657185000018</v>
      </c>
      <c r="E187" s="3">
        <v>49.73008547008547</v>
      </c>
    </row>
    <row r="188" spans="1:5" x14ac:dyDescent="0.25">
      <c r="A188" s="1" t="s">
        <v>1152</v>
      </c>
      <c r="B188" s="1" t="s">
        <v>226</v>
      </c>
      <c r="C188" s="2">
        <v>17.8</v>
      </c>
      <c r="D188" s="2">
        <v>37473.457185000021</v>
      </c>
      <c r="E188" s="3">
        <v>49.73008547008547</v>
      </c>
    </row>
    <row r="189" spans="1:5" x14ac:dyDescent="0.25">
      <c r="A189" s="1" t="s">
        <v>1174</v>
      </c>
      <c r="B189" s="1" t="s">
        <v>226</v>
      </c>
      <c r="C189" s="2">
        <v>789.43000000000006</v>
      </c>
      <c r="D189" s="2">
        <v>38262.887185000021</v>
      </c>
      <c r="E189" s="3">
        <v>49.73008547008547</v>
      </c>
    </row>
    <row r="190" spans="1:5" x14ac:dyDescent="0.25">
      <c r="A190" s="1" t="s">
        <v>1497</v>
      </c>
      <c r="B190" s="1" t="s">
        <v>226</v>
      </c>
      <c r="C190" s="2">
        <v>105.465</v>
      </c>
      <c r="D190" s="2">
        <v>38368.352185000018</v>
      </c>
      <c r="E190" s="3">
        <v>49.73008547008547</v>
      </c>
    </row>
    <row r="191" spans="1:5" x14ac:dyDescent="0.25">
      <c r="A191" s="1" t="s">
        <v>784</v>
      </c>
      <c r="B191" s="1" t="s">
        <v>226</v>
      </c>
      <c r="C191" s="2">
        <v>113.03</v>
      </c>
      <c r="D191" s="2">
        <v>38481.382185000017</v>
      </c>
      <c r="E191" s="3">
        <v>50.103962101636519</v>
      </c>
    </row>
    <row r="192" spans="1:5" x14ac:dyDescent="0.25">
      <c r="A192" s="1" t="s">
        <v>874</v>
      </c>
      <c r="B192" s="1" t="s">
        <v>226</v>
      </c>
      <c r="C192" s="2">
        <v>61.410000000000004</v>
      </c>
      <c r="D192" s="2">
        <v>38542.79218500002</v>
      </c>
      <c r="E192" s="3">
        <v>50.103962101636519</v>
      </c>
    </row>
    <row r="193" spans="1:5" x14ac:dyDescent="0.25">
      <c r="A193" s="1" t="s">
        <v>1923</v>
      </c>
      <c r="B193" s="1" t="s">
        <v>226</v>
      </c>
      <c r="C193" s="2">
        <v>26.254999999999999</v>
      </c>
      <c r="D193" s="2">
        <v>38569.047185000018</v>
      </c>
      <c r="E193" s="3">
        <v>50.103962101636519</v>
      </c>
    </row>
    <row r="194" spans="1:5" x14ac:dyDescent="0.25">
      <c r="A194" s="1" t="s">
        <v>1878</v>
      </c>
      <c r="B194" s="1" t="s">
        <v>3</v>
      </c>
      <c r="C194" s="2">
        <v>47.97</v>
      </c>
      <c r="D194" s="2">
        <v>38617.017185000019</v>
      </c>
      <c r="E194" s="3">
        <v>50.288705882352943</v>
      </c>
    </row>
    <row r="195" spans="1:5" x14ac:dyDescent="0.25">
      <c r="A195" s="1" t="s">
        <v>1881</v>
      </c>
      <c r="B195" s="1" t="s">
        <v>3</v>
      </c>
      <c r="C195" s="2">
        <v>47.97</v>
      </c>
      <c r="D195" s="2">
        <v>38664.98718500002</v>
      </c>
      <c r="E195" s="3">
        <v>50.288705882352943</v>
      </c>
    </row>
    <row r="196" spans="1:5" x14ac:dyDescent="0.25">
      <c r="A196" s="1" t="s">
        <v>811</v>
      </c>
      <c r="B196" s="1" t="s">
        <v>226</v>
      </c>
      <c r="C196" s="2">
        <v>371.21900000000005</v>
      </c>
      <c r="D196" s="2">
        <v>39036.206185000017</v>
      </c>
      <c r="E196" s="3">
        <v>50.483680555555559</v>
      </c>
    </row>
    <row r="197" spans="1:5" x14ac:dyDescent="0.25">
      <c r="A197" s="1" t="s">
        <v>815</v>
      </c>
      <c r="B197" s="1" t="s">
        <v>226</v>
      </c>
      <c r="C197" s="2">
        <v>374.601</v>
      </c>
      <c r="D197" s="2">
        <v>39410.80718500002</v>
      </c>
      <c r="E197" s="3">
        <v>50.483680555555559</v>
      </c>
    </row>
    <row r="198" spans="1:5" x14ac:dyDescent="0.25">
      <c r="A198" s="1" t="s">
        <v>1015</v>
      </c>
      <c r="B198" s="1" t="s">
        <v>226</v>
      </c>
      <c r="C198" s="2">
        <v>367.57</v>
      </c>
      <c r="D198" s="2">
        <v>39778.377185000019</v>
      </c>
      <c r="E198" s="3">
        <v>50.483680555555559</v>
      </c>
    </row>
    <row r="199" spans="1:5" x14ac:dyDescent="0.25">
      <c r="A199" s="1" t="s">
        <v>869</v>
      </c>
      <c r="B199" s="1" t="s">
        <v>226</v>
      </c>
      <c r="C199" s="2">
        <v>371.13</v>
      </c>
      <c r="D199" s="2">
        <v>40149.507185000017</v>
      </c>
      <c r="E199" s="3">
        <v>50.869378827646543</v>
      </c>
    </row>
    <row r="200" spans="1:5" x14ac:dyDescent="0.25">
      <c r="A200" s="1" t="s">
        <v>909</v>
      </c>
      <c r="B200" s="1" t="s">
        <v>226</v>
      </c>
      <c r="C200" s="2">
        <v>712</v>
      </c>
      <c r="D200" s="2">
        <v>40861.507185000017</v>
      </c>
      <c r="E200" s="3">
        <v>51.261199294532631</v>
      </c>
    </row>
    <row r="201" spans="1:5" x14ac:dyDescent="0.25">
      <c r="A201" s="1" t="s">
        <v>944</v>
      </c>
      <c r="B201" s="1" t="s">
        <v>3</v>
      </c>
      <c r="C201" s="2">
        <v>10.452</v>
      </c>
      <c r="D201" s="2">
        <v>40871.959185000014</v>
      </c>
      <c r="E201" s="3">
        <v>51.46915662650602</v>
      </c>
    </row>
    <row r="202" spans="1:5" x14ac:dyDescent="0.25">
      <c r="A202" s="1" t="s">
        <v>224</v>
      </c>
      <c r="B202" s="1" t="s">
        <v>226</v>
      </c>
      <c r="C202" s="2">
        <v>33.330500000000001</v>
      </c>
      <c r="D202" s="2">
        <v>40905.289685000011</v>
      </c>
      <c r="E202" s="3">
        <v>51.659288888888888</v>
      </c>
    </row>
    <row r="203" spans="1:5" x14ac:dyDescent="0.25">
      <c r="A203" s="1" t="s">
        <v>455</v>
      </c>
      <c r="B203" s="1" t="s">
        <v>226</v>
      </c>
      <c r="C203" s="2">
        <v>208.26</v>
      </c>
      <c r="D203" s="2">
        <v>41113.549685000013</v>
      </c>
      <c r="E203" s="3">
        <v>51.659288888888888</v>
      </c>
    </row>
    <row r="204" spans="1:5" x14ac:dyDescent="0.25">
      <c r="A204" s="1" t="s">
        <v>585</v>
      </c>
      <c r="B204" s="1" t="s">
        <v>226</v>
      </c>
      <c r="C204" s="2">
        <v>19.224</v>
      </c>
      <c r="D204" s="2">
        <v>41132.773685000015</v>
      </c>
      <c r="E204" s="3">
        <v>51.659288888888888</v>
      </c>
    </row>
    <row r="205" spans="1:5" x14ac:dyDescent="0.25">
      <c r="A205" s="1" t="s">
        <v>1199</v>
      </c>
      <c r="B205" s="1" t="s">
        <v>226</v>
      </c>
      <c r="C205" s="2">
        <v>442.77500000000003</v>
      </c>
      <c r="D205" s="2">
        <v>41575.548685000016</v>
      </c>
      <c r="E205" s="3">
        <v>51.659288888888888</v>
      </c>
    </row>
    <row r="206" spans="1:5" x14ac:dyDescent="0.25">
      <c r="A206" s="1" t="s">
        <v>1334</v>
      </c>
      <c r="B206" s="1" t="s">
        <v>226</v>
      </c>
      <c r="C206" s="2">
        <v>92.684600000000003</v>
      </c>
      <c r="D206" s="2">
        <v>41668.233285000017</v>
      </c>
      <c r="E206" s="3">
        <v>51.659288888888888</v>
      </c>
    </row>
    <row r="207" spans="1:5" x14ac:dyDescent="0.25">
      <c r="A207" s="1" t="s">
        <v>1376</v>
      </c>
      <c r="B207" s="1" t="s">
        <v>226</v>
      </c>
      <c r="C207" s="2">
        <v>66.75</v>
      </c>
      <c r="D207" s="2">
        <v>41734.983285000017</v>
      </c>
      <c r="E207" s="3">
        <v>51.659288888888888</v>
      </c>
    </row>
    <row r="208" spans="1:5" x14ac:dyDescent="0.25">
      <c r="A208" s="1" t="s">
        <v>1378</v>
      </c>
      <c r="B208" s="1" t="s">
        <v>226</v>
      </c>
      <c r="C208" s="2">
        <v>66.75</v>
      </c>
      <c r="D208" s="2">
        <v>41801.733285000017</v>
      </c>
      <c r="E208" s="3">
        <v>51.659288888888888</v>
      </c>
    </row>
    <row r="209" spans="1:5" x14ac:dyDescent="0.25">
      <c r="A209" s="1" t="s">
        <v>1583</v>
      </c>
      <c r="B209" s="1" t="s">
        <v>226</v>
      </c>
      <c r="C209" s="2">
        <v>66.75</v>
      </c>
      <c r="D209" s="2">
        <v>41868.483285000017</v>
      </c>
      <c r="E209" s="3">
        <v>51.659288888888888</v>
      </c>
    </row>
    <row r="210" spans="1:5" x14ac:dyDescent="0.25">
      <c r="A210" s="1" t="s">
        <v>1925</v>
      </c>
      <c r="B210" s="1" t="s">
        <v>226</v>
      </c>
      <c r="C210" s="2">
        <v>39.605000000000004</v>
      </c>
      <c r="D210" s="2">
        <v>41908.08828500002</v>
      </c>
      <c r="E210" s="3">
        <v>51.659288888888888</v>
      </c>
    </row>
    <row r="211" spans="1:5" x14ac:dyDescent="0.25">
      <c r="A211" s="1" t="s">
        <v>1017</v>
      </c>
      <c r="B211" s="1" t="s">
        <v>226</v>
      </c>
      <c r="C211" s="2">
        <v>96.12</v>
      </c>
      <c r="D211" s="2">
        <v>42004.208285000022</v>
      </c>
      <c r="E211" s="3">
        <v>52.063799283154118</v>
      </c>
    </row>
    <row r="212" spans="1:5" x14ac:dyDescent="0.25">
      <c r="A212" s="1" t="s">
        <v>1320</v>
      </c>
      <c r="B212" s="1" t="s">
        <v>226</v>
      </c>
      <c r="C212" s="2">
        <v>111.161</v>
      </c>
      <c r="D212" s="2">
        <v>42115.369285000023</v>
      </c>
      <c r="E212" s="3">
        <v>52.063799283154118</v>
      </c>
    </row>
    <row r="213" spans="1:5" x14ac:dyDescent="0.25">
      <c r="A213" s="1" t="s">
        <v>1322</v>
      </c>
      <c r="B213" s="1" t="s">
        <v>226</v>
      </c>
      <c r="C213" s="2">
        <v>110.271</v>
      </c>
      <c r="D213" s="2">
        <v>42225.640285000023</v>
      </c>
      <c r="E213" s="3">
        <v>52.063799283154118</v>
      </c>
    </row>
    <row r="214" spans="1:5" x14ac:dyDescent="0.25">
      <c r="A214" s="1" t="s">
        <v>1324</v>
      </c>
      <c r="B214" s="1" t="s">
        <v>226</v>
      </c>
      <c r="C214" s="2">
        <v>113.56399999999999</v>
      </c>
      <c r="D214" s="2">
        <v>42339.204285000022</v>
      </c>
      <c r="E214" s="3">
        <v>52.063799283154118</v>
      </c>
    </row>
    <row r="215" spans="1:5" x14ac:dyDescent="0.25">
      <c r="A215" s="1" t="s">
        <v>1566</v>
      </c>
      <c r="B215" s="1" t="s">
        <v>3</v>
      </c>
      <c r="C215" s="2">
        <v>400.92</v>
      </c>
      <c r="D215" s="2">
        <v>42740.12428500002</v>
      </c>
      <c r="E215" s="3">
        <v>52.080975609756095</v>
      </c>
    </row>
    <row r="216" spans="1:5" x14ac:dyDescent="0.25">
      <c r="A216" s="1" t="s">
        <v>1273</v>
      </c>
      <c r="B216" s="1" t="s">
        <v>3</v>
      </c>
      <c r="C216" s="2">
        <v>43.336800000000004</v>
      </c>
      <c r="D216" s="2">
        <v>42783.461085000017</v>
      </c>
      <c r="E216" s="3">
        <v>52.142979242979244</v>
      </c>
    </row>
    <row r="217" spans="1:5" x14ac:dyDescent="0.25">
      <c r="A217" s="1" t="s">
        <v>797</v>
      </c>
      <c r="B217" s="1" t="s">
        <v>3</v>
      </c>
      <c r="C217" s="2">
        <v>151.32</v>
      </c>
      <c r="D217" s="2">
        <v>42934.781085000017</v>
      </c>
      <c r="E217" s="3">
        <v>52.392515337423319</v>
      </c>
    </row>
    <row r="218" spans="1:5" x14ac:dyDescent="0.25">
      <c r="A218" s="1" t="s">
        <v>1813</v>
      </c>
      <c r="B218" s="1" t="s">
        <v>3</v>
      </c>
      <c r="C218" s="2">
        <v>95.94</v>
      </c>
      <c r="D218" s="2">
        <v>43030.721085000019</v>
      </c>
      <c r="E218" s="3">
        <v>52.392515337423319</v>
      </c>
    </row>
    <row r="219" spans="1:5" x14ac:dyDescent="0.25">
      <c r="A219" s="1" t="s">
        <v>1817</v>
      </c>
      <c r="B219" s="1" t="s">
        <v>3</v>
      </c>
      <c r="C219" s="2">
        <v>106.86</v>
      </c>
      <c r="D219" s="2">
        <v>43137.58108500002</v>
      </c>
      <c r="E219" s="3">
        <v>52.392515337423319</v>
      </c>
    </row>
    <row r="220" spans="1:5" x14ac:dyDescent="0.25">
      <c r="A220" s="1" t="s">
        <v>1256</v>
      </c>
      <c r="B220" s="1" t="s">
        <v>3</v>
      </c>
      <c r="C220" s="2">
        <v>339.3</v>
      </c>
      <c r="D220" s="2">
        <v>43476.881085000023</v>
      </c>
      <c r="E220" s="3">
        <v>52.392515337423319</v>
      </c>
    </row>
    <row r="221" spans="1:5" x14ac:dyDescent="0.25">
      <c r="A221" s="1" t="s">
        <v>917</v>
      </c>
      <c r="B221" s="1" t="s">
        <v>226</v>
      </c>
      <c r="C221" s="2">
        <v>76.540000000000006</v>
      </c>
      <c r="D221" s="2">
        <v>43553.421085000024</v>
      </c>
      <c r="E221" s="3">
        <v>52.474887082204162</v>
      </c>
    </row>
    <row r="222" spans="1:5" x14ac:dyDescent="0.25">
      <c r="A222" s="1" t="s">
        <v>1259</v>
      </c>
      <c r="B222" s="1" t="s">
        <v>226</v>
      </c>
      <c r="C222" s="2">
        <v>54.405700000000003</v>
      </c>
      <c r="D222" s="2">
        <v>43607.826785000027</v>
      </c>
      <c r="E222" s="3">
        <v>52.474887082204162</v>
      </c>
    </row>
    <row r="223" spans="1:5" x14ac:dyDescent="0.25">
      <c r="A223" s="1" t="s">
        <v>1265</v>
      </c>
      <c r="B223" s="1" t="s">
        <v>226</v>
      </c>
      <c r="C223" s="2">
        <v>69.037300000000002</v>
      </c>
      <c r="D223" s="2">
        <v>43676.86408500003</v>
      </c>
      <c r="E223" s="3">
        <v>52.474887082204162</v>
      </c>
    </row>
    <row r="224" spans="1:5" x14ac:dyDescent="0.25">
      <c r="A224" s="1" t="s">
        <v>1207</v>
      </c>
      <c r="B224" s="1" t="s">
        <v>226</v>
      </c>
      <c r="C224" s="2">
        <v>10.644400000000001</v>
      </c>
      <c r="D224" s="2">
        <v>43687.508485000028</v>
      </c>
      <c r="E224" s="3">
        <v>52.474887082204162</v>
      </c>
    </row>
    <row r="225" spans="1:5" x14ac:dyDescent="0.25">
      <c r="A225" s="1" t="s">
        <v>749</v>
      </c>
      <c r="B225" s="1" t="s">
        <v>3</v>
      </c>
      <c r="C225" s="2">
        <v>397.8</v>
      </c>
      <c r="D225" s="2">
        <v>44085.30848500003</v>
      </c>
      <c r="E225" s="3">
        <v>52.707901234567899</v>
      </c>
    </row>
    <row r="226" spans="1:5" x14ac:dyDescent="0.25">
      <c r="A226" s="1" t="s">
        <v>995</v>
      </c>
      <c r="B226" s="1" t="s">
        <v>3</v>
      </c>
      <c r="C226" s="2">
        <v>251.94</v>
      </c>
      <c r="D226" s="2">
        <v>44337.248485000033</v>
      </c>
      <c r="E226" s="3">
        <v>52.707901234567899</v>
      </c>
    </row>
    <row r="227" spans="1:5" x14ac:dyDescent="0.25">
      <c r="A227" s="1" t="s">
        <v>1767</v>
      </c>
      <c r="B227" s="1" t="s">
        <v>3</v>
      </c>
      <c r="C227" s="2">
        <v>16.146000000000001</v>
      </c>
      <c r="D227" s="2">
        <v>44353.394485000033</v>
      </c>
      <c r="E227" s="3">
        <v>52.707901234567899</v>
      </c>
    </row>
    <row r="228" spans="1:5" x14ac:dyDescent="0.25">
      <c r="A228" s="1" t="s">
        <v>303</v>
      </c>
      <c r="B228" s="1" t="s">
        <v>226</v>
      </c>
      <c r="C228" s="2">
        <v>13.172000000000001</v>
      </c>
      <c r="D228" s="2">
        <v>44366.566485000032</v>
      </c>
      <c r="E228" s="3">
        <v>52.892714025500908</v>
      </c>
    </row>
    <row r="229" spans="1:5" x14ac:dyDescent="0.25">
      <c r="A229" s="1" t="s">
        <v>1777</v>
      </c>
      <c r="B229" s="1" t="s">
        <v>3</v>
      </c>
      <c r="C229" s="2">
        <v>259.50599999999997</v>
      </c>
      <c r="D229" s="2">
        <v>44626.072485000033</v>
      </c>
      <c r="E229" s="3">
        <v>53.027204968944091</v>
      </c>
    </row>
    <row r="230" spans="1:5" x14ac:dyDescent="0.25">
      <c r="A230" s="1" t="s">
        <v>144</v>
      </c>
      <c r="B230" s="1" t="s">
        <v>2</v>
      </c>
      <c r="C230" s="2">
        <v>13.05</v>
      </c>
      <c r="D230" s="2">
        <v>44639.122485000036</v>
      </c>
      <c r="E230" s="3">
        <v>53.113249211356475</v>
      </c>
    </row>
    <row r="231" spans="1:5" x14ac:dyDescent="0.25">
      <c r="A231" s="1" t="s">
        <v>355</v>
      </c>
      <c r="B231" s="1" t="s">
        <v>226</v>
      </c>
      <c r="C231" s="2">
        <v>106.8</v>
      </c>
      <c r="D231" s="2">
        <v>44745.922485000039</v>
      </c>
      <c r="E231" s="3">
        <v>53.317447199265381</v>
      </c>
    </row>
    <row r="232" spans="1:5" x14ac:dyDescent="0.25">
      <c r="A232" s="1" t="s">
        <v>1019</v>
      </c>
      <c r="B232" s="1" t="s">
        <v>226</v>
      </c>
      <c r="C232" s="2">
        <v>14.062000000000001</v>
      </c>
      <c r="D232" s="2">
        <v>44759.984485000037</v>
      </c>
      <c r="E232" s="3">
        <v>53.317447199265381</v>
      </c>
    </row>
    <row r="233" spans="1:5" x14ac:dyDescent="0.25">
      <c r="A233" s="1" t="s">
        <v>199</v>
      </c>
      <c r="B233" s="1" t="s">
        <v>3</v>
      </c>
      <c r="C233" s="2">
        <v>69.42</v>
      </c>
      <c r="D233" s="2">
        <v>44829.404485000035</v>
      </c>
      <c r="E233" s="3">
        <v>53.350499999999997</v>
      </c>
    </row>
    <row r="234" spans="1:5" x14ac:dyDescent="0.25">
      <c r="A234" s="1" t="s">
        <v>1429</v>
      </c>
      <c r="B234" s="1" t="s">
        <v>3</v>
      </c>
      <c r="C234" s="2">
        <v>42.120000000000005</v>
      </c>
      <c r="D234" s="2">
        <v>44871.524485000038</v>
      </c>
      <c r="E234" s="3">
        <v>53.350499999999997</v>
      </c>
    </row>
    <row r="235" spans="1:5" x14ac:dyDescent="0.25">
      <c r="A235" s="1" t="s">
        <v>1480</v>
      </c>
      <c r="B235" s="1" t="s">
        <v>3</v>
      </c>
      <c r="C235" s="2">
        <v>20.981999999999999</v>
      </c>
      <c r="D235" s="2">
        <v>44892.506485000042</v>
      </c>
      <c r="E235" s="3">
        <v>53.350499999999997</v>
      </c>
    </row>
    <row r="236" spans="1:5" x14ac:dyDescent="0.25">
      <c r="A236" s="1" t="s">
        <v>661</v>
      </c>
      <c r="B236" s="1" t="s">
        <v>3</v>
      </c>
      <c r="C236" s="2">
        <v>47.97</v>
      </c>
      <c r="D236" s="2">
        <v>44940.476485000043</v>
      </c>
      <c r="E236" s="3">
        <v>53.677861635220125</v>
      </c>
    </row>
    <row r="237" spans="1:5" x14ac:dyDescent="0.25">
      <c r="A237" s="1" t="s">
        <v>829</v>
      </c>
      <c r="B237" s="1" t="s">
        <v>3</v>
      </c>
      <c r="C237" s="2">
        <v>106.08</v>
      </c>
      <c r="D237" s="2">
        <v>45046.556485000045</v>
      </c>
      <c r="E237" s="3">
        <v>53.677861635220125</v>
      </c>
    </row>
    <row r="238" spans="1:5" x14ac:dyDescent="0.25">
      <c r="A238" s="1" t="s">
        <v>832</v>
      </c>
      <c r="B238" s="1" t="s">
        <v>3</v>
      </c>
      <c r="C238" s="2">
        <v>106.08</v>
      </c>
      <c r="D238" s="2">
        <v>45152.636485000046</v>
      </c>
      <c r="E238" s="3">
        <v>53.677861635220125</v>
      </c>
    </row>
    <row r="239" spans="1:5" x14ac:dyDescent="0.25">
      <c r="A239" s="1" t="s">
        <v>1794</v>
      </c>
      <c r="B239" s="1" t="s">
        <v>3</v>
      </c>
      <c r="C239" s="2">
        <v>164.58</v>
      </c>
      <c r="D239" s="2">
        <v>45317.216485000048</v>
      </c>
      <c r="E239" s="3">
        <v>53.677861635220125</v>
      </c>
    </row>
    <row r="240" spans="1:5" x14ac:dyDescent="0.25">
      <c r="A240" s="1" t="s">
        <v>228</v>
      </c>
      <c r="B240" s="1" t="s">
        <v>226</v>
      </c>
      <c r="C240" s="2">
        <v>94.34</v>
      </c>
      <c r="D240" s="2">
        <v>45411.556485000045</v>
      </c>
      <c r="E240" s="3">
        <v>53.749259259259254</v>
      </c>
    </row>
    <row r="241" spans="1:5" x14ac:dyDescent="0.25">
      <c r="A241" s="1" t="s">
        <v>428</v>
      </c>
      <c r="B241" s="1" t="s">
        <v>226</v>
      </c>
      <c r="C241" s="2">
        <v>521.54</v>
      </c>
      <c r="D241" s="2">
        <v>45933.096485000046</v>
      </c>
      <c r="E241" s="3">
        <v>53.749259259259254</v>
      </c>
    </row>
    <row r="242" spans="1:5" x14ac:dyDescent="0.25">
      <c r="A242" s="1" t="s">
        <v>499</v>
      </c>
      <c r="B242" s="1" t="s">
        <v>226</v>
      </c>
      <c r="C242" s="2">
        <v>89</v>
      </c>
      <c r="D242" s="2">
        <v>46022.096485000046</v>
      </c>
      <c r="E242" s="3">
        <v>53.749259259259254</v>
      </c>
    </row>
    <row r="243" spans="1:5" x14ac:dyDescent="0.25">
      <c r="A243" s="1" t="s">
        <v>777</v>
      </c>
      <c r="B243" s="1" t="s">
        <v>226</v>
      </c>
      <c r="C243" s="2">
        <v>200.25</v>
      </c>
      <c r="D243" s="2">
        <v>46222.346485000046</v>
      </c>
      <c r="E243" s="3">
        <v>53.749259259259254</v>
      </c>
    </row>
    <row r="244" spans="1:5" x14ac:dyDescent="0.25">
      <c r="A244" s="1" t="s">
        <v>1236</v>
      </c>
      <c r="B244" s="1" t="s">
        <v>226</v>
      </c>
      <c r="C244" s="2">
        <v>386.43799999999999</v>
      </c>
      <c r="D244" s="2">
        <v>46608.784485000047</v>
      </c>
      <c r="E244" s="3">
        <v>53.749259259259254</v>
      </c>
    </row>
    <row r="245" spans="1:5" x14ac:dyDescent="0.25">
      <c r="A245" s="1" t="s">
        <v>1095</v>
      </c>
      <c r="B245" s="1" t="s">
        <v>226</v>
      </c>
      <c r="C245" s="2">
        <v>11.57</v>
      </c>
      <c r="D245" s="2">
        <v>46620.354485000047</v>
      </c>
      <c r="E245" s="3">
        <v>53.749259259259254</v>
      </c>
    </row>
    <row r="246" spans="1:5" x14ac:dyDescent="0.25">
      <c r="A246" s="1" t="s">
        <v>205</v>
      </c>
      <c r="B246" s="1" t="s">
        <v>3</v>
      </c>
      <c r="C246" s="2">
        <v>219.96</v>
      </c>
      <c r="D246" s="2">
        <v>46840.314485000046</v>
      </c>
      <c r="E246" s="3">
        <v>54.00936708860759</v>
      </c>
    </row>
    <row r="247" spans="1:5" x14ac:dyDescent="0.25">
      <c r="A247" s="1" t="s">
        <v>457</v>
      </c>
      <c r="B247" s="1" t="s">
        <v>3</v>
      </c>
      <c r="C247" s="2">
        <v>288.60000000000002</v>
      </c>
      <c r="D247" s="2">
        <v>47128.914485000045</v>
      </c>
      <c r="E247" s="3">
        <v>54.00936708860759</v>
      </c>
    </row>
    <row r="248" spans="1:5" x14ac:dyDescent="0.25">
      <c r="A248" s="1" t="s">
        <v>660</v>
      </c>
      <c r="B248" s="1" t="s">
        <v>3</v>
      </c>
      <c r="C248" s="2">
        <v>47.97</v>
      </c>
      <c r="D248" s="2">
        <v>47176.884485000046</v>
      </c>
      <c r="E248" s="3">
        <v>54.00936708860759</v>
      </c>
    </row>
    <row r="249" spans="1:5" x14ac:dyDescent="0.25">
      <c r="A249" s="1" t="s">
        <v>574</v>
      </c>
      <c r="B249" s="1" t="s">
        <v>226</v>
      </c>
      <c r="C249" s="2">
        <v>68.085000000000008</v>
      </c>
      <c r="D249" s="2">
        <v>47244.969485000045</v>
      </c>
      <c r="E249" s="3">
        <v>54.188328664799258</v>
      </c>
    </row>
    <row r="250" spans="1:5" x14ac:dyDescent="0.25">
      <c r="A250" s="1" t="s">
        <v>1578</v>
      </c>
      <c r="B250" s="1" t="s">
        <v>226</v>
      </c>
      <c r="C250" s="2">
        <v>99.768999999999991</v>
      </c>
      <c r="D250" s="2">
        <v>47344.738485000045</v>
      </c>
      <c r="E250" s="3">
        <v>54.188328664799258</v>
      </c>
    </row>
    <row r="251" spans="1:5" x14ac:dyDescent="0.25">
      <c r="A251" s="1" t="s">
        <v>201</v>
      </c>
      <c r="B251" s="1" t="s">
        <v>3</v>
      </c>
      <c r="C251" s="2">
        <v>219.96</v>
      </c>
      <c r="D251" s="2">
        <v>47564.698485000044</v>
      </c>
      <c r="E251" s="3">
        <v>54.345095541401271</v>
      </c>
    </row>
    <row r="252" spans="1:5" x14ac:dyDescent="0.25">
      <c r="A252" s="1" t="s">
        <v>1469</v>
      </c>
      <c r="B252" s="1" t="s">
        <v>3</v>
      </c>
      <c r="C252" s="2">
        <v>682.5</v>
      </c>
      <c r="D252" s="2">
        <v>48247.198485000044</v>
      </c>
      <c r="E252" s="3">
        <v>54.345095541401271</v>
      </c>
    </row>
    <row r="253" spans="1:5" x14ac:dyDescent="0.25">
      <c r="A253" s="1" t="s">
        <v>1755</v>
      </c>
      <c r="B253" s="1" t="s">
        <v>2</v>
      </c>
      <c r="C253" s="2">
        <v>58.29</v>
      </c>
      <c r="D253" s="2">
        <v>48305.488485000045</v>
      </c>
      <c r="E253" s="3">
        <v>54.615584415584422</v>
      </c>
    </row>
    <row r="254" spans="1:5" x14ac:dyDescent="0.25">
      <c r="A254" s="1" t="s">
        <v>675</v>
      </c>
      <c r="B254" s="1" t="s">
        <v>226</v>
      </c>
      <c r="C254" s="2">
        <v>35.6</v>
      </c>
      <c r="D254" s="2">
        <v>48341.088485000044</v>
      </c>
      <c r="E254" s="3">
        <v>54.63483992467043</v>
      </c>
    </row>
    <row r="255" spans="1:5" x14ac:dyDescent="0.25">
      <c r="A255" s="1" t="s">
        <v>1136</v>
      </c>
      <c r="B255" s="1" t="s">
        <v>226</v>
      </c>
      <c r="C255" s="2">
        <v>34.71</v>
      </c>
      <c r="D255" s="2">
        <v>48375.798485000043</v>
      </c>
      <c r="E255" s="3">
        <v>54.63483992467043</v>
      </c>
    </row>
    <row r="256" spans="1:5" x14ac:dyDescent="0.25">
      <c r="A256" s="1" t="s">
        <v>698</v>
      </c>
      <c r="B256" s="1" t="s">
        <v>3</v>
      </c>
      <c r="C256" s="2">
        <v>54.6</v>
      </c>
      <c r="D256" s="2">
        <v>48430.398485000042</v>
      </c>
      <c r="E256" s="3">
        <v>55.029548387096774</v>
      </c>
    </row>
    <row r="257" spans="1:5" x14ac:dyDescent="0.25">
      <c r="A257" s="1" t="s">
        <v>1883</v>
      </c>
      <c r="B257" s="1" t="s">
        <v>3</v>
      </c>
      <c r="C257" s="2">
        <v>108.03</v>
      </c>
      <c r="D257" s="2">
        <v>48538.42848500004</v>
      </c>
      <c r="E257" s="3">
        <v>55.029548387096774</v>
      </c>
    </row>
    <row r="258" spans="1:5" x14ac:dyDescent="0.25">
      <c r="A258" s="1" t="s">
        <v>1884</v>
      </c>
      <c r="B258" s="1" t="s">
        <v>3</v>
      </c>
      <c r="C258" s="2">
        <v>108.03</v>
      </c>
      <c r="D258" s="2">
        <v>48646.458485000039</v>
      </c>
      <c r="E258" s="3">
        <v>55.029548387096774</v>
      </c>
    </row>
    <row r="259" spans="1:5" x14ac:dyDescent="0.25">
      <c r="A259" s="1" t="s">
        <v>1195</v>
      </c>
      <c r="B259" s="1" t="s">
        <v>226</v>
      </c>
      <c r="C259" s="2">
        <v>364.9</v>
      </c>
      <c r="D259" s="2">
        <v>49011.358485000041</v>
      </c>
      <c r="E259" s="3">
        <v>55.088983855650525</v>
      </c>
    </row>
    <row r="260" spans="1:5" x14ac:dyDescent="0.25">
      <c r="A260" s="1" t="s">
        <v>1343</v>
      </c>
      <c r="B260" s="1" t="s">
        <v>226</v>
      </c>
      <c r="C260" s="2">
        <v>66.75</v>
      </c>
      <c r="D260" s="2">
        <v>49078.108485000041</v>
      </c>
      <c r="E260" s="3">
        <v>55.088983855650525</v>
      </c>
    </row>
    <row r="261" spans="1:5" x14ac:dyDescent="0.25">
      <c r="A261" s="1" t="s">
        <v>1748</v>
      </c>
      <c r="B261" s="1" t="s">
        <v>3</v>
      </c>
      <c r="C261" s="2">
        <v>35.1</v>
      </c>
      <c r="D261" s="2">
        <v>49113.208485000039</v>
      </c>
      <c r="E261" s="3">
        <v>55.378441558441551</v>
      </c>
    </row>
    <row r="262" spans="1:5" x14ac:dyDescent="0.25">
      <c r="A262" s="1" t="s">
        <v>1837</v>
      </c>
      <c r="B262" s="1" t="s">
        <v>3</v>
      </c>
      <c r="C262" s="2">
        <v>478.92</v>
      </c>
      <c r="D262" s="2">
        <v>49592.128485000037</v>
      </c>
      <c r="E262" s="3">
        <v>55.378441558441551</v>
      </c>
    </row>
    <row r="263" spans="1:5" x14ac:dyDescent="0.25">
      <c r="A263" s="1" t="s">
        <v>173</v>
      </c>
      <c r="B263" s="1" t="s">
        <v>226</v>
      </c>
      <c r="C263" s="2">
        <v>395.16</v>
      </c>
      <c r="D263" s="2">
        <v>49987.288485000041</v>
      </c>
      <c r="E263" s="3">
        <v>55.550957854406128</v>
      </c>
    </row>
    <row r="264" spans="1:5" x14ac:dyDescent="0.25">
      <c r="A264" s="1" t="s">
        <v>932</v>
      </c>
      <c r="B264" s="1" t="s">
        <v>226</v>
      </c>
      <c r="C264" s="2">
        <v>161.97999999999999</v>
      </c>
      <c r="D264" s="2">
        <v>50149.268485000044</v>
      </c>
      <c r="E264" s="3">
        <v>55.550957854406128</v>
      </c>
    </row>
    <row r="265" spans="1:5" x14ac:dyDescent="0.25">
      <c r="A265" s="1" t="s">
        <v>1563</v>
      </c>
      <c r="B265" s="1" t="s">
        <v>226</v>
      </c>
      <c r="C265" s="2">
        <v>96.12</v>
      </c>
      <c r="D265" s="2">
        <v>50245.388485000047</v>
      </c>
      <c r="E265" s="3">
        <v>55.550957854406128</v>
      </c>
    </row>
    <row r="266" spans="1:5" x14ac:dyDescent="0.25">
      <c r="A266" s="1" t="s">
        <v>1839</v>
      </c>
      <c r="B266" s="1" t="s">
        <v>226</v>
      </c>
      <c r="C266" s="2">
        <v>46.191000000000003</v>
      </c>
      <c r="D266" s="2">
        <v>50291.579485000046</v>
      </c>
      <c r="E266" s="3">
        <v>55.550957854406128</v>
      </c>
    </row>
    <row r="267" spans="1:5" x14ac:dyDescent="0.25">
      <c r="A267" s="1" t="s">
        <v>438</v>
      </c>
      <c r="B267" s="1" t="s">
        <v>226</v>
      </c>
      <c r="C267" s="2">
        <v>231.4</v>
      </c>
      <c r="D267" s="2">
        <v>50522.979485000047</v>
      </c>
      <c r="E267" s="3">
        <v>56.020966183574885</v>
      </c>
    </row>
    <row r="268" spans="1:5" x14ac:dyDescent="0.25">
      <c r="A268" s="1" t="s">
        <v>1418</v>
      </c>
      <c r="B268" s="1" t="s">
        <v>226</v>
      </c>
      <c r="C268" s="2">
        <v>56.96</v>
      </c>
      <c r="D268" s="2">
        <v>50579.939485000046</v>
      </c>
      <c r="E268" s="3">
        <v>56.020966183574885</v>
      </c>
    </row>
    <row r="269" spans="1:5" x14ac:dyDescent="0.25">
      <c r="A269" s="1" t="s">
        <v>593</v>
      </c>
      <c r="B269" s="1" t="s">
        <v>3</v>
      </c>
      <c r="C269" s="2">
        <v>13.571999999999999</v>
      </c>
      <c r="D269" s="2">
        <v>50593.511485000046</v>
      </c>
      <c r="E269" s="3">
        <v>56.09</v>
      </c>
    </row>
    <row r="270" spans="1:5" x14ac:dyDescent="0.25">
      <c r="A270" s="1" t="s">
        <v>1255</v>
      </c>
      <c r="B270" s="1" t="s">
        <v>3</v>
      </c>
      <c r="C270" s="2">
        <v>331.5</v>
      </c>
      <c r="D270" s="2">
        <v>50925.011485000046</v>
      </c>
      <c r="E270" s="3">
        <v>56.09</v>
      </c>
    </row>
    <row r="271" spans="1:5" x14ac:dyDescent="0.25">
      <c r="A271" s="1" t="s">
        <v>1746</v>
      </c>
      <c r="B271" s="1" t="s">
        <v>3</v>
      </c>
      <c r="C271" s="2">
        <v>35.1</v>
      </c>
      <c r="D271" s="2">
        <v>50960.111485000045</v>
      </c>
      <c r="E271" s="3">
        <v>56.09</v>
      </c>
    </row>
    <row r="272" spans="1:5" x14ac:dyDescent="0.25">
      <c r="A272" s="1" t="s">
        <v>1790</v>
      </c>
      <c r="B272" s="1" t="s">
        <v>3</v>
      </c>
      <c r="C272" s="2">
        <v>139.62</v>
      </c>
      <c r="D272" s="2">
        <v>51099.731485000048</v>
      </c>
      <c r="E272" s="3">
        <v>56.09</v>
      </c>
    </row>
    <row r="273" spans="1:5" x14ac:dyDescent="0.25">
      <c r="A273" s="1" t="s">
        <v>159</v>
      </c>
      <c r="B273" s="1" t="s">
        <v>3</v>
      </c>
      <c r="C273" s="2">
        <v>559.26</v>
      </c>
      <c r="D273" s="2">
        <v>51658.99148500005</v>
      </c>
      <c r="E273" s="3">
        <v>56.452847682119206</v>
      </c>
    </row>
    <row r="274" spans="1:5" x14ac:dyDescent="0.25">
      <c r="A274" s="1" t="s">
        <v>211</v>
      </c>
      <c r="B274" s="1" t="s">
        <v>226</v>
      </c>
      <c r="C274" s="2">
        <v>125.045</v>
      </c>
      <c r="D274" s="2">
        <v>51784.036485000048</v>
      </c>
      <c r="E274" s="3">
        <v>56.499220272904481</v>
      </c>
    </row>
    <row r="275" spans="1:5" x14ac:dyDescent="0.25">
      <c r="A275" s="1" t="s">
        <v>277</v>
      </c>
      <c r="B275" s="1" t="s">
        <v>226</v>
      </c>
      <c r="C275" s="2">
        <v>142.4</v>
      </c>
      <c r="D275" s="2">
        <v>51926.436485000049</v>
      </c>
      <c r="E275" s="3">
        <v>56.499220272904481</v>
      </c>
    </row>
    <row r="276" spans="1:5" x14ac:dyDescent="0.25">
      <c r="A276" s="1" t="s">
        <v>1138</v>
      </c>
      <c r="B276" s="1" t="s">
        <v>226</v>
      </c>
      <c r="C276" s="2">
        <v>31.150000000000002</v>
      </c>
      <c r="D276" s="2">
        <v>51957.586485000051</v>
      </c>
      <c r="E276" s="3">
        <v>56.499220272904481</v>
      </c>
    </row>
    <row r="277" spans="1:5" x14ac:dyDescent="0.25">
      <c r="A277" s="1" t="s">
        <v>1140</v>
      </c>
      <c r="B277" s="1" t="s">
        <v>226</v>
      </c>
      <c r="C277" s="2">
        <v>31.150000000000002</v>
      </c>
      <c r="D277" s="2">
        <v>51988.736485000052</v>
      </c>
      <c r="E277" s="3">
        <v>56.499220272904481</v>
      </c>
    </row>
    <row r="278" spans="1:5" x14ac:dyDescent="0.25">
      <c r="A278" s="1" t="s">
        <v>1142</v>
      </c>
      <c r="B278" s="1" t="s">
        <v>226</v>
      </c>
      <c r="C278" s="2">
        <v>32.93</v>
      </c>
      <c r="D278" s="2">
        <v>52021.666485000052</v>
      </c>
      <c r="E278" s="3">
        <v>56.499220272904481</v>
      </c>
    </row>
    <row r="279" spans="1:5" x14ac:dyDescent="0.25">
      <c r="A279" s="1" t="s">
        <v>1630</v>
      </c>
      <c r="B279" s="1" t="s">
        <v>226</v>
      </c>
      <c r="C279" s="2">
        <v>108.58</v>
      </c>
      <c r="D279" s="2">
        <v>52130.246485000054</v>
      </c>
      <c r="E279" s="3">
        <v>56.499220272904481</v>
      </c>
    </row>
    <row r="280" spans="1:5" x14ac:dyDescent="0.25">
      <c r="A280" s="1" t="s">
        <v>1410</v>
      </c>
      <c r="B280" s="1" t="s">
        <v>3</v>
      </c>
      <c r="C280" s="2">
        <v>14.43</v>
      </c>
      <c r="D280" s="2">
        <v>52144.676485000055</v>
      </c>
      <c r="E280" s="3">
        <v>56.82053333333333</v>
      </c>
    </row>
    <row r="281" spans="1:5" x14ac:dyDescent="0.25">
      <c r="B281" s="1" t="s">
        <v>3</v>
      </c>
      <c r="C281" s="2">
        <v>11.154000000000002</v>
      </c>
      <c r="D281" s="2">
        <v>52155.830485000057</v>
      </c>
      <c r="E281" s="3">
        <v>56.82053333333333</v>
      </c>
    </row>
    <row r="282" spans="1:5" x14ac:dyDescent="0.25">
      <c r="A282" s="1" t="s">
        <v>1921</v>
      </c>
      <c r="B282" s="1" t="s">
        <v>226</v>
      </c>
      <c r="C282" s="2">
        <v>22.25</v>
      </c>
      <c r="D282" s="2">
        <v>52178.080485000057</v>
      </c>
      <c r="E282" s="3">
        <v>56.985939036381517</v>
      </c>
    </row>
    <row r="283" spans="1:5" x14ac:dyDescent="0.25">
      <c r="A283" s="1" t="s">
        <v>1089</v>
      </c>
      <c r="B283" s="1" t="s">
        <v>226</v>
      </c>
      <c r="C283" s="2">
        <v>11.667899999999999</v>
      </c>
      <c r="D283" s="2">
        <v>52189.748385000057</v>
      </c>
      <c r="E283" s="3">
        <v>56.985939036381517</v>
      </c>
    </row>
    <row r="284" spans="1:5" x14ac:dyDescent="0.25">
      <c r="A284" s="1" t="s">
        <v>326</v>
      </c>
      <c r="B284" s="1" t="s">
        <v>3</v>
      </c>
      <c r="C284" s="2">
        <v>236.34</v>
      </c>
      <c r="D284" s="2">
        <v>52426.088385000054</v>
      </c>
      <c r="E284" s="3">
        <v>57.193154362416109</v>
      </c>
    </row>
    <row r="285" spans="1:5" x14ac:dyDescent="0.25">
      <c r="A285" s="1" t="s">
        <v>1281</v>
      </c>
      <c r="B285" s="1" t="s">
        <v>226</v>
      </c>
      <c r="C285" s="2">
        <v>10.146000000000001</v>
      </c>
      <c r="D285" s="2">
        <v>52436.234385000054</v>
      </c>
      <c r="E285" s="3">
        <v>57.481349206349208</v>
      </c>
    </row>
    <row r="286" spans="1:5" x14ac:dyDescent="0.25">
      <c r="A286" s="1" t="s">
        <v>1857</v>
      </c>
      <c r="B286" s="1" t="s">
        <v>3</v>
      </c>
      <c r="C286" s="2">
        <v>590.46</v>
      </c>
      <c r="D286" s="2">
        <v>53026.694385000053</v>
      </c>
      <c r="E286" s="3">
        <v>58.341643835616438</v>
      </c>
    </row>
    <row r="287" spans="1:5" x14ac:dyDescent="0.25">
      <c r="A287" s="1" t="s">
        <v>1146</v>
      </c>
      <c r="B287" s="1" t="s">
        <v>226</v>
      </c>
      <c r="C287" s="2">
        <v>7.7429999999999994</v>
      </c>
      <c r="D287" s="2">
        <v>53034.437385000056</v>
      </c>
      <c r="E287" s="3">
        <v>58.499191919191922</v>
      </c>
    </row>
    <row r="288" spans="1:5" x14ac:dyDescent="0.25">
      <c r="A288" s="1" t="s">
        <v>1533</v>
      </c>
      <c r="B288" s="1" t="s">
        <v>3</v>
      </c>
      <c r="C288" s="2">
        <v>61.620000000000005</v>
      </c>
      <c r="D288" s="2">
        <v>53096.057385000058</v>
      </c>
      <c r="E288" s="3">
        <v>59.53832167832168</v>
      </c>
    </row>
    <row r="289" spans="1:5" x14ac:dyDescent="0.25">
      <c r="A289" s="1" t="s">
        <v>1085</v>
      </c>
      <c r="B289" s="1" t="s">
        <v>3</v>
      </c>
      <c r="C289" s="2">
        <v>85.8</v>
      </c>
      <c r="D289" s="2">
        <v>53181.857385000061</v>
      </c>
      <c r="E289" s="3">
        <v>60.364397163120572</v>
      </c>
    </row>
    <row r="290" spans="1:5" x14ac:dyDescent="0.25">
      <c r="A290" s="1" t="s">
        <v>1716</v>
      </c>
      <c r="B290" s="1" t="s">
        <v>3</v>
      </c>
      <c r="C290" s="2">
        <v>19.336200000000002</v>
      </c>
      <c r="D290" s="2">
        <v>53201.193585000059</v>
      </c>
      <c r="E290" s="3">
        <v>60.786285714285711</v>
      </c>
    </row>
    <row r="291" spans="1:5" x14ac:dyDescent="0.25">
      <c r="A291" s="1" t="s">
        <v>197</v>
      </c>
      <c r="B291" s="1" t="s">
        <v>3</v>
      </c>
      <c r="C291" s="2">
        <v>96.72</v>
      </c>
      <c r="D291" s="2">
        <v>53297.91358500006</v>
      </c>
      <c r="E291" s="3">
        <v>61.214244604316548</v>
      </c>
    </row>
    <row r="292" spans="1:5" x14ac:dyDescent="0.25">
      <c r="A292" s="1" t="s">
        <v>694</v>
      </c>
      <c r="B292" s="1" t="s">
        <v>3</v>
      </c>
      <c r="C292" s="2">
        <v>269.10000000000002</v>
      </c>
      <c r="D292" s="2">
        <v>53567.013585000059</v>
      </c>
      <c r="E292" s="3">
        <v>61.214244604316548</v>
      </c>
    </row>
    <row r="293" spans="1:5" x14ac:dyDescent="0.25">
      <c r="A293" s="1" t="s">
        <v>697</v>
      </c>
      <c r="B293" s="1" t="s">
        <v>3</v>
      </c>
      <c r="C293" s="2">
        <v>269.10000000000002</v>
      </c>
      <c r="D293" s="2">
        <v>53836.113585000057</v>
      </c>
      <c r="E293" s="3">
        <v>61.648405797101454</v>
      </c>
    </row>
    <row r="294" spans="1:5" x14ac:dyDescent="0.25">
      <c r="A294" s="1" t="s">
        <v>1552</v>
      </c>
      <c r="B294" s="1" t="s">
        <v>226</v>
      </c>
      <c r="C294" s="2">
        <v>8.1879999999999988</v>
      </c>
      <c r="D294" s="2">
        <v>53844.301585000059</v>
      </c>
      <c r="E294" s="3">
        <v>62.809430682312041</v>
      </c>
    </row>
    <row r="295" spans="1:5" x14ac:dyDescent="0.25">
      <c r="A295" s="1" t="s">
        <v>1554</v>
      </c>
      <c r="B295" s="1" t="s">
        <v>226</v>
      </c>
      <c r="C295" s="2">
        <v>3.827</v>
      </c>
      <c r="D295" s="2">
        <v>53848.128585000057</v>
      </c>
      <c r="E295" s="3">
        <v>62.996512641673931</v>
      </c>
    </row>
    <row r="296" spans="1:5" x14ac:dyDescent="0.25">
      <c r="A296" s="1" t="s">
        <v>1527</v>
      </c>
      <c r="B296" s="1" t="s">
        <v>226</v>
      </c>
      <c r="C296" s="2">
        <v>8.7576000000000001</v>
      </c>
      <c r="D296" s="2">
        <v>53856.886185000054</v>
      </c>
      <c r="E296" s="3">
        <v>63.184739833843466</v>
      </c>
    </row>
    <row r="297" spans="1:5" x14ac:dyDescent="0.25">
      <c r="A297" s="1" t="s">
        <v>1549</v>
      </c>
      <c r="B297" s="1" t="s">
        <v>226</v>
      </c>
      <c r="C297" s="2">
        <v>8.7309000000000001</v>
      </c>
      <c r="D297" s="2">
        <v>53865.617085000056</v>
      </c>
      <c r="E297" s="3">
        <v>63.184739833843466</v>
      </c>
    </row>
    <row r="298" spans="1:5" x14ac:dyDescent="0.25">
      <c r="A298" s="1" t="s">
        <v>1054</v>
      </c>
      <c r="B298" s="1" t="s">
        <v>226</v>
      </c>
      <c r="C298" s="2">
        <v>20.737000000000002</v>
      </c>
      <c r="D298" s="2">
        <v>53886.354085000057</v>
      </c>
      <c r="E298" s="3">
        <v>63.374122807017542</v>
      </c>
    </row>
    <row r="299" spans="1:5" x14ac:dyDescent="0.25">
      <c r="A299" s="1" t="s">
        <v>1123</v>
      </c>
      <c r="B299" s="1" t="s">
        <v>226</v>
      </c>
      <c r="C299" s="2">
        <v>32.04</v>
      </c>
      <c r="D299" s="2">
        <v>53918.394085000058</v>
      </c>
      <c r="E299" s="3">
        <v>63.374122807017542</v>
      </c>
    </row>
    <row r="300" spans="1:5" x14ac:dyDescent="0.25">
      <c r="A300" s="1" t="s">
        <v>1959</v>
      </c>
      <c r="B300" s="1" t="s">
        <v>226</v>
      </c>
      <c r="C300" s="2">
        <v>11.481</v>
      </c>
      <c r="D300" s="2">
        <v>53929.875085000058</v>
      </c>
      <c r="E300" s="3">
        <v>63.374122807017542</v>
      </c>
    </row>
    <row r="301" spans="1:5" x14ac:dyDescent="0.25">
      <c r="A301" s="1" t="s">
        <v>338</v>
      </c>
      <c r="B301" s="1" t="s">
        <v>226</v>
      </c>
      <c r="C301" s="2">
        <v>15.219000000000001</v>
      </c>
      <c r="D301" s="2">
        <v>53945.094085000055</v>
      </c>
      <c r="E301" s="3">
        <v>63.374122807017542</v>
      </c>
    </row>
    <row r="302" spans="1:5" x14ac:dyDescent="0.25">
      <c r="A302" s="1" t="s">
        <v>826</v>
      </c>
      <c r="B302" s="1" t="s">
        <v>226</v>
      </c>
      <c r="C302" s="2">
        <v>26.878</v>
      </c>
      <c r="D302" s="2">
        <v>53971.972085000052</v>
      </c>
      <c r="E302" s="3">
        <v>63.374122807017542</v>
      </c>
    </row>
    <row r="303" spans="1:5" x14ac:dyDescent="0.25">
      <c r="A303" s="1" t="s">
        <v>444</v>
      </c>
      <c r="B303" s="1" t="s">
        <v>226</v>
      </c>
      <c r="C303" s="2">
        <v>10.234999999999999</v>
      </c>
      <c r="D303" s="2">
        <v>53982.207085000053</v>
      </c>
      <c r="E303" s="3">
        <v>63.374122807017542</v>
      </c>
    </row>
    <row r="304" spans="1:5" x14ac:dyDescent="0.25">
      <c r="A304" s="1" t="s">
        <v>397</v>
      </c>
      <c r="B304" s="1" t="s">
        <v>226</v>
      </c>
      <c r="C304" s="2">
        <v>15.397</v>
      </c>
      <c r="D304" s="2">
        <v>53997.60408500005</v>
      </c>
      <c r="E304" s="3">
        <v>63.374122807017542</v>
      </c>
    </row>
    <row r="305" spans="1:5" x14ac:dyDescent="0.25">
      <c r="A305" s="1" t="s">
        <v>402</v>
      </c>
      <c r="B305" s="1" t="s">
        <v>226</v>
      </c>
      <c r="C305" s="2">
        <v>19.624500000000001</v>
      </c>
      <c r="D305" s="2">
        <v>54017.228585000048</v>
      </c>
      <c r="E305" s="3">
        <v>63.374122807017542</v>
      </c>
    </row>
    <row r="306" spans="1:5" x14ac:dyDescent="0.25">
      <c r="A306" s="1" t="s">
        <v>1974</v>
      </c>
      <c r="B306" s="1" t="s">
        <v>226</v>
      </c>
      <c r="C306" s="2">
        <v>8.9</v>
      </c>
      <c r="D306" s="2">
        <v>54026.128585000049</v>
      </c>
      <c r="E306" s="3">
        <v>63.374122807017542</v>
      </c>
    </row>
    <row r="307" spans="1:5" x14ac:dyDescent="0.25">
      <c r="A307" s="1" t="s">
        <v>1977</v>
      </c>
      <c r="B307" s="1" t="s">
        <v>226</v>
      </c>
      <c r="C307" s="2">
        <v>15.664000000000001</v>
      </c>
      <c r="D307" s="2">
        <v>54041.792585000047</v>
      </c>
      <c r="E307" s="3">
        <v>63.374122807017542</v>
      </c>
    </row>
    <row r="308" spans="1:5" x14ac:dyDescent="0.25">
      <c r="A308" s="1" t="s">
        <v>998</v>
      </c>
      <c r="B308" s="1" t="s">
        <v>226</v>
      </c>
      <c r="C308" s="2">
        <v>130.38499999999999</v>
      </c>
      <c r="D308" s="2">
        <v>54172.177585000049</v>
      </c>
      <c r="E308" s="3">
        <v>63.578327832783273</v>
      </c>
    </row>
    <row r="309" spans="1:5" x14ac:dyDescent="0.25">
      <c r="A309" s="1" t="s">
        <v>476</v>
      </c>
      <c r="B309" s="1" t="s">
        <v>226</v>
      </c>
      <c r="C309" s="2">
        <v>269.67</v>
      </c>
      <c r="D309" s="2">
        <v>54441.847585000047</v>
      </c>
      <c r="E309" s="3">
        <v>64.199111111111108</v>
      </c>
    </row>
    <row r="310" spans="1:5" x14ac:dyDescent="0.25">
      <c r="A310" s="1" t="s">
        <v>481</v>
      </c>
      <c r="B310" s="1" t="s">
        <v>226</v>
      </c>
      <c r="C310" s="2">
        <v>269.67</v>
      </c>
      <c r="D310" s="2">
        <v>54711.517585000045</v>
      </c>
      <c r="E310" s="3">
        <v>64.199111111111108</v>
      </c>
    </row>
    <row r="311" spans="1:5" x14ac:dyDescent="0.25">
      <c r="A311" s="1" t="s">
        <v>1210</v>
      </c>
      <c r="B311" s="1" t="s">
        <v>226</v>
      </c>
      <c r="C311" s="2">
        <v>77.875</v>
      </c>
      <c r="D311" s="2">
        <v>54789.392585000045</v>
      </c>
      <c r="E311" s="3">
        <v>64.199111111111108</v>
      </c>
    </row>
    <row r="312" spans="1:5" x14ac:dyDescent="0.25">
      <c r="A312" s="1" t="s">
        <v>1312</v>
      </c>
      <c r="B312" s="1" t="s">
        <v>226</v>
      </c>
      <c r="C312" s="2">
        <v>70.933000000000007</v>
      </c>
      <c r="D312" s="2">
        <v>54860.325585000042</v>
      </c>
      <c r="E312" s="3">
        <v>64.199111111111108</v>
      </c>
    </row>
    <row r="313" spans="1:5" x14ac:dyDescent="0.25">
      <c r="A313" s="1" t="s">
        <v>1316</v>
      </c>
      <c r="B313" s="1" t="s">
        <v>226</v>
      </c>
      <c r="C313" s="2">
        <v>87.131</v>
      </c>
      <c r="D313" s="2">
        <v>54947.456585000044</v>
      </c>
      <c r="E313" s="3">
        <v>64.199111111111108</v>
      </c>
    </row>
    <row r="314" spans="1:5" x14ac:dyDescent="0.25">
      <c r="A314" s="1" t="s">
        <v>1318</v>
      </c>
      <c r="B314" s="1" t="s">
        <v>226</v>
      </c>
      <c r="C314" s="2">
        <v>87.131</v>
      </c>
      <c r="D314" s="2">
        <v>55034.587585000045</v>
      </c>
      <c r="E314" s="3">
        <v>64.199111111111108</v>
      </c>
    </row>
    <row r="315" spans="1:5" x14ac:dyDescent="0.25">
      <c r="A315" s="1" t="s">
        <v>1478</v>
      </c>
      <c r="B315" s="1" t="s">
        <v>226</v>
      </c>
      <c r="C315" s="2">
        <v>36.668000000000006</v>
      </c>
      <c r="D315" s="2">
        <v>55071.255585000043</v>
      </c>
      <c r="E315" s="3">
        <v>64.199111111111108</v>
      </c>
    </row>
    <row r="316" spans="1:5" x14ac:dyDescent="0.25">
      <c r="A316" s="1" t="s">
        <v>1160</v>
      </c>
      <c r="B316" s="1" t="s">
        <v>3</v>
      </c>
      <c r="C316" s="2">
        <v>80.34</v>
      </c>
      <c r="D316" s="2">
        <v>55151.595585000039</v>
      </c>
      <c r="E316" s="3">
        <v>64.391515151515151</v>
      </c>
    </row>
    <row r="317" spans="1:5" x14ac:dyDescent="0.25">
      <c r="A317" s="1" t="s">
        <v>106</v>
      </c>
      <c r="B317" s="1" t="s">
        <v>226</v>
      </c>
      <c r="C317" s="2">
        <v>9.5229999999999997</v>
      </c>
      <c r="D317" s="2">
        <v>55161.11858500004</v>
      </c>
      <c r="E317" s="3">
        <v>65.333936651583713</v>
      </c>
    </row>
    <row r="318" spans="1:5" x14ac:dyDescent="0.25">
      <c r="A318" s="1" t="s">
        <v>1310</v>
      </c>
      <c r="B318" s="1" t="s">
        <v>226</v>
      </c>
      <c r="C318" s="2">
        <v>30.170999999999999</v>
      </c>
      <c r="D318" s="2">
        <v>55191.289585000042</v>
      </c>
      <c r="E318" s="3">
        <v>65.333936651583713</v>
      </c>
    </row>
    <row r="319" spans="1:5" x14ac:dyDescent="0.25">
      <c r="A319" s="1" t="s">
        <v>1072</v>
      </c>
      <c r="B319" s="1" t="s">
        <v>226</v>
      </c>
      <c r="C319" s="2">
        <v>12.46</v>
      </c>
      <c r="D319" s="2">
        <v>55203.749585000041</v>
      </c>
      <c r="E319" s="3">
        <v>65.536768043576942</v>
      </c>
    </row>
    <row r="320" spans="1:5" x14ac:dyDescent="0.25">
      <c r="A320" s="1" t="s">
        <v>906</v>
      </c>
      <c r="B320" s="1" t="s">
        <v>2</v>
      </c>
      <c r="C320" s="2">
        <v>85.26</v>
      </c>
      <c r="D320" s="2">
        <v>55289.009585000043</v>
      </c>
      <c r="E320" s="3">
        <v>66.632270916334662</v>
      </c>
    </row>
    <row r="321" spans="1:5" x14ac:dyDescent="0.25">
      <c r="A321" s="1" t="s">
        <v>1381</v>
      </c>
      <c r="B321" s="1" t="s">
        <v>226</v>
      </c>
      <c r="C321" s="2">
        <v>391.6</v>
      </c>
      <c r="D321" s="2">
        <v>55680.609585000042</v>
      </c>
      <c r="E321" s="3">
        <v>66.811574074074073</v>
      </c>
    </row>
    <row r="322" spans="1:5" x14ac:dyDescent="0.25">
      <c r="A322" s="1" t="s">
        <v>1079</v>
      </c>
      <c r="B322" s="1" t="s">
        <v>3</v>
      </c>
      <c r="C322" s="2">
        <v>20.28</v>
      </c>
      <c r="D322" s="2">
        <v>55700.889585000041</v>
      </c>
      <c r="E322" s="3">
        <v>66.875433070866151</v>
      </c>
    </row>
    <row r="323" spans="1:5" x14ac:dyDescent="0.25">
      <c r="A323" s="1" t="s">
        <v>986</v>
      </c>
      <c r="B323" s="1" t="s">
        <v>226</v>
      </c>
      <c r="C323" s="2">
        <v>11.747999999999999</v>
      </c>
      <c r="D323" s="2">
        <v>55712.63758500004</v>
      </c>
      <c r="E323" s="3">
        <v>67.421962616822427</v>
      </c>
    </row>
    <row r="324" spans="1:5" x14ac:dyDescent="0.25">
      <c r="A324" s="1" t="s">
        <v>1164</v>
      </c>
      <c r="B324" s="1" t="s">
        <v>226</v>
      </c>
      <c r="C324" s="2">
        <v>103.24</v>
      </c>
      <c r="D324" s="2">
        <v>55815.877585000038</v>
      </c>
      <c r="E324" s="3">
        <v>68.201182033096927</v>
      </c>
    </row>
    <row r="325" spans="1:5" x14ac:dyDescent="0.25">
      <c r="A325" s="1" t="s">
        <v>1172</v>
      </c>
      <c r="B325" s="1" t="s">
        <v>226</v>
      </c>
      <c r="C325" s="2">
        <v>319.51</v>
      </c>
      <c r="D325" s="2">
        <v>56135.38758500004</v>
      </c>
      <c r="E325" s="3">
        <v>68.201182033096927</v>
      </c>
    </row>
    <row r="326" spans="1:5" x14ac:dyDescent="0.25">
      <c r="A326" s="1" t="s">
        <v>1670</v>
      </c>
      <c r="B326" s="1" t="s">
        <v>96</v>
      </c>
      <c r="C326" s="2">
        <v>17.355</v>
      </c>
      <c r="D326" s="2">
        <v>56152.742585000044</v>
      </c>
      <c r="E326" s="3">
        <v>68.758405379442848</v>
      </c>
    </row>
    <row r="327" spans="1:5" x14ac:dyDescent="0.25">
      <c r="A327" s="1" t="s">
        <v>1168</v>
      </c>
      <c r="B327" s="1" t="s">
        <v>226</v>
      </c>
      <c r="C327" s="2">
        <v>103.24</v>
      </c>
      <c r="D327" s="2">
        <v>56255.982585000042</v>
      </c>
      <c r="E327" s="3">
        <v>68.918399044205501</v>
      </c>
    </row>
    <row r="328" spans="1:5" x14ac:dyDescent="0.25">
      <c r="A328" s="1" t="s">
        <v>1170</v>
      </c>
      <c r="B328" s="1" t="s">
        <v>226</v>
      </c>
      <c r="C328" s="2">
        <v>319.51</v>
      </c>
      <c r="D328" s="2">
        <v>56575.492585000044</v>
      </c>
      <c r="E328" s="3">
        <v>68.918399044205501</v>
      </c>
    </row>
    <row r="329" spans="1:5" x14ac:dyDescent="0.25">
      <c r="A329" s="1" t="s">
        <v>1379</v>
      </c>
      <c r="B329" s="1" t="s">
        <v>226</v>
      </c>
      <c r="C329" s="2">
        <v>340.87</v>
      </c>
      <c r="D329" s="2">
        <v>56916.362585000046</v>
      </c>
      <c r="E329" s="3">
        <v>68.918399044205501</v>
      </c>
    </row>
    <row r="330" spans="1:5" x14ac:dyDescent="0.25">
      <c r="A330" s="1" t="s">
        <v>1829</v>
      </c>
      <c r="B330" s="1" t="s">
        <v>226</v>
      </c>
      <c r="C330" s="2">
        <v>48.95</v>
      </c>
      <c r="D330" s="2">
        <v>56965.312585000043</v>
      </c>
      <c r="E330" s="3">
        <v>68.918399044205501</v>
      </c>
    </row>
    <row r="331" spans="1:5" x14ac:dyDescent="0.25">
      <c r="A331" s="1" t="s">
        <v>1831</v>
      </c>
      <c r="B331" s="1" t="s">
        <v>226</v>
      </c>
      <c r="C331" s="2">
        <v>48.95</v>
      </c>
      <c r="D331" s="2">
        <v>57014.26258500004</v>
      </c>
      <c r="E331" s="3">
        <v>68.918399044205501</v>
      </c>
    </row>
    <row r="332" spans="1:5" x14ac:dyDescent="0.25">
      <c r="A332" s="1" t="s">
        <v>1833</v>
      </c>
      <c r="B332" s="1" t="s">
        <v>226</v>
      </c>
      <c r="C332" s="2">
        <v>315.95</v>
      </c>
      <c r="D332" s="2">
        <v>57330.212585000038</v>
      </c>
      <c r="E332" s="3">
        <v>68.918399044205501</v>
      </c>
    </row>
    <row r="333" spans="1:5" x14ac:dyDescent="0.25">
      <c r="A333" s="1" t="s">
        <v>920</v>
      </c>
      <c r="B333" s="1" t="s">
        <v>96</v>
      </c>
      <c r="C333" s="2">
        <v>85.885000000000005</v>
      </c>
      <c r="D333" s="2">
        <v>57416.09758500004</v>
      </c>
      <c r="E333" s="3">
        <v>69.615272373540847</v>
      </c>
    </row>
    <row r="334" spans="1:5" x14ac:dyDescent="0.25">
      <c r="A334" s="1" t="s">
        <v>1682</v>
      </c>
      <c r="B334" s="1" t="s">
        <v>96</v>
      </c>
      <c r="C334" s="2">
        <v>27.340799999999998</v>
      </c>
      <c r="D334" s="2">
        <v>57443.438385000038</v>
      </c>
      <c r="E334" s="3">
        <v>69.615272373540847</v>
      </c>
    </row>
    <row r="335" spans="1:5" x14ac:dyDescent="0.25">
      <c r="A335" s="1" t="s">
        <v>433</v>
      </c>
      <c r="B335" s="1" t="s">
        <v>226</v>
      </c>
      <c r="C335" s="2">
        <v>14.24</v>
      </c>
      <c r="D335" s="2">
        <v>57457.678385000036</v>
      </c>
      <c r="E335" s="3">
        <v>69.651207729468595</v>
      </c>
    </row>
    <row r="336" spans="1:5" x14ac:dyDescent="0.25">
      <c r="A336" s="1" t="s">
        <v>281</v>
      </c>
      <c r="B336" s="1" t="s">
        <v>226</v>
      </c>
      <c r="C336" s="2">
        <v>17.8</v>
      </c>
      <c r="D336" s="2">
        <v>57475.478385000039</v>
      </c>
      <c r="E336" s="3">
        <v>70.400122100122104</v>
      </c>
    </row>
    <row r="337" spans="1:5" x14ac:dyDescent="0.25">
      <c r="A337" s="1" t="s">
        <v>1916</v>
      </c>
      <c r="B337" s="1" t="s">
        <v>226</v>
      </c>
      <c r="C337" s="2">
        <v>20.47</v>
      </c>
      <c r="D337" s="2">
        <v>57495.94838500004</v>
      </c>
      <c r="E337" s="3">
        <v>70.400122100122104</v>
      </c>
    </row>
    <row r="338" spans="1:5" x14ac:dyDescent="0.25">
      <c r="A338" s="1" t="s">
        <v>657</v>
      </c>
      <c r="B338" s="1" t="s">
        <v>226</v>
      </c>
      <c r="C338" s="2">
        <v>34.443000000000005</v>
      </c>
      <c r="D338" s="2">
        <v>57530.391385000039</v>
      </c>
      <c r="E338" s="3">
        <v>71.20009881422925</v>
      </c>
    </row>
    <row r="339" spans="1:5" x14ac:dyDescent="0.25">
      <c r="A339" s="1" t="s">
        <v>1970</v>
      </c>
      <c r="B339" s="1" t="s">
        <v>226</v>
      </c>
      <c r="C339" s="2">
        <v>25.944389999999999</v>
      </c>
      <c r="D339" s="2">
        <v>57556.335775000036</v>
      </c>
      <c r="E339" s="3">
        <v>71.20009881422925</v>
      </c>
    </row>
    <row r="340" spans="1:5" x14ac:dyDescent="0.25">
      <c r="A340" s="1" t="s">
        <v>169</v>
      </c>
      <c r="B340" s="1" t="s">
        <v>226</v>
      </c>
      <c r="C340" s="2">
        <v>145.96</v>
      </c>
      <c r="D340" s="2">
        <v>57702.295775000035</v>
      </c>
      <c r="E340" s="3">
        <v>71.390017339608619</v>
      </c>
    </row>
    <row r="341" spans="1:5" x14ac:dyDescent="0.25">
      <c r="A341" s="1" t="s">
        <v>721</v>
      </c>
      <c r="B341" s="1" t="s">
        <v>226</v>
      </c>
      <c r="C341" s="2">
        <v>26.7</v>
      </c>
      <c r="D341" s="2">
        <v>57728.995775000032</v>
      </c>
      <c r="E341" s="3">
        <v>71.390017339608619</v>
      </c>
    </row>
    <row r="342" spans="1:5" x14ac:dyDescent="0.25">
      <c r="A342" s="1" t="s">
        <v>1100</v>
      </c>
      <c r="B342" s="1" t="s">
        <v>226</v>
      </c>
      <c r="C342" s="2">
        <v>9.0779999999999994</v>
      </c>
      <c r="D342" s="2">
        <v>57738.073775000033</v>
      </c>
      <c r="E342" s="3">
        <v>71.390017339608619</v>
      </c>
    </row>
    <row r="343" spans="1:5" x14ac:dyDescent="0.25">
      <c r="A343" s="1" t="s">
        <v>422</v>
      </c>
      <c r="B343" s="1" t="s">
        <v>226</v>
      </c>
      <c r="C343" s="2">
        <v>14.24</v>
      </c>
      <c r="D343" s="2">
        <v>57752.313775000031</v>
      </c>
      <c r="E343" s="3">
        <v>71.390017339608619</v>
      </c>
    </row>
    <row r="344" spans="1:5" x14ac:dyDescent="0.25">
      <c r="A344" s="1" t="s">
        <v>1267</v>
      </c>
      <c r="B344" s="1" t="s">
        <v>226</v>
      </c>
      <c r="C344" s="2">
        <v>54.0764</v>
      </c>
      <c r="D344" s="2">
        <v>57806.39017500003</v>
      </c>
      <c r="E344" s="3">
        <v>71.580973671137599</v>
      </c>
    </row>
    <row r="345" spans="1:5" x14ac:dyDescent="0.25">
      <c r="A345" s="1" t="s">
        <v>1021</v>
      </c>
      <c r="B345" s="1" t="s">
        <v>226</v>
      </c>
      <c r="C345" s="2">
        <v>409.31099999999998</v>
      </c>
      <c r="D345" s="2">
        <v>58215.701175000031</v>
      </c>
      <c r="E345" s="3">
        <v>71.580973671137599</v>
      </c>
    </row>
    <row r="346" spans="1:5" x14ac:dyDescent="0.25">
      <c r="A346" s="1" t="s">
        <v>1599</v>
      </c>
      <c r="B346" s="1" t="s">
        <v>226</v>
      </c>
      <c r="C346" s="2">
        <v>19.580000000000002</v>
      </c>
      <c r="D346" s="2">
        <v>58235.281175000033</v>
      </c>
      <c r="E346" s="3">
        <v>71.580973671137599</v>
      </c>
    </row>
    <row r="347" spans="1:5" x14ac:dyDescent="0.25">
      <c r="A347" s="1" t="s">
        <v>1521</v>
      </c>
      <c r="B347" s="1" t="s">
        <v>226</v>
      </c>
      <c r="C347" s="2">
        <v>2.3584999999999998</v>
      </c>
      <c r="D347" s="2">
        <v>58237.639675000035</v>
      </c>
      <c r="E347" s="3">
        <v>71.580973671137599</v>
      </c>
    </row>
    <row r="348" spans="1:5" x14ac:dyDescent="0.25">
      <c r="A348" s="1" t="s">
        <v>1968</v>
      </c>
      <c r="B348" s="1" t="s">
        <v>226</v>
      </c>
      <c r="C348" s="2">
        <v>25.81</v>
      </c>
      <c r="D348" s="2">
        <v>58263.449675000033</v>
      </c>
      <c r="E348" s="3">
        <v>71.580973671137599</v>
      </c>
    </row>
    <row r="349" spans="1:5" x14ac:dyDescent="0.25">
      <c r="A349" s="1" t="s">
        <v>1618</v>
      </c>
      <c r="B349" s="1" t="s">
        <v>226</v>
      </c>
      <c r="C349" s="2">
        <v>67.64</v>
      </c>
      <c r="D349" s="2">
        <v>58331.089675000032</v>
      </c>
      <c r="E349" s="3">
        <v>71.966033966033962</v>
      </c>
    </row>
    <row r="350" spans="1:5" x14ac:dyDescent="0.25">
      <c r="A350" s="1" t="s">
        <v>848</v>
      </c>
      <c r="B350" s="1" t="s">
        <v>226</v>
      </c>
      <c r="C350" s="2">
        <v>16.820999999999998</v>
      </c>
      <c r="D350" s="2">
        <v>58347.910675000036</v>
      </c>
      <c r="E350" s="3">
        <v>71.966033966033962</v>
      </c>
    </row>
    <row r="351" spans="1:5" x14ac:dyDescent="0.25">
      <c r="A351" s="1" t="s">
        <v>1874</v>
      </c>
      <c r="B351" s="1" t="s">
        <v>226</v>
      </c>
      <c r="C351" s="2">
        <v>9.2560000000000002</v>
      </c>
      <c r="D351" s="2">
        <v>58357.166675000037</v>
      </c>
      <c r="E351" s="3">
        <v>71.966033966033962</v>
      </c>
    </row>
    <row r="352" spans="1:5" x14ac:dyDescent="0.25">
      <c r="A352" s="1" t="s">
        <v>1332</v>
      </c>
      <c r="B352" s="1" t="s">
        <v>226</v>
      </c>
      <c r="C352" s="2">
        <v>14.952000000000002</v>
      </c>
      <c r="D352" s="2">
        <v>58372.118675000034</v>
      </c>
      <c r="E352" s="3">
        <v>71.966033966033962</v>
      </c>
    </row>
    <row r="353" spans="1:5" x14ac:dyDescent="0.25">
      <c r="A353" s="1" t="s">
        <v>1603</v>
      </c>
      <c r="B353" s="1" t="s">
        <v>226</v>
      </c>
      <c r="C353" s="2">
        <v>84.105000000000004</v>
      </c>
      <c r="D353" s="2">
        <v>58456.223675000037</v>
      </c>
      <c r="E353" s="3">
        <v>72.03649999999999</v>
      </c>
    </row>
    <row r="354" spans="1:5" x14ac:dyDescent="0.25">
      <c r="A354" s="1" t="s">
        <v>67</v>
      </c>
      <c r="B354" s="1" t="s">
        <v>226</v>
      </c>
      <c r="C354" s="2">
        <v>24.875499999999999</v>
      </c>
      <c r="D354" s="2">
        <v>58481.099175000039</v>
      </c>
      <c r="E354" s="3">
        <v>72.03649999999999</v>
      </c>
    </row>
    <row r="355" spans="1:5" x14ac:dyDescent="0.25">
      <c r="A355" s="1" t="s">
        <v>893</v>
      </c>
      <c r="B355" s="1" t="s">
        <v>226</v>
      </c>
      <c r="C355" s="2">
        <v>17.355</v>
      </c>
      <c r="D355" s="2">
        <v>58498.454175000043</v>
      </c>
      <c r="E355" s="3">
        <v>72.03649999999999</v>
      </c>
    </row>
    <row r="356" spans="1:5" x14ac:dyDescent="0.25">
      <c r="A356" s="1" t="s">
        <v>243</v>
      </c>
      <c r="B356" s="1" t="s">
        <v>226</v>
      </c>
      <c r="C356" s="2">
        <v>39.160000000000004</v>
      </c>
      <c r="D356" s="2">
        <v>58537.614175000046</v>
      </c>
      <c r="E356" s="3">
        <v>72.160155271725515</v>
      </c>
    </row>
    <row r="357" spans="1:5" x14ac:dyDescent="0.25">
      <c r="A357" s="1" t="s">
        <v>264</v>
      </c>
      <c r="B357" s="1" t="s">
        <v>226</v>
      </c>
      <c r="C357" s="2">
        <v>84.55</v>
      </c>
      <c r="D357" s="2">
        <v>58622.164175000049</v>
      </c>
      <c r="E357" s="3">
        <v>72.160155271725515</v>
      </c>
    </row>
    <row r="358" spans="1:5" x14ac:dyDescent="0.25">
      <c r="A358" s="1" t="s">
        <v>1488</v>
      </c>
      <c r="B358" s="1" t="s">
        <v>226</v>
      </c>
      <c r="C358" s="2">
        <v>31.150000000000002</v>
      </c>
      <c r="D358" s="2">
        <v>58653.31417500005</v>
      </c>
      <c r="E358" s="3">
        <v>72.160155271725515</v>
      </c>
    </row>
    <row r="359" spans="1:5" x14ac:dyDescent="0.25">
      <c r="A359" s="1" t="s">
        <v>1491</v>
      </c>
      <c r="B359" s="1" t="s">
        <v>226</v>
      </c>
      <c r="C359" s="2">
        <v>15.13</v>
      </c>
      <c r="D359" s="2">
        <v>58668.444175000048</v>
      </c>
      <c r="E359" s="3">
        <v>72.160155271725515</v>
      </c>
    </row>
    <row r="360" spans="1:5" x14ac:dyDescent="0.25">
      <c r="A360" s="1" t="s">
        <v>1657</v>
      </c>
      <c r="B360" s="1" t="s">
        <v>226</v>
      </c>
      <c r="C360" s="2">
        <v>84.55</v>
      </c>
      <c r="D360" s="2">
        <v>58752.994175000051</v>
      </c>
      <c r="E360" s="3">
        <v>72.160155271725515</v>
      </c>
    </row>
    <row r="361" spans="1:5" x14ac:dyDescent="0.25">
      <c r="A361" s="1" t="s">
        <v>1867</v>
      </c>
      <c r="B361" s="1" t="s">
        <v>226</v>
      </c>
      <c r="C361" s="2">
        <v>11.605599999999999</v>
      </c>
      <c r="D361" s="2">
        <v>58764.599775000053</v>
      </c>
      <c r="E361" s="3">
        <v>72.160155271725515</v>
      </c>
    </row>
    <row r="362" spans="1:5" x14ac:dyDescent="0.25">
      <c r="A362" s="1" t="s">
        <v>1182</v>
      </c>
      <c r="B362" s="1" t="s">
        <v>226</v>
      </c>
      <c r="C362" s="2">
        <v>33.82</v>
      </c>
      <c r="D362" s="2">
        <v>58798.419775000053</v>
      </c>
      <c r="E362" s="3">
        <v>72.160155271725515</v>
      </c>
    </row>
    <row r="363" spans="1:5" x14ac:dyDescent="0.25">
      <c r="A363" s="1" t="s">
        <v>671</v>
      </c>
      <c r="B363" s="1" t="s">
        <v>226</v>
      </c>
      <c r="C363" s="2">
        <v>11.910869999999999</v>
      </c>
      <c r="D363" s="2">
        <v>58810.330645000053</v>
      </c>
      <c r="E363" s="3">
        <v>72.160155271725515</v>
      </c>
    </row>
    <row r="364" spans="1:5" x14ac:dyDescent="0.25">
      <c r="A364" s="1" t="s">
        <v>551</v>
      </c>
      <c r="B364" s="1" t="s">
        <v>96</v>
      </c>
      <c r="C364" s="2">
        <v>285.69</v>
      </c>
      <c r="D364" s="2">
        <v>59096.020645000055</v>
      </c>
      <c r="E364" s="3">
        <v>72.321031344792715</v>
      </c>
    </row>
    <row r="365" spans="1:5" x14ac:dyDescent="0.25">
      <c r="A365" s="1" t="s">
        <v>610</v>
      </c>
      <c r="B365" s="1" t="s">
        <v>96</v>
      </c>
      <c r="C365" s="2">
        <v>178</v>
      </c>
      <c r="D365" s="2">
        <v>59274.020645000055</v>
      </c>
      <c r="E365" s="3">
        <v>72.321031344792715</v>
      </c>
    </row>
    <row r="366" spans="1:5" x14ac:dyDescent="0.25">
      <c r="A366" s="1" t="s">
        <v>612</v>
      </c>
      <c r="B366" s="1" t="s">
        <v>96</v>
      </c>
      <c r="C366" s="2">
        <v>178</v>
      </c>
      <c r="D366" s="2">
        <v>59452.020645000055</v>
      </c>
      <c r="E366" s="3">
        <v>72.321031344792715</v>
      </c>
    </row>
    <row r="367" spans="1:5" x14ac:dyDescent="0.25">
      <c r="A367" s="1" t="s">
        <v>1588</v>
      </c>
      <c r="B367" s="1" t="s">
        <v>226</v>
      </c>
      <c r="C367" s="2">
        <v>34.362900000000003</v>
      </c>
      <c r="D367" s="2">
        <v>59486.383545000055</v>
      </c>
      <c r="E367" s="3">
        <v>72.355349070818676</v>
      </c>
    </row>
    <row r="368" spans="1:5" x14ac:dyDescent="0.25">
      <c r="A368" s="1" t="s">
        <v>684</v>
      </c>
      <c r="B368" s="1" t="s">
        <v>226</v>
      </c>
      <c r="C368" s="2">
        <v>23.318000000000001</v>
      </c>
      <c r="D368" s="2">
        <v>59509.701545000054</v>
      </c>
      <c r="E368" s="3">
        <v>72.355349070818676</v>
      </c>
    </row>
    <row r="369" spans="1:5" x14ac:dyDescent="0.25">
      <c r="A369" s="1" t="s">
        <v>511</v>
      </c>
      <c r="B369" s="1" t="s">
        <v>226</v>
      </c>
      <c r="C369" s="2">
        <v>18.779</v>
      </c>
      <c r="D369" s="2">
        <v>59528.480545000057</v>
      </c>
      <c r="E369" s="3">
        <v>72.355349070818676</v>
      </c>
    </row>
    <row r="370" spans="1:5" x14ac:dyDescent="0.25">
      <c r="A370" s="1" t="s">
        <v>1518</v>
      </c>
      <c r="B370" s="1" t="s">
        <v>226</v>
      </c>
      <c r="C370" s="2">
        <v>9.4339999999999993</v>
      </c>
      <c r="D370" s="2">
        <v>59537.914545000058</v>
      </c>
      <c r="E370" s="3">
        <v>72.355349070818676</v>
      </c>
    </row>
    <row r="371" spans="1:5" x14ac:dyDescent="0.25">
      <c r="A371" s="1" t="s">
        <v>1076</v>
      </c>
      <c r="B371" s="1" t="s">
        <v>226</v>
      </c>
      <c r="C371" s="2">
        <v>11.214</v>
      </c>
      <c r="D371" s="2">
        <v>59549.128545000058</v>
      </c>
      <c r="E371" s="3">
        <v>72.551624276001007</v>
      </c>
    </row>
    <row r="372" spans="1:5" x14ac:dyDescent="0.25">
      <c r="A372" s="1" t="s">
        <v>547</v>
      </c>
      <c r="B372" s="1" t="s">
        <v>226</v>
      </c>
      <c r="C372" s="2">
        <v>49.84</v>
      </c>
      <c r="D372" s="2">
        <v>59598.968545000054</v>
      </c>
      <c r="E372" s="3">
        <v>72.74898989898989</v>
      </c>
    </row>
    <row r="373" spans="1:5" x14ac:dyDescent="0.25">
      <c r="A373" s="1" t="s">
        <v>1609</v>
      </c>
      <c r="B373" s="1" t="s">
        <v>226</v>
      </c>
      <c r="C373" s="2">
        <v>86.33</v>
      </c>
      <c r="D373" s="2">
        <v>59685.298545000056</v>
      </c>
      <c r="E373" s="3">
        <v>72.74898989898989</v>
      </c>
    </row>
    <row r="374" spans="1:5" x14ac:dyDescent="0.25">
      <c r="A374" s="1" t="s">
        <v>1610</v>
      </c>
      <c r="B374" s="1" t="s">
        <v>226</v>
      </c>
      <c r="C374" s="2">
        <v>86.33</v>
      </c>
      <c r="D374" s="2">
        <v>59771.628545000058</v>
      </c>
      <c r="E374" s="3">
        <v>72.74898989898989</v>
      </c>
    </row>
    <row r="375" spans="1:5" x14ac:dyDescent="0.25">
      <c r="A375" s="1" t="s">
        <v>414</v>
      </c>
      <c r="B375" s="1" t="s">
        <v>226</v>
      </c>
      <c r="C375" s="2">
        <v>75.650000000000006</v>
      </c>
      <c r="D375" s="2">
        <v>59847.278545000059</v>
      </c>
      <c r="E375" s="3">
        <v>72.74898989898989</v>
      </c>
    </row>
    <row r="376" spans="1:5" x14ac:dyDescent="0.25">
      <c r="A376" s="1" t="s">
        <v>1018</v>
      </c>
      <c r="B376" s="1" t="s">
        <v>226</v>
      </c>
      <c r="C376" s="2">
        <v>13.795</v>
      </c>
      <c r="D376" s="2">
        <v>59861.073545000057</v>
      </c>
      <c r="E376" s="3">
        <v>72.74898989898989</v>
      </c>
    </row>
    <row r="377" spans="1:5" x14ac:dyDescent="0.25">
      <c r="A377" s="1" t="s">
        <v>1203</v>
      </c>
      <c r="B377" s="1" t="s">
        <v>226</v>
      </c>
      <c r="C377" s="2">
        <v>11.125</v>
      </c>
      <c r="D377" s="2">
        <v>59872.198545000057</v>
      </c>
      <c r="E377" s="3">
        <v>73.147028948704929</v>
      </c>
    </row>
    <row r="378" spans="1:5" x14ac:dyDescent="0.25">
      <c r="A378" s="1" t="s">
        <v>94</v>
      </c>
      <c r="B378" s="1" t="s">
        <v>96</v>
      </c>
      <c r="C378" s="2">
        <v>27.323</v>
      </c>
      <c r="D378" s="2">
        <v>59899.521545000054</v>
      </c>
      <c r="E378" s="3">
        <v>73.271004098360649</v>
      </c>
    </row>
    <row r="379" spans="1:5" x14ac:dyDescent="0.25">
      <c r="A379" s="1" t="s">
        <v>556</v>
      </c>
      <c r="B379" s="1" t="s">
        <v>226</v>
      </c>
      <c r="C379" s="2">
        <v>50.730000000000004</v>
      </c>
      <c r="D379" s="2">
        <v>59950.251545000057</v>
      </c>
      <c r="E379" s="3">
        <v>73.347720906544438</v>
      </c>
    </row>
    <row r="380" spans="1:5" x14ac:dyDescent="0.25">
      <c r="A380" s="1" t="s">
        <v>1895</v>
      </c>
      <c r="B380" s="1" t="s">
        <v>226</v>
      </c>
      <c r="C380" s="2">
        <v>52.51</v>
      </c>
      <c r="D380" s="2">
        <v>60002.761545000059</v>
      </c>
      <c r="E380" s="3">
        <v>73.347720906544438</v>
      </c>
    </row>
    <row r="381" spans="1:5" x14ac:dyDescent="0.25">
      <c r="A381" s="1" t="s">
        <v>1854</v>
      </c>
      <c r="B381" s="1" t="s">
        <v>226</v>
      </c>
      <c r="C381" s="2">
        <v>22.263349999999999</v>
      </c>
      <c r="D381" s="2">
        <v>60025.02489500006</v>
      </c>
      <c r="E381" s="3">
        <v>73.54954034729316</v>
      </c>
    </row>
    <row r="382" spans="1:5" x14ac:dyDescent="0.25">
      <c r="A382" s="1" t="s">
        <v>763</v>
      </c>
      <c r="B382" s="1" t="s">
        <v>226</v>
      </c>
      <c r="C382" s="2">
        <v>86.33</v>
      </c>
      <c r="D382" s="2">
        <v>60111.354895000062</v>
      </c>
      <c r="E382" s="3">
        <v>73.75249679897567</v>
      </c>
    </row>
    <row r="383" spans="1:5" x14ac:dyDescent="0.25">
      <c r="A383" s="1" t="s">
        <v>991</v>
      </c>
      <c r="B383" s="1" t="s">
        <v>226</v>
      </c>
      <c r="C383" s="2">
        <v>19.135000000000002</v>
      </c>
      <c r="D383" s="2">
        <v>60130.489895000064</v>
      </c>
      <c r="E383" s="3">
        <v>73.75249679897567</v>
      </c>
    </row>
    <row r="384" spans="1:5" x14ac:dyDescent="0.25">
      <c r="A384" s="1" t="s">
        <v>371</v>
      </c>
      <c r="B384" s="1" t="s">
        <v>226</v>
      </c>
      <c r="C384" s="2">
        <v>0.78320000000000001</v>
      </c>
      <c r="D384" s="2">
        <v>60131.273095000062</v>
      </c>
      <c r="E384" s="3">
        <v>73.75249679897567</v>
      </c>
    </row>
    <row r="385" spans="1:5" x14ac:dyDescent="0.25">
      <c r="A385" s="1" t="s">
        <v>430</v>
      </c>
      <c r="B385" s="1" t="s">
        <v>226</v>
      </c>
      <c r="C385" s="2">
        <v>23.14</v>
      </c>
      <c r="D385" s="2">
        <v>60154.413095000062</v>
      </c>
      <c r="E385" s="3">
        <v>73.956599897277869</v>
      </c>
    </row>
    <row r="386" spans="1:5" x14ac:dyDescent="0.25">
      <c r="A386" s="1" t="s">
        <v>650</v>
      </c>
      <c r="B386" s="1" t="s">
        <v>226</v>
      </c>
      <c r="C386" s="2">
        <v>62.300000000000004</v>
      </c>
      <c r="D386" s="2">
        <v>60216.713095000065</v>
      </c>
      <c r="E386" s="3">
        <v>73.956599897277869</v>
      </c>
    </row>
    <row r="387" spans="1:5" x14ac:dyDescent="0.25">
      <c r="A387" s="1" t="s">
        <v>1328</v>
      </c>
      <c r="B387" s="1" t="s">
        <v>226</v>
      </c>
      <c r="C387" s="2">
        <v>6.6216000000000008</v>
      </c>
      <c r="D387" s="2">
        <v>60223.334695000063</v>
      </c>
      <c r="E387" s="3">
        <v>74.161859387071857</v>
      </c>
    </row>
    <row r="388" spans="1:5" x14ac:dyDescent="0.25">
      <c r="A388" s="1" t="s">
        <v>369</v>
      </c>
      <c r="B388" s="1" t="s">
        <v>226</v>
      </c>
      <c r="C388" s="2">
        <v>65.058999999999997</v>
      </c>
      <c r="D388" s="2">
        <v>60288.393695000064</v>
      </c>
      <c r="E388" s="3">
        <v>74.368285123966942</v>
      </c>
    </row>
    <row r="389" spans="1:5" x14ac:dyDescent="0.25">
      <c r="A389" s="1" t="s">
        <v>451</v>
      </c>
      <c r="B389" s="1" t="s">
        <v>226</v>
      </c>
      <c r="C389" s="2">
        <v>35.6</v>
      </c>
      <c r="D389" s="2">
        <v>60323.993695000063</v>
      </c>
      <c r="E389" s="3">
        <v>74.368285123966942</v>
      </c>
    </row>
    <row r="390" spans="1:5" x14ac:dyDescent="0.25">
      <c r="A390" s="1" t="s">
        <v>945</v>
      </c>
      <c r="B390" s="1" t="s">
        <v>226</v>
      </c>
      <c r="C390" s="2">
        <v>10.146000000000001</v>
      </c>
      <c r="D390" s="2">
        <v>60334.139695000064</v>
      </c>
      <c r="E390" s="3">
        <v>74.368285123966942</v>
      </c>
    </row>
    <row r="391" spans="1:5" x14ac:dyDescent="0.25">
      <c r="A391" s="1" t="s">
        <v>844</v>
      </c>
      <c r="B391" s="1" t="s">
        <v>226</v>
      </c>
      <c r="C391" s="2">
        <v>12.015000000000001</v>
      </c>
      <c r="D391" s="2">
        <v>60346.154695000063</v>
      </c>
      <c r="E391" s="3">
        <v>74.575887075887081</v>
      </c>
    </row>
    <row r="392" spans="1:5" x14ac:dyDescent="0.25">
      <c r="A392" s="1" t="s">
        <v>1119</v>
      </c>
      <c r="B392" s="1" t="s">
        <v>226</v>
      </c>
      <c r="C392" s="2">
        <v>11.392000000000001</v>
      </c>
      <c r="D392" s="2">
        <v>60357.546695000063</v>
      </c>
      <c r="E392" s="3">
        <v>74.575887075887081</v>
      </c>
    </row>
    <row r="393" spans="1:5" x14ac:dyDescent="0.25">
      <c r="A393" s="1" t="s">
        <v>680</v>
      </c>
      <c r="B393" s="1" t="s">
        <v>226</v>
      </c>
      <c r="C393" s="2">
        <v>24.03</v>
      </c>
      <c r="D393" s="2">
        <v>60381.576695000062</v>
      </c>
      <c r="E393" s="3">
        <v>74.575887075887081</v>
      </c>
    </row>
    <row r="394" spans="1:5" x14ac:dyDescent="0.25">
      <c r="A394" s="1" t="s">
        <v>1512</v>
      </c>
      <c r="B394" s="1" t="s">
        <v>226</v>
      </c>
      <c r="C394" s="2">
        <v>21.36</v>
      </c>
      <c r="D394" s="2">
        <v>60402.936695000062</v>
      </c>
      <c r="E394" s="3">
        <v>74.575887075887081</v>
      </c>
    </row>
    <row r="395" spans="1:5" x14ac:dyDescent="0.25">
      <c r="A395" s="1" t="s">
        <v>1149</v>
      </c>
      <c r="B395" s="1" t="s">
        <v>226</v>
      </c>
      <c r="C395" s="2">
        <v>12.46</v>
      </c>
      <c r="D395" s="2">
        <v>60415.396695000061</v>
      </c>
      <c r="E395" s="3">
        <v>74.784675324675334</v>
      </c>
    </row>
    <row r="396" spans="1:5" x14ac:dyDescent="0.25">
      <c r="A396" s="1" t="s">
        <v>1759</v>
      </c>
      <c r="B396" s="1" t="s">
        <v>226</v>
      </c>
      <c r="C396" s="2">
        <v>11.926</v>
      </c>
      <c r="D396" s="2">
        <v>60427.322695000061</v>
      </c>
      <c r="E396" s="3">
        <v>74.784675324675334</v>
      </c>
    </row>
    <row r="397" spans="1:5" x14ac:dyDescent="0.25">
      <c r="A397" s="1" t="s">
        <v>579</v>
      </c>
      <c r="B397" s="1" t="s">
        <v>226</v>
      </c>
      <c r="C397" s="2">
        <v>9.0779999999999994</v>
      </c>
      <c r="D397" s="2">
        <v>60436.400695000062</v>
      </c>
      <c r="E397" s="3">
        <v>74.784675324675334</v>
      </c>
    </row>
    <row r="398" spans="1:5" x14ac:dyDescent="0.25">
      <c r="A398" s="1" t="s">
        <v>1522</v>
      </c>
      <c r="B398" s="1" t="s">
        <v>226</v>
      </c>
      <c r="C398" s="2">
        <v>13.439</v>
      </c>
      <c r="D398" s="2">
        <v>60449.839695000061</v>
      </c>
      <c r="E398" s="3">
        <v>74.784675324675334</v>
      </c>
    </row>
    <row r="399" spans="1:5" x14ac:dyDescent="0.25">
      <c r="A399" s="1" t="s">
        <v>1069</v>
      </c>
      <c r="B399" s="1" t="s">
        <v>226</v>
      </c>
      <c r="C399" s="2">
        <v>22.962</v>
      </c>
      <c r="D399" s="2">
        <v>60472.80169500006</v>
      </c>
      <c r="E399" s="3">
        <v>74.99466006772596</v>
      </c>
    </row>
    <row r="400" spans="1:5" x14ac:dyDescent="0.25">
      <c r="A400" s="1" t="s">
        <v>340</v>
      </c>
      <c r="B400" s="1" t="s">
        <v>226</v>
      </c>
      <c r="C400" s="2">
        <v>10.146000000000001</v>
      </c>
      <c r="D400" s="2">
        <v>60482.947695000061</v>
      </c>
      <c r="E400" s="3">
        <v>74.99466006772596</v>
      </c>
    </row>
    <row r="401" spans="1:5" x14ac:dyDescent="0.25">
      <c r="A401" s="1" t="s">
        <v>1700</v>
      </c>
      <c r="B401" s="1" t="s">
        <v>226</v>
      </c>
      <c r="C401" s="2">
        <v>10.1015</v>
      </c>
      <c r="D401" s="2">
        <v>60493.049195000058</v>
      </c>
      <c r="E401" s="3">
        <v>74.99466006772596</v>
      </c>
    </row>
    <row r="402" spans="1:5" x14ac:dyDescent="0.25">
      <c r="A402" s="1" t="s">
        <v>181</v>
      </c>
      <c r="B402" s="1" t="s">
        <v>226</v>
      </c>
      <c r="C402" s="2">
        <v>128.16</v>
      </c>
      <c r="D402" s="2">
        <v>60621.209195000061</v>
      </c>
      <c r="E402" s="3">
        <v>75.205851619644733</v>
      </c>
    </row>
    <row r="403" spans="1:5" x14ac:dyDescent="0.25">
      <c r="A403" s="1" t="s">
        <v>712</v>
      </c>
      <c r="B403" s="1" t="s">
        <v>226</v>
      </c>
      <c r="C403" s="2">
        <v>16.731999999999999</v>
      </c>
      <c r="D403" s="2">
        <v>60637.941195000065</v>
      </c>
      <c r="E403" s="3">
        <v>75.205851619644733</v>
      </c>
    </row>
    <row r="404" spans="1:5" x14ac:dyDescent="0.25">
      <c r="A404" s="1" t="s">
        <v>1304</v>
      </c>
      <c r="B404" s="1" t="s">
        <v>226</v>
      </c>
      <c r="C404" s="2">
        <v>30.526999999999997</v>
      </c>
      <c r="D404" s="2">
        <v>60668.468195000067</v>
      </c>
      <c r="E404" s="3">
        <v>75.205851619644733</v>
      </c>
    </row>
    <row r="405" spans="1:5" x14ac:dyDescent="0.25">
      <c r="A405" s="1" t="s">
        <v>177</v>
      </c>
      <c r="B405" s="1" t="s">
        <v>96</v>
      </c>
      <c r="C405" s="2">
        <v>128.16</v>
      </c>
      <c r="D405" s="2">
        <v>60796.62819500007</v>
      </c>
      <c r="E405" s="3">
        <v>75.248947368421057</v>
      </c>
    </row>
    <row r="406" spans="1:5" x14ac:dyDescent="0.25">
      <c r="A406" s="1" t="s">
        <v>274</v>
      </c>
      <c r="B406" s="1" t="s">
        <v>226</v>
      </c>
      <c r="C406" s="2">
        <v>32.04</v>
      </c>
      <c r="D406" s="2">
        <v>60828.668195000071</v>
      </c>
      <c r="E406" s="3">
        <v>75.418260413937645</v>
      </c>
    </row>
    <row r="407" spans="1:5" x14ac:dyDescent="0.25">
      <c r="A407" s="1" t="s">
        <v>1871</v>
      </c>
      <c r="B407" s="1" t="s">
        <v>226</v>
      </c>
      <c r="C407" s="2">
        <v>35.6</v>
      </c>
      <c r="D407" s="2">
        <v>60864.26819500007</v>
      </c>
      <c r="E407" s="3">
        <v>75.418260413937645</v>
      </c>
    </row>
    <row r="408" spans="1:5" x14ac:dyDescent="0.25">
      <c r="A408" s="1" t="s">
        <v>1819</v>
      </c>
      <c r="B408" s="1" t="s">
        <v>226</v>
      </c>
      <c r="C408" s="2">
        <v>16.999000000000002</v>
      </c>
      <c r="D408" s="2">
        <v>60881.267195000073</v>
      </c>
      <c r="E408" s="3">
        <v>75.418260413937645</v>
      </c>
    </row>
    <row r="409" spans="1:5" x14ac:dyDescent="0.25">
      <c r="A409" s="1" t="s">
        <v>570</v>
      </c>
      <c r="B409" s="1" t="s">
        <v>226</v>
      </c>
      <c r="C409" s="2">
        <v>9.7900000000000009</v>
      </c>
      <c r="D409" s="2">
        <v>60891.057195000074</v>
      </c>
      <c r="E409" s="3">
        <v>75.631897004729382</v>
      </c>
    </row>
    <row r="410" spans="1:5" x14ac:dyDescent="0.25">
      <c r="A410" s="1" t="s">
        <v>1403</v>
      </c>
      <c r="B410" s="1" t="s">
        <v>226</v>
      </c>
      <c r="C410" s="2">
        <v>21.805</v>
      </c>
      <c r="D410" s="2">
        <v>60912.862195000074</v>
      </c>
      <c r="E410" s="3">
        <v>75.631897004729382</v>
      </c>
    </row>
    <row r="411" spans="1:5" x14ac:dyDescent="0.25">
      <c r="A411" s="1" t="s">
        <v>1500</v>
      </c>
      <c r="B411" s="1" t="s">
        <v>226</v>
      </c>
      <c r="C411" s="2">
        <v>72.801999999999992</v>
      </c>
      <c r="D411" s="2">
        <v>60985.664195000078</v>
      </c>
      <c r="E411" s="3">
        <v>75.631897004729382</v>
      </c>
    </row>
    <row r="412" spans="1:5" x14ac:dyDescent="0.25">
      <c r="A412" s="1" t="s">
        <v>1941</v>
      </c>
      <c r="B412" s="1" t="s">
        <v>226</v>
      </c>
      <c r="C412" s="2">
        <v>24.03</v>
      </c>
      <c r="D412" s="2">
        <v>61009.694195000076</v>
      </c>
      <c r="E412" s="3">
        <v>75.631897004729382</v>
      </c>
    </row>
    <row r="413" spans="1:5" x14ac:dyDescent="0.25">
      <c r="A413" s="1" t="s">
        <v>1957</v>
      </c>
      <c r="B413" s="1" t="s">
        <v>226</v>
      </c>
      <c r="C413" s="2">
        <v>13.439</v>
      </c>
      <c r="D413" s="2">
        <v>61023.133195000075</v>
      </c>
      <c r="E413" s="3">
        <v>75.631897004729382</v>
      </c>
    </row>
    <row r="414" spans="1:5" x14ac:dyDescent="0.25">
      <c r="A414" s="1" t="s">
        <v>1364</v>
      </c>
      <c r="B414" s="1" t="s">
        <v>226</v>
      </c>
      <c r="C414" s="2">
        <v>16.109000000000002</v>
      </c>
      <c r="D414" s="2">
        <v>61039.242195000072</v>
      </c>
      <c r="E414" s="3">
        <v>75.631897004729382</v>
      </c>
    </row>
    <row r="415" spans="1:5" x14ac:dyDescent="0.25">
      <c r="A415" s="1" t="s">
        <v>1175</v>
      </c>
      <c r="B415" s="1" t="s">
        <v>226</v>
      </c>
      <c r="C415" s="2">
        <v>58.74</v>
      </c>
      <c r="D415" s="2">
        <v>61097.98219500007</v>
      </c>
      <c r="E415" s="3">
        <v>75.631897004729382</v>
      </c>
    </row>
    <row r="416" spans="1:5" x14ac:dyDescent="0.25">
      <c r="A416" s="1" t="s">
        <v>404</v>
      </c>
      <c r="B416" s="1" t="s">
        <v>96</v>
      </c>
      <c r="C416" s="2">
        <v>8.9</v>
      </c>
      <c r="D416" s="2">
        <v>61106.882195000071</v>
      </c>
      <c r="E416" s="3">
        <v>75.760466348701641</v>
      </c>
    </row>
    <row r="417" spans="1:5" x14ac:dyDescent="0.25">
      <c r="A417" s="1" t="s">
        <v>1750</v>
      </c>
      <c r="B417" s="1" t="s">
        <v>226</v>
      </c>
      <c r="C417" s="2">
        <v>12.015000000000001</v>
      </c>
      <c r="D417" s="2">
        <v>61118.89719500007</v>
      </c>
      <c r="E417" s="3">
        <v>75.8467720685112</v>
      </c>
    </row>
    <row r="418" spans="1:5" x14ac:dyDescent="0.25">
      <c r="A418" s="1" t="s">
        <v>1769</v>
      </c>
      <c r="B418" s="1" t="s">
        <v>226</v>
      </c>
      <c r="C418" s="2">
        <v>17.8</v>
      </c>
      <c r="D418" s="2">
        <v>61136.697195000073</v>
      </c>
      <c r="E418" s="3">
        <v>75.8467720685112</v>
      </c>
    </row>
    <row r="419" spans="1:5" x14ac:dyDescent="0.25">
      <c r="A419" s="1" t="s">
        <v>153</v>
      </c>
      <c r="B419" s="1" t="s">
        <v>226</v>
      </c>
      <c r="C419" s="2">
        <v>2.67</v>
      </c>
      <c r="D419" s="2">
        <v>61139.367195000072</v>
      </c>
      <c r="E419" s="3">
        <v>75.8467720685112</v>
      </c>
    </row>
    <row r="420" spans="1:5" x14ac:dyDescent="0.25">
      <c r="A420" s="1" t="s">
        <v>1297</v>
      </c>
      <c r="B420" s="1" t="s">
        <v>226</v>
      </c>
      <c r="C420" s="2">
        <v>21.36</v>
      </c>
      <c r="D420" s="2">
        <v>61160.727195000072</v>
      </c>
      <c r="E420" s="3">
        <v>75.8467720685112</v>
      </c>
    </row>
    <row r="421" spans="1:5" x14ac:dyDescent="0.25">
      <c r="A421" s="1" t="s">
        <v>116</v>
      </c>
      <c r="B421" s="1" t="s">
        <v>226</v>
      </c>
      <c r="C421" s="2">
        <v>15.842000000000001</v>
      </c>
      <c r="D421" s="2">
        <v>61176.569195000069</v>
      </c>
      <c r="E421" s="3">
        <v>76.062896405919659</v>
      </c>
    </row>
    <row r="422" spans="1:5" x14ac:dyDescent="0.25">
      <c r="A422" s="1" t="s">
        <v>654</v>
      </c>
      <c r="B422" s="1" t="s">
        <v>226</v>
      </c>
      <c r="C422" s="2">
        <v>88.11</v>
      </c>
      <c r="D422" s="2">
        <v>61264.67919500007</v>
      </c>
      <c r="E422" s="3">
        <v>76.062896405919659</v>
      </c>
    </row>
    <row r="423" spans="1:5" x14ac:dyDescent="0.25">
      <c r="A423" s="1" t="s">
        <v>759</v>
      </c>
      <c r="B423" s="1" t="s">
        <v>226</v>
      </c>
      <c r="C423" s="2">
        <v>22.25</v>
      </c>
      <c r="D423" s="2">
        <v>61286.92919500007</v>
      </c>
      <c r="E423" s="3">
        <v>76.062896405919659</v>
      </c>
    </row>
    <row r="424" spans="1:5" x14ac:dyDescent="0.25">
      <c r="A424" s="1" t="s">
        <v>1646</v>
      </c>
      <c r="B424" s="1" t="s">
        <v>226</v>
      </c>
      <c r="C424" s="2">
        <v>39.960999999999999</v>
      </c>
      <c r="D424" s="2">
        <v>61326.890195000073</v>
      </c>
      <c r="E424" s="3">
        <v>76.062896405919659</v>
      </c>
    </row>
    <row r="425" spans="1:5" x14ac:dyDescent="0.25">
      <c r="A425" s="1" t="s">
        <v>1650</v>
      </c>
      <c r="B425" s="1" t="s">
        <v>226</v>
      </c>
      <c r="C425" s="2">
        <v>20.47</v>
      </c>
      <c r="D425" s="2">
        <v>61347.360195000074</v>
      </c>
      <c r="E425" s="3">
        <v>76.062896405919659</v>
      </c>
    </row>
    <row r="426" spans="1:5" x14ac:dyDescent="0.25">
      <c r="A426" s="1" t="s">
        <v>110</v>
      </c>
      <c r="B426" s="1" t="s">
        <v>226</v>
      </c>
      <c r="C426" s="2">
        <v>8.6329999999999991</v>
      </c>
      <c r="D426" s="2">
        <v>61355.993195000076</v>
      </c>
      <c r="E426" s="3">
        <v>76.062896405919659</v>
      </c>
    </row>
    <row r="427" spans="1:5" x14ac:dyDescent="0.25">
      <c r="A427" s="1" t="s">
        <v>1705</v>
      </c>
      <c r="B427" s="1" t="s">
        <v>226</v>
      </c>
      <c r="C427" s="2">
        <v>19.580000000000002</v>
      </c>
      <c r="D427" s="2">
        <v>61375.573195000077</v>
      </c>
      <c r="E427" s="3">
        <v>76.062896405919659</v>
      </c>
    </row>
    <row r="428" spans="1:5" x14ac:dyDescent="0.25">
      <c r="A428" s="1" t="s">
        <v>61</v>
      </c>
      <c r="B428" s="1" t="s">
        <v>226</v>
      </c>
      <c r="C428" s="2">
        <v>13.439</v>
      </c>
      <c r="D428" s="2">
        <v>61389.012195000076</v>
      </c>
      <c r="E428" s="3">
        <v>76.280280943546245</v>
      </c>
    </row>
    <row r="429" spans="1:5" x14ac:dyDescent="0.25">
      <c r="A429" s="1" t="s">
        <v>525</v>
      </c>
      <c r="B429" s="1" t="s">
        <v>226</v>
      </c>
      <c r="C429" s="2">
        <v>41.474000000000004</v>
      </c>
      <c r="D429" s="2">
        <v>61430.486195000078</v>
      </c>
      <c r="E429" s="3">
        <v>76.280280943546245</v>
      </c>
    </row>
    <row r="430" spans="1:5" x14ac:dyDescent="0.25">
      <c r="A430" s="1" t="s">
        <v>789</v>
      </c>
      <c r="B430" s="1" t="s">
        <v>226</v>
      </c>
      <c r="C430" s="2">
        <v>20.024999999999999</v>
      </c>
      <c r="D430" s="2">
        <v>61450.511195000079</v>
      </c>
      <c r="E430" s="3">
        <v>76.280280943546245</v>
      </c>
    </row>
    <row r="431" spans="1:5" x14ac:dyDescent="0.25">
      <c r="A431" s="1" t="s">
        <v>1935</v>
      </c>
      <c r="B431" s="1" t="s">
        <v>226</v>
      </c>
      <c r="C431" s="2">
        <v>20.737000000000002</v>
      </c>
      <c r="D431" s="2">
        <v>61471.24819500008</v>
      </c>
      <c r="E431" s="3">
        <v>76.280280943546245</v>
      </c>
    </row>
    <row r="432" spans="1:5" x14ac:dyDescent="0.25">
      <c r="A432" s="1" t="s">
        <v>531</v>
      </c>
      <c r="B432" s="1" t="s">
        <v>226</v>
      </c>
      <c r="C432" s="2">
        <v>19.669</v>
      </c>
      <c r="D432" s="2">
        <v>61490.917195000082</v>
      </c>
      <c r="E432" s="3">
        <v>76.280280943546245</v>
      </c>
    </row>
    <row r="433" spans="1:5" x14ac:dyDescent="0.25">
      <c r="A433" s="1" t="s">
        <v>1359</v>
      </c>
      <c r="B433" s="1" t="s">
        <v>226</v>
      </c>
      <c r="C433" s="2">
        <v>16.802310000000002</v>
      </c>
      <c r="D433" s="2">
        <v>61507.719505000081</v>
      </c>
      <c r="E433" s="3">
        <v>76.498936735778841</v>
      </c>
    </row>
    <row r="434" spans="1:5" x14ac:dyDescent="0.25">
      <c r="A434" s="1" t="s">
        <v>1891</v>
      </c>
      <c r="B434" s="1" t="s">
        <v>226</v>
      </c>
      <c r="C434" s="2">
        <v>10.234999999999999</v>
      </c>
      <c r="D434" s="2">
        <v>61517.954505000082</v>
      </c>
      <c r="E434" s="3">
        <v>76.718874966675557</v>
      </c>
    </row>
    <row r="435" spans="1:5" x14ac:dyDescent="0.25">
      <c r="A435" s="1" t="s">
        <v>39</v>
      </c>
      <c r="B435" s="1" t="s">
        <v>96</v>
      </c>
      <c r="C435" s="2">
        <v>57.85</v>
      </c>
      <c r="D435" s="2">
        <v>61575.80450500008</v>
      </c>
      <c r="E435" s="3">
        <v>76.804943578721122</v>
      </c>
    </row>
    <row r="436" spans="1:5" x14ac:dyDescent="0.25">
      <c r="A436" s="1" t="s">
        <v>1289</v>
      </c>
      <c r="B436" s="1" t="s">
        <v>226</v>
      </c>
      <c r="C436" s="2">
        <v>9.1670000000000016</v>
      </c>
      <c r="D436" s="2">
        <v>61584.971505000081</v>
      </c>
      <c r="E436" s="3">
        <v>76.940106951871655</v>
      </c>
    </row>
    <row r="437" spans="1:5" x14ac:dyDescent="0.25">
      <c r="A437" s="1" t="s">
        <v>940</v>
      </c>
      <c r="B437" s="1" t="s">
        <v>226</v>
      </c>
      <c r="C437" s="2">
        <v>10.324</v>
      </c>
      <c r="D437" s="2">
        <v>61595.295505000082</v>
      </c>
      <c r="E437" s="3">
        <v>77.162644140520243</v>
      </c>
    </row>
    <row r="438" spans="1:5" x14ac:dyDescent="0.25">
      <c r="A438" s="1" t="s">
        <v>1783</v>
      </c>
      <c r="B438" s="1" t="s">
        <v>226</v>
      </c>
      <c r="C438" s="2">
        <v>51.709000000000003</v>
      </c>
      <c r="D438" s="2">
        <v>61647.004505000084</v>
      </c>
      <c r="E438" s="3">
        <v>77.162644140520243</v>
      </c>
    </row>
    <row r="439" spans="1:5" x14ac:dyDescent="0.25">
      <c r="A439" s="1" t="s">
        <v>349</v>
      </c>
      <c r="B439" s="1" t="s">
        <v>96</v>
      </c>
      <c r="C439" s="2">
        <v>12.015000000000001</v>
      </c>
      <c r="D439" s="2">
        <v>61659.019505000084</v>
      </c>
      <c r="E439" s="3">
        <v>77.33820346320347</v>
      </c>
    </row>
    <row r="440" spans="1:5" x14ac:dyDescent="0.25">
      <c r="A440" s="1" t="s">
        <v>717</v>
      </c>
      <c r="B440" s="1" t="s">
        <v>96</v>
      </c>
      <c r="C440" s="2">
        <v>13.083</v>
      </c>
      <c r="D440" s="2">
        <v>61672.102505000083</v>
      </c>
      <c r="E440" s="3">
        <v>77.33820346320347</v>
      </c>
    </row>
    <row r="441" spans="1:5" x14ac:dyDescent="0.25">
      <c r="A441" s="1" t="s">
        <v>984</v>
      </c>
      <c r="B441" s="1" t="s">
        <v>226</v>
      </c>
      <c r="C441" s="2">
        <v>44.5</v>
      </c>
      <c r="D441" s="2">
        <v>61716.602505000083</v>
      </c>
      <c r="E441" s="3">
        <v>77.386498117267337</v>
      </c>
    </row>
    <row r="442" spans="1:5" x14ac:dyDescent="0.25">
      <c r="A442" s="1" t="s">
        <v>1726</v>
      </c>
      <c r="B442" s="1" t="s">
        <v>226</v>
      </c>
      <c r="C442" s="2">
        <v>10.841090000000001</v>
      </c>
      <c r="D442" s="2">
        <v>61727.443595000084</v>
      </c>
      <c r="E442" s="3">
        <v>77.386498117267337</v>
      </c>
    </row>
    <row r="443" spans="1:5" x14ac:dyDescent="0.25">
      <c r="A443" s="1" t="s">
        <v>1390</v>
      </c>
      <c r="B443" s="1" t="s">
        <v>96</v>
      </c>
      <c r="C443" s="2">
        <v>4.5389999999999997</v>
      </c>
      <c r="D443" s="2">
        <v>61731.982595000081</v>
      </c>
      <c r="E443" s="3">
        <v>77.879019073569481</v>
      </c>
    </row>
    <row r="444" spans="1:5" x14ac:dyDescent="0.25">
      <c r="A444" s="1" t="s">
        <v>961</v>
      </c>
      <c r="B444" s="1" t="s">
        <v>226</v>
      </c>
      <c r="C444" s="2">
        <v>29.37</v>
      </c>
      <c r="D444" s="2">
        <v>61761.352595000084</v>
      </c>
      <c r="E444" s="3">
        <v>78.295318454001091</v>
      </c>
    </row>
    <row r="445" spans="1:5" x14ac:dyDescent="0.25">
      <c r="A445" s="1" t="s">
        <v>1388</v>
      </c>
      <c r="B445" s="1" t="s">
        <v>96</v>
      </c>
      <c r="C445" s="2">
        <v>4.5389999999999997</v>
      </c>
      <c r="D445" s="2">
        <v>61765.891595000081</v>
      </c>
      <c r="E445" s="3">
        <v>78.427552140504943</v>
      </c>
    </row>
    <row r="446" spans="1:5" x14ac:dyDescent="0.25">
      <c r="A446" s="1" t="s">
        <v>689</v>
      </c>
      <c r="B446" s="1" t="s">
        <v>226</v>
      </c>
      <c r="C446" s="2">
        <v>6.6572000000000005</v>
      </c>
      <c r="D446" s="2">
        <v>61772.548795000082</v>
      </c>
      <c r="E446" s="3">
        <v>78.757940854326392</v>
      </c>
    </row>
    <row r="447" spans="1:5" x14ac:dyDescent="0.25">
      <c r="A447" s="1" t="s">
        <v>1382</v>
      </c>
      <c r="B447" s="1" t="s">
        <v>96</v>
      </c>
      <c r="C447" s="2">
        <v>3.7380000000000004</v>
      </c>
      <c r="D447" s="2">
        <v>61776.28679500008</v>
      </c>
      <c r="E447" s="3">
        <v>78.983969043670541</v>
      </c>
    </row>
    <row r="448" spans="1:5" x14ac:dyDescent="0.25">
      <c r="A448" s="1" t="s">
        <v>1386</v>
      </c>
      <c r="B448" s="1" t="s">
        <v>96</v>
      </c>
      <c r="C448" s="2">
        <v>3.7380000000000004</v>
      </c>
      <c r="D448" s="2">
        <v>61780.024795000078</v>
      </c>
      <c r="E448" s="3">
        <v>78.983969043670541</v>
      </c>
    </row>
    <row r="449" spans="1:5" x14ac:dyDescent="0.25">
      <c r="A449" s="1" t="s">
        <v>1157</v>
      </c>
      <c r="B449" s="1" t="s">
        <v>226</v>
      </c>
      <c r="C449" s="2">
        <v>24.03</v>
      </c>
      <c r="D449" s="2">
        <v>61804.054795000076</v>
      </c>
      <c r="E449" s="3">
        <v>78.991348530623469</v>
      </c>
    </row>
    <row r="450" spans="1:5" x14ac:dyDescent="0.25">
      <c r="A450" s="1" t="s">
        <v>1621</v>
      </c>
      <c r="B450" s="1" t="s">
        <v>226</v>
      </c>
      <c r="C450" s="2">
        <v>5.34</v>
      </c>
      <c r="D450" s="2">
        <v>61809.394795000073</v>
      </c>
      <c r="E450" s="3">
        <v>79.226170798898067</v>
      </c>
    </row>
    <row r="451" spans="1:5" x14ac:dyDescent="0.25">
      <c r="A451" s="1" t="s">
        <v>1115</v>
      </c>
      <c r="B451" s="1" t="s">
        <v>226</v>
      </c>
      <c r="C451" s="2">
        <v>10.057</v>
      </c>
      <c r="D451" s="2">
        <v>61819.451795000074</v>
      </c>
      <c r="E451" s="3">
        <v>79.226170798898067</v>
      </c>
    </row>
    <row r="452" spans="1:5" x14ac:dyDescent="0.25">
      <c r="A452" s="1" t="s">
        <v>360</v>
      </c>
      <c r="B452" s="1" t="s">
        <v>226</v>
      </c>
      <c r="C452" s="2">
        <v>44.5</v>
      </c>
      <c r="D452" s="2">
        <v>61863.951795000074</v>
      </c>
      <c r="E452" s="3">
        <v>79.462420558165235</v>
      </c>
    </row>
    <row r="453" spans="1:5" x14ac:dyDescent="0.25">
      <c r="A453" s="1" t="s">
        <v>1537</v>
      </c>
      <c r="B453" s="1" t="s">
        <v>226</v>
      </c>
      <c r="C453" s="2">
        <v>13.9552</v>
      </c>
      <c r="D453" s="2">
        <v>61877.90699500007</v>
      </c>
      <c r="E453" s="3">
        <v>79.462420558165235</v>
      </c>
    </row>
    <row r="454" spans="1:5" x14ac:dyDescent="0.25">
      <c r="A454" s="1" t="s">
        <v>1192</v>
      </c>
      <c r="B454" s="1" t="s">
        <v>96</v>
      </c>
      <c r="C454" s="2">
        <v>41.83</v>
      </c>
      <c r="D454" s="2">
        <v>61919.736995000072</v>
      </c>
      <c r="E454" s="3">
        <v>79.548440979955444</v>
      </c>
    </row>
    <row r="455" spans="1:5" x14ac:dyDescent="0.25">
      <c r="A455" s="1" t="s">
        <v>523</v>
      </c>
      <c r="B455" s="1" t="s">
        <v>226</v>
      </c>
      <c r="C455" s="2">
        <v>3.56</v>
      </c>
      <c r="D455" s="2">
        <v>61923.29699500007</v>
      </c>
      <c r="E455" s="3">
        <v>79.939254934667787</v>
      </c>
    </row>
    <row r="456" spans="1:5" x14ac:dyDescent="0.25">
      <c r="A456" s="1" t="s">
        <v>378</v>
      </c>
      <c r="B456" s="1" t="s">
        <v>96</v>
      </c>
      <c r="C456" s="2">
        <v>9.0779999999999994</v>
      </c>
      <c r="D456" s="2">
        <v>61932.374995000071</v>
      </c>
      <c r="E456" s="3">
        <v>80.121144139091427</v>
      </c>
    </row>
    <row r="457" spans="1:5" x14ac:dyDescent="0.25">
      <c r="A457" s="1" t="s">
        <v>100</v>
      </c>
      <c r="B457" s="1" t="s">
        <v>226</v>
      </c>
      <c r="C457" s="2">
        <v>18.155999999999999</v>
      </c>
      <c r="D457" s="2">
        <v>61950.530995000074</v>
      </c>
      <c r="E457" s="3">
        <v>80.179866146123814</v>
      </c>
    </row>
    <row r="458" spans="1:5" x14ac:dyDescent="0.25">
      <c r="A458" s="1" t="s">
        <v>1900</v>
      </c>
      <c r="B458" s="1" t="s">
        <v>226</v>
      </c>
      <c r="C458" s="2">
        <v>9.7900000000000009</v>
      </c>
      <c r="D458" s="2">
        <v>61960.320995000075</v>
      </c>
      <c r="E458" s="3">
        <v>80.665544332210999</v>
      </c>
    </row>
    <row r="459" spans="1:5" x14ac:dyDescent="0.25">
      <c r="B459" s="1" t="s">
        <v>96</v>
      </c>
      <c r="C459" s="2">
        <v>2962.0773590045892</v>
      </c>
      <c r="D459" s="2">
        <v>64922.398354004661</v>
      </c>
      <c r="E459" s="3">
        <v>80.702259887005653</v>
      </c>
    </row>
    <row r="460" spans="1:5" x14ac:dyDescent="0.25">
      <c r="A460" s="1" t="s">
        <v>185</v>
      </c>
      <c r="B460" s="1" t="s">
        <v>226</v>
      </c>
      <c r="C460" s="2">
        <v>13.35</v>
      </c>
      <c r="D460" s="2">
        <v>64935.74835400466</v>
      </c>
      <c r="E460" s="3">
        <v>81.157255787690573</v>
      </c>
    </row>
    <row r="461" spans="1:5" x14ac:dyDescent="0.25">
      <c r="A461" s="1" t="s">
        <v>1400</v>
      </c>
      <c r="B461" s="1" t="s">
        <v>226</v>
      </c>
      <c r="C461" s="2">
        <v>20.559000000000001</v>
      </c>
      <c r="D461" s="2">
        <v>64956.307354004661</v>
      </c>
      <c r="E461" s="3">
        <v>81.405409232512042</v>
      </c>
    </row>
    <row r="462" spans="1:5" x14ac:dyDescent="0.25">
      <c r="A462" s="1" t="s">
        <v>317</v>
      </c>
      <c r="B462" s="1" t="s">
        <v>226</v>
      </c>
      <c r="C462" s="2">
        <v>142.4</v>
      </c>
      <c r="D462" s="2">
        <v>65098.707354004662</v>
      </c>
      <c r="E462" s="3">
        <v>81.655113636363637</v>
      </c>
    </row>
    <row r="463" spans="1:5" x14ac:dyDescent="0.25">
      <c r="A463" s="1" t="s">
        <v>775</v>
      </c>
      <c r="B463" s="1" t="s">
        <v>226</v>
      </c>
      <c r="C463" s="2">
        <v>89.89</v>
      </c>
      <c r="D463" s="2">
        <v>65188.597354004662</v>
      </c>
      <c r="E463" s="3">
        <v>81.655113636363637</v>
      </c>
    </row>
    <row r="464" spans="1:5" x14ac:dyDescent="0.25">
      <c r="A464" s="1" t="s">
        <v>1732</v>
      </c>
      <c r="B464" s="1" t="s">
        <v>226</v>
      </c>
      <c r="C464" s="2">
        <v>10.090553</v>
      </c>
      <c r="D464" s="2">
        <v>65198.687907004663</v>
      </c>
      <c r="E464" s="3">
        <v>81.906383585066962</v>
      </c>
    </row>
    <row r="465" spans="1:5" x14ac:dyDescent="0.25">
      <c r="A465" s="1" t="s">
        <v>255</v>
      </c>
      <c r="B465" s="1" t="s">
        <v>226</v>
      </c>
      <c r="C465" s="2">
        <v>13.884</v>
      </c>
      <c r="D465" s="2">
        <v>65212.571907004662</v>
      </c>
      <c r="E465" s="3">
        <v>81.906383585066962</v>
      </c>
    </row>
    <row r="466" spans="1:5" x14ac:dyDescent="0.25">
      <c r="A466" s="1" t="s">
        <v>1734</v>
      </c>
      <c r="B466" s="1" t="s">
        <v>226</v>
      </c>
      <c r="C466" s="2">
        <v>10.340732000000001</v>
      </c>
      <c r="D466" s="2">
        <v>65222.912639004659</v>
      </c>
      <c r="E466" s="3">
        <v>82.1592338479131</v>
      </c>
    </row>
    <row r="467" spans="1:5" x14ac:dyDescent="0.25">
      <c r="A467" s="1" t="s">
        <v>1785</v>
      </c>
      <c r="B467" s="1" t="s">
        <v>226</v>
      </c>
      <c r="C467" s="2">
        <v>0.42719999999999997</v>
      </c>
      <c r="D467" s="2">
        <v>65223.339839004657</v>
      </c>
      <c r="E467" s="3">
        <v>82.1592338479131</v>
      </c>
    </row>
    <row r="468" spans="1:5" x14ac:dyDescent="0.25">
      <c r="A468" s="1" t="s">
        <v>1419</v>
      </c>
      <c r="B468" s="1" t="s">
        <v>226</v>
      </c>
      <c r="C468" s="2">
        <v>26.7</v>
      </c>
      <c r="D468" s="2">
        <v>65250.039839004654</v>
      </c>
      <c r="E468" s="3">
        <v>83.974714995615301</v>
      </c>
    </row>
    <row r="469" spans="1:5" x14ac:dyDescent="0.25">
      <c r="A469" s="1" t="s">
        <v>471</v>
      </c>
      <c r="B469" s="1" t="s">
        <v>226</v>
      </c>
      <c r="C469" s="2">
        <v>84.55</v>
      </c>
      <c r="D469" s="2">
        <v>65334.589839004657</v>
      </c>
      <c r="E469" s="3">
        <v>84.240762463343103</v>
      </c>
    </row>
    <row r="470" spans="1:5" x14ac:dyDescent="0.25">
      <c r="A470" s="1" t="s">
        <v>474</v>
      </c>
      <c r="B470" s="1" t="s">
        <v>226</v>
      </c>
      <c r="C470" s="2">
        <v>151.30000000000001</v>
      </c>
      <c r="D470" s="2">
        <v>65485.88983900466</v>
      </c>
      <c r="E470" s="3">
        <v>84.240762463343103</v>
      </c>
    </row>
    <row r="471" spans="1:5" x14ac:dyDescent="0.25">
      <c r="A471" s="1" t="s">
        <v>1043</v>
      </c>
      <c r="B471" s="1" t="s">
        <v>226</v>
      </c>
      <c r="C471" s="2">
        <v>23.585000000000001</v>
      </c>
      <c r="D471" s="2">
        <v>65509.474839004659</v>
      </c>
      <c r="E471" s="3">
        <v>84.240762463343103</v>
      </c>
    </row>
    <row r="472" spans="1:5" x14ac:dyDescent="0.25">
      <c r="A472" s="1" t="s">
        <v>1835</v>
      </c>
      <c r="B472" s="1" t="s">
        <v>96</v>
      </c>
      <c r="C472" s="2">
        <v>99.68</v>
      </c>
      <c r="D472" s="2">
        <v>65609.154839004652</v>
      </c>
      <c r="E472" s="3">
        <v>84.376477541371173</v>
      </c>
    </row>
    <row r="473" spans="1:5" x14ac:dyDescent="0.25">
      <c r="A473" s="1" t="s">
        <v>465</v>
      </c>
      <c r="B473" s="1" t="s">
        <v>226</v>
      </c>
      <c r="C473" s="2">
        <v>53.4</v>
      </c>
      <c r="D473" s="2">
        <v>65662.554839004646</v>
      </c>
      <c r="E473" s="3">
        <v>86.99878787878788</v>
      </c>
    </row>
    <row r="474" spans="1:5" x14ac:dyDescent="0.25">
      <c r="A474" s="1" t="s">
        <v>542</v>
      </c>
      <c r="B474" s="1" t="s">
        <v>226</v>
      </c>
      <c r="C474" s="2">
        <v>40.049999999999997</v>
      </c>
      <c r="D474" s="2">
        <v>65702.604839004649</v>
      </c>
      <c r="E474" s="3">
        <v>86.99878787878788</v>
      </c>
    </row>
    <row r="475" spans="1:5" x14ac:dyDescent="0.25">
      <c r="A475" s="1" t="s">
        <v>772</v>
      </c>
      <c r="B475" s="1" t="s">
        <v>226</v>
      </c>
      <c r="C475" s="2">
        <v>52.51</v>
      </c>
      <c r="D475" s="2">
        <v>65755.114839004644</v>
      </c>
      <c r="E475" s="3">
        <v>86.99878787878788</v>
      </c>
    </row>
    <row r="476" spans="1:5" x14ac:dyDescent="0.25">
      <c r="A476" s="1" t="s">
        <v>1405</v>
      </c>
      <c r="B476" s="1" t="s">
        <v>226</v>
      </c>
      <c r="C476" s="2">
        <v>33.82</v>
      </c>
      <c r="D476" s="2">
        <v>65788.934839004651</v>
      </c>
      <c r="E476" s="3">
        <v>86.99878787878788</v>
      </c>
    </row>
    <row r="477" spans="1:5" x14ac:dyDescent="0.25">
      <c r="A477" s="1" t="s">
        <v>506</v>
      </c>
      <c r="B477" s="1" t="s">
        <v>226</v>
      </c>
      <c r="C477" s="2">
        <v>74.760000000000005</v>
      </c>
      <c r="D477" s="2">
        <v>65863.694839004645</v>
      </c>
      <c r="E477" s="3">
        <v>87.57260524710189</v>
      </c>
    </row>
    <row r="478" spans="1:5" x14ac:dyDescent="0.25">
      <c r="A478" s="1" t="s">
        <v>35</v>
      </c>
      <c r="B478" s="1" t="s">
        <v>226</v>
      </c>
      <c r="C478" s="2">
        <v>9.7900000000000009</v>
      </c>
      <c r="D478" s="2">
        <v>65873.484839004639</v>
      </c>
      <c r="E478" s="3">
        <v>87.862411998775642</v>
      </c>
    </row>
    <row r="479" spans="1:5" x14ac:dyDescent="0.25">
      <c r="A479" s="1" t="s">
        <v>489</v>
      </c>
      <c r="B479" s="1" t="s">
        <v>226</v>
      </c>
      <c r="C479" s="2">
        <v>12.46</v>
      </c>
      <c r="D479" s="2">
        <v>65885.944839004645</v>
      </c>
      <c r="E479" s="3">
        <v>89.947021943573674</v>
      </c>
    </row>
    <row r="480" spans="1:5" x14ac:dyDescent="0.25">
      <c r="A480" s="1" t="s">
        <v>51</v>
      </c>
      <c r="B480" s="1" t="s">
        <v>96</v>
      </c>
      <c r="C480" s="2">
        <v>72.09</v>
      </c>
      <c r="D480" s="2">
        <v>65958.034839004642</v>
      </c>
      <c r="E480" s="3">
        <v>90.570158730158738</v>
      </c>
    </row>
    <row r="481" spans="1:5" x14ac:dyDescent="0.25">
      <c r="A481" s="1" t="s">
        <v>502</v>
      </c>
      <c r="B481" s="1" t="s">
        <v>96</v>
      </c>
      <c r="C481" s="2">
        <v>57.583000000000006</v>
      </c>
      <c r="D481" s="2">
        <v>66015.617839004641</v>
      </c>
      <c r="E481" s="3">
        <v>90.570158730158738</v>
      </c>
    </row>
    <row r="482" spans="1:5" x14ac:dyDescent="0.25">
      <c r="A482" s="1" t="s">
        <v>71</v>
      </c>
      <c r="B482" s="1" t="s">
        <v>3</v>
      </c>
      <c r="C482" s="2">
        <v>15.007199999999999</v>
      </c>
      <c r="D482" s="2">
        <v>66030.625039004633</v>
      </c>
      <c r="E482" s="3">
        <v>90.849247311827938</v>
      </c>
    </row>
    <row r="483" spans="1:5" x14ac:dyDescent="0.25">
      <c r="A483" s="1" t="s">
        <v>1573</v>
      </c>
      <c r="B483" s="1" t="s">
        <v>226</v>
      </c>
      <c r="C483" s="2">
        <v>23.585000000000001</v>
      </c>
      <c r="D483" s="2">
        <v>66054.21003900464</v>
      </c>
      <c r="E483" s="3">
        <v>91.184043229497775</v>
      </c>
    </row>
    <row r="484" spans="1:5" x14ac:dyDescent="0.25">
      <c r="A484" s="1" t="s">
        <v>504</v>
      </c>
      <c r="B484" s="1" t="s">
        <v>96</v>
      </c>
      <c r="C484" s="2">
        <v>59.363000000000007</v>
      </c>
      <c r="D484" s="2">
        <v>66113.573039004637</v>
      </c>
      <c r="E484" s="3">
        <v>91.315620998719595</v>
      </c>
    </row>
    <row r="485" spans="1:5" x14ac:dyDescent="0.25">
      <c r="A485" s="1" t="s">
        <v>49</v>
      </c>
      <c r="B485" s="1" t="s">
        <v>96</v>
      </c>
      <c r="C485" s="2">
        <v>50.730000000000004</v>
      </c>
      <c r="D485" s="2">
        <v>66164.303039004633</v>
      </c>
      <c r="E485" s="3">
        <v>92.073595868302121</v>
      </c>
    </row>
    <row r="486" spans="1:5" x14ac:dyDescent="0.25">
      <c r="A486" s="1" t="s">
        <v>563</v>
      </c>
      <c r="B486" s="1" t="s">
        <v>96</v>
      </c>
      <c r="C486" s="2">
        <v>46.28</v>
      </c>
      <c r="D486" s="2">
        <v>66210.583039004632</v>
      </c>
      <c r="E486" s="3">
        <v>92.073595868302121</v>
      </c>
    </row>
    <row r="487" spans="1:5" x14ac:dyDescent="0.25">
      <c r="A487" s="1" t="s">
        <v>1106</v>
      </c>
      <c r="B487" s="1" t="s">
        <v>96</v>
      </c>
      <c r="C487" s="2">
        <v>49.84</v>
      </c>
      <c r="D487" s="2">
        <v>66260.423039004629</v>
      </c>
      <c r="E487" s="3">
        <v>92.073595868302121</v>
      </c>
    </row>
    <row r="488" spans="1:5" x14ac:dyDescent="0.25">
      <c r="A488" s="1" t="s">
        <v>1826</v>
      </c>
      <c r="B488" s="1" t="s">
        <v>96</v>
      </c>
      <c r="C488" s="2">
        <v>48.95</v>
      </c>
      <c r="D488" s="2">
        <v>66309.373039004626</v>
      </c>
      <c r="E488" s="3">
        <v>92.073595868302121</v>
      </c>
    </row>
    <row r="489" spans="1:5" x14ac:dyDescent="0.25">
      <c r="A489" s="1" t="s">
        <v>45</v>
      </c>
      <c r="B489" s="1" t="s">
        <v>96</v>
      </c>
      <c r="C489" s="2">
        <v>44.5</v>
      </c>
      <c r="D489" s="2">
        <v>66353.873039004626</v>
      </c>
      <c r="E489" s="3">
        <v>93.628365068942884</v>
      </c>
    </row>
    <row r="490" spans="1:5" x14ac:dyDescent="0.25">
      <c r="A490" s="1" t="s">
        <v>288</v>
      </c>
      <c r="B490" s="1" t="s">
        <v>96</v>
      </c>
      <c r="C490" s="2">
        <v>22.25</v>
      </c>
      <c r="D490" s="2">
        <v>66376.123039004626</v>
      </c>
      <c r="E490" s="3">
        <v>98.628373702422152</v>
      </c>
    </row>
    <row r="491" spans="1:5" x14ac:dyDescent="0.25">
      <c r="A491" s="1" t="s">
        <v>691</v>
      </c>
      <c r="B491" s="1" t="s">
        <v>4</v>
      </c>
      <c r="C491" s="2">
        <v>21.0885</v>
      </c>
      <c r="D491" s="2">
        <v>66397.211539004624</v>
      </c>
      <c r="E491" s="3">
        <v>102.01191872030445</v>
      </c>
    </row>
    <row r="492" spans="1:5" x14ac:dyDescent="0.25">
      <c r="A492" s="1" t="s">
        <v>1459</v>
      </c>
      <c r="B492" s="1" t="s">
        <v>4</v>
      </c>
      <c r="C492" s="2">
        <v>50.15</v>
      </c>
      <c r="D492" s="2">
        <v>66447.361539004618</v>
      </c>
      <c r="E492" s="3">
        <v>102.01191872030445</v>
      </c>
    </row>
    <row r="493" spans="1:5" x14ac:dyDescent="0.25">
      <c r="A493" s="1" t="s">
        <v>1028</v>
      </c>
      <c r="B493" s="1" t="s">
        <v>96</v>
      </c>
      <c r="C493" s="2">
        <v>13.795</v>
      </c>
      <c r="D493" s="2">
        <v>66461.156539004616</v>
      </c>
      <c r="E493" s="3">
        <v>103.2268115942029</v>
      </c>
    </row>
    <row r="494" spans="1:5" x14ac:dyDescent="0.25">
      <c r="A494" s="1" t="s">
        <v>1035</v>
      </c>
      <c r="B494" s="1" t="s">
        <v>96</v>
      </c>
      <c r="C494" s="2">
        <v>17.088000000000001</v>
      </c>
      <c r="D494" s="2">
        <v>66478.24453900462</v>
      </c>
      <c r="E494" s="3">
        <v>103.2268115942029</v>
      </c>
    </row>
    <row r="495" spans="1:5" x14ac:dyDescent="0.25">
      <c r="A495" s="1" t="s">
        <v>1037</v>
      </c>
      <c r="B495" s="1" t="s">
        <v>96</v>
      </c>
      <c r="C495" s="2">
        <v>13.795</v>
      </c>
      <c r="D495" s="2">
        <v>66492.039539004618</v>
      </c>
      <c r="E495" s="3">
        <v>103.2268115942029</v>
      </c>
    </row>
    <row r="496" spans="1:5" x14ac:dyDescent="0.25">
      <c r="A496" s="1" t="s">
        <v>1039</v>
      </c>
      <c r="B496" s="1" t="s">
        <v>96</v>
      </c>
      <c r="C496" s="2">
        <v>9.2560000000000002</v>
      </c>
      <c r="D496" s="2">
        <v>66501.295539004612</v>
      </c>
      <c r="E496" s="3">
        <v>103.2268115942029</v>
      </c>
    </row>
    <row r="497" spans="1:5" x14ac:dyDescent="0.25">
      <c r="A497" s="1" t="s">
        <v>1041</v>
      </c>
      <c r="B497" s="1" t="s">
        <v>96</v>
      </c>
      <c r="C497" s="2">
        <v>29.904000000000003</v>
      </c>
      <c r="D497" s="2">
        <v>66531.199539004607</v>
      </c>
      <c r="E497" s="3">
        <v>103.2268115942029</v>
      </c>
    </row>
    <row r="498" spans="1:5" x14ac:dyDescent="0.25">
      <c r="A498" s="1" t="s">
        <v>1454</v>
      </c>
      <c r="B498" s="1" t="s">
        <v>4</v>
      </c>
      <c r="C498" s="2">
        <v>90.1</v>
      </c>
      <c r="D498" s="2">
        <v>66621.299539004613</v>
      </c>
      <c r="E498" s="3">
        <v>105.78535246560318</v>
      </c>
    </row>
    <row r="499" spans="1:5" x14ac:dyDescent="0.25">
      <c r="A499" s="1" t="s">
        <v>1456</v>
      </c>
      <c r="B499" s="1" t="s">
        <v>4</v>
      </c>
      <c r="C499" s="2">
        <v>90.1</v>
      </c>
      <c r="D499" s="2">
        <v>66711.399539004618</v>
      </c>
      <c r="E499" s="3">
        <v>105.78535246560318</v>
      </c>
    </row>
    <row r="500" spans="1:5" x14ac:dyDescent="0.25">
      <c r="A500" s="1" t="s">
        <v>957</v>
      </c>
      <c r="B500" s="1" t="s">
        <v>4</v>
      </c>
      <c r="C500" s="2">
        <v>4.08</v>
      </c>
      <c r="D500" s="2">
        <v>66715.47953900462</v>
      </c>
      <c r="E500" s="3">
        <v>106.08732754475477</v>
      </c>
    </row>
    <row r="501" spans="1:5" x14ac:dyDescent="0.25">
      <c r="A501" s="1" t="s">
        <v>1024</v>
      </c>
      <c r="B501" s="1" t="s">
        <v>4</v>
      </c>
      <c r="C501" s="2">
        <v>97.240000000000009</v>
      </c>
      <c r="D501" s="2">
        <v>66812.719539004625</v>
      </c>
      <c r="E501" s="3">
        <v>106.55745506271813</v>
      </c>
    </row>
    <row r="502" spans="1:5" x14ac:dyDescent="0.25">
      <c r="A502" s="1" t="s">
        <v>1144</v>
      </c>
      <c r="B502" s="1" t="s">
        <v>4</v>
      </c>
      <c r="C502" s="2">
        <v>78.625</v>
      </c>
      <c r="D502" s="2">
        <v>66891.344539004625</v>
      </c>
      <c r="E502" s="3">
        <v>106.55745506271813</v>
      </c>
    </row>
    <row r="503" spans="1:5" x14ac:dyDescent="0.25">
      <c r="A503" s="1" t="s">
        <v>1908</v>
      </c>
      <c r="B503" s="1" t="s">
        <v>4</v>
      </c>
      <c r="C503" s="2">
        <v>51</v>
      </c>
      <c r="D503" s="2">
        <v>66942.344539004625</v>
      </c>
      <c r="E503" s="3">
        <v>106.55745506271813</v>
      </c>
    </row>
    <row r="504" spans="1:5" x14ac:dyDescent="0.25">
      <c r="A504" s="1" t="s">
        <v>1843</v>
      </c>
      <c r="B504" s="1" t="s">
        <v>4</v>
      </c>
      <c r="C504" s="2">
        <v>56.354999999999997</v>
      </c>
      <c r="D504" s="2">
        <v>66998.699539004621</v>
      </c>
      <c r="E504" s="3">
        <v>106.55745506271813</v>
      </c>
    </row>
    <row r="505" spans="1:5" x14ac:dyDescent="0.25">
      <c r="A505" s="1" t="s">
        <v>740</v>
      </c>
      <c r="B505" s="1" t="s">
        <v>4</v>
      </c>
      <c r="C505" s="2">
        <v>14.45</v>
      </c>
      <c r="D505" s="2">
        <v>67013.149539004618</v>
      </c>
      <c r="E505" s="3">
        <v>106.69652944356494</v>
      </c>
    </row>
    <row r="506" spans="1:5" x14ac:dyDescent="0.25">
      <c r="A506" s="1" t="s">
        <v>965</v>
      </c>
      <c r="B506" s="1" t="s">
        <v>4</v>
      </c>
      <c r="C506" s="2">
        <v>38.25</v>
      </c>
      <c r="D506" s="2">
        <v>67051.399539004618</v>
      </c>
      <c r="E506" s="3">
        <v>106.69652944356494</v>
      </c>
    </row>
    <row r="507" spans="1:5" x14ac:dyDescent="0.25">
      <c r="A507" s="1" t="s">
        <v>969</v>
      </c>
      <c r="B507" s="1" t="s">
        <v>4</v>
      </c>
      <c r="C507" s="2">
        <v>21.25</v>
      </c>
      <c r="D507" s="2">
        <v>67072.649539004618</v>
      </c>
      <c r="E507" s="3">
        <v>106.69652944356494</v>
      </c>
    </row>
    <row r="508" spans="1:5" x14ac:dyDescent="0.25">
      <c r="A508" s="1" t="s">
        <v>156</v>
      </c>
      <c r="B508" s="1" t="s">
        <v>4</v>
      </c>
      <c r="C508" s="2">
        <v>0.64600000000000002</v>
      </c>
      <c r="D508" s="2">
        <v>67073.295539004612</v>
      </c>
      <c r="E508" s="3">
        <v>106.69652944356494</v>
      </c>
    </row>
    <row r="509" spans="1:5" x14ac:dyDescent="0.25">
      <c r="A509" s="1" t="s">
        <v>1450</v>
      </c>
      <c r="B509" s="1" t="s">
        <v>4</v>
      </c>
      <c r="C509" s="2">
        <v>29.324999999999999</v>
      </c>
      <c r="D509" s="2">
        <v>67102.620539004609</v>
      </c>
      <c r="E509" s="3">
        <v>107.00378679659855</v>
      </c>
    </row>
    <row r="510" spans="1:5" x14ac:dyDescent="0.25">
      <c r="A510" s="1" t="s">
        <v>85</v>
      </c>
      <c r="B510" s="1" t="s">
        <v>4</v>
      </c>
      <c r="C510" s="2">
        <v>0.442</v>
      </c>
      <c r="D510" s="2">
        <v>67103.062539004604</v>
      </c>
      <c r="E510" s="3">
        <v>107.93637143117274</v>
      </c>
    </row>
    <row r="511" spans="1:5" x14ac:dyDescent="0.25">
      <c r="B511" s="1" t="s">
        <v>4</v>
      </c>
      <c r="C511" s="2">
        <v>346.42542636022375</v>
      </c>
      <c r="D511" s="2">
        <v>67449.487965364824</v>
      </c>
      <c r="E511" s="3">
        <v>108.25089017067619</v>
      </c>
    </row>
    <row r="512" spans="1:5" x14ac:dyDescent="0.25">
      <c r="A512" s="1" t="s">
        <v>1292</v>
      </c>
      <c r="B512" s="1" t="s">
        <v>4</v>
      </c>
      <c r="C512" s="2">
        <v>9.69</v>
      </c>
      <c r="D512" s="2">
        <v>67459.177965364826</v>
      </c>
      <c r="E512" s="3">
        <v>108.88551082257368</v>
      </c>
    </row>
    <row r="513" spans="1:5" x14ac:dyDescent="0.25">
      <c r="A513" s="1" t="s">
        <v>743</v>
      </c>
      <c r="B513" s="1" t="s">
        <v>4</v>
      </c>
      <c r="C513" s="2">
        <v>102</v>
      </c>
      <c r="D513" s="2">
        <v>67561.177965364826</v>
      </c>
      <c r="E513" s="3">
        <v>111.07638014224175</v>
      </c>
    </row>
    <row r="514" spans="1:5" x14ac:dyDescent="0.25">
      <c r="A514" s="1" t="s">
        <v>1808</v>
      </c>
      <c r="B514" s="1" t="s">
        <v>4</v>
      </c>
      <c r="C514" s="2">
        <v>8.9249999999999989</v>
      </c>
      <c r="D514" s="2">
        <v>67570.102965364829</v>
      </c>
      <c r="E514" s="3">
        <v>112.17470322570092</v>
      </c>
    </row>
    <row r="515" spans="1:5" x14ac:dyDescent="0.25">
      <c r="A515" s="1" t="s">
        <v>1472</v>
      </c>
      <c r="B515" s="1" t="s">
        <v>4</v>
      </c>
      <c r="C515" s="2">
        <v>9.69</v>
      </c>
      <c r="D515" s="2">
        <v>67579.792965364832</v>
      </c>
      <c r="E515" s="3">
        <v>112.17470322570092</v>
      </c>
    </row>
    <row r="516" spans="1:5" x14ac:dyDescent="0.25">
      <c r="A516" s="1" t="s">
        <v>190</v>
      </c>
      <c r="B516" s="1" t="s">
        <v>4</v>
      </c>
      <c r="C516" s="2">
        <v>156.4</v>
      </c>
      <c r="D516" s="2">
        <v>67736.192965364826</v>
      </c>
      <c r="E516" s="3">
        <v>112.51468702761439</v>
      </c>
    </row>
    <row r="517" spans="1:5" x14ac:dyDescent="0.25">
      <c r="A517" s="1" t="s">
        <v>1441</v>
      </c>
      <c r="B517" s="1" t="s">
        <v>4</v>
      </c>
      <c r="C517" s="2">
        <v>73.95</v>
      </c>
      <c r="D517" s="2">
        <v>67810.142965364823</v>
      </c>
      <c r="E517" s="3">
        <v>113.89567386386967</v>
      </c>
    </row>
    <row r="518" spans="1:5" x14ac:dyDescent="0.25">
      <c r="A518" s="1" t="s">
        <v>1431</v>
      </c>
      <c r="B518" s="1" t="s">
        <v>4</v>
      </c>
      <c r="C518" s="2">
        <v>74.8</v>
      </c>
      <c r="D518" s="2">
        <v>67884.942965364826</v>
      </c>
      <c r="E518" s="3">
        <v>114.24628154667671</v>
      </c>
    </row>
    <row r="519" spans="1:5" x14ac:dyDescent="0.25">
      <c r="A519" s="1" t="s">
        <v>1444</v>
      </c>
      <c r="B519" s="1" t="s">
        <v>4</v>
      </c>
      <c r="C519" s="2">
        <v>23.8</v>
      </c>
      <c r="D519" s="2">
        <v>67908.742965364829</v>
      </c>
      <c r="E519" s="3">
        <v>114.24628154667671</v>
      </c>
    </row>
    <row r="520" spans="1:5" x14ac:dyDescent="0.25">
      <c r="A520" s="1" t="s">
        <v>1803</v>
      </c>
      <c r="B520" s="1" t="s">
        <v>4</v>
      </c>
      <c r="C520" s="2">
        <v>20.399999999999999</v>
      </c>
      <c r="D520" s="2">
        <v>67929.142965364823</v>
      </c>
      <c r="E520" s="3">
        <v>115.99952099722734</v>
      </c>
    </row>
    <row r="521" spans="1:5" x14ac:dyDescent="0.25">
      <c r="A521" s="1" t="s">
        <v>1963</v>
      </c>
      <c r="B521" s="1" t="s">
        <v>5</v>
      </c>
      <c r="C521" s="2">
        <v>8.6019999999999985</v>
      </c>
      <c r="D521" s="2">
        <v>67937.744965364822</v>
      </c>
      <c r="E521" s="3">
        <v>116.72191795100883</v>
      </c>
    </row>
    <row r="522" spans="1:5" x14ac:dyDescent="0.25">
      <c r="B522" s="1" t="s">
        <v>5</v>
      </c>
      <c r="C522" s="2">
        <v>414.42877949999996</v>
      </c>
      <c r="D522" s="2">
        <v>68352.17374486482</v>
      </c>
      <c r="E522" s="3">
        <v>116.72191795100883</v>
      </c>
    </row>
    <row r="523" spans="1:5" x14ac:dyDescent="0.25">
      <c r="A523" s="1" t="s">
        <v>863</v>
      </c>
      <c r="B523" s="1" t="s">
        <v>4</v>
      </c>
      <c r="C523" s="2">
        <v>37.824999999999996</v>
      </c>
      <c r="D523" s="2">
        <v>68389.998744864817</v>
      </c>
      <c r="E523" s="3">
        <v>117.87597005778815</v>
      </c>
    </row>
    <row r="524" spans="1:5" x14ac:dyDescent="0.25">
      <c r="A524" s="1" t="s">
        <v>834</v>
      </c>
      <c r="B524" s="1" t="s">
        <v>4</v>
      </c>
      <c r="C524" s="2">
        <v>19.72</v>
      </c>
      <c r="D524" s="2">
        <v>68409.718744864818</v>
      </c>
      <c r="E524" s="3">
        <v>121.38365223239165</v>
      </c>
    </row>
    <row r="525" spans="1:5" x14ac:dyDescent="0.25">
      <c r="A525" s="1" t="s">
        <v>839</v>
      </c>
      <c r="B525" s="1" t="s">
        <v>4</v>
      </c>
      <c r="C525" s="2">
        <v>19.72</v>
      </c>
      <c r="D525" s="2">
        <v>68429.438744864819</v>
      </c>
      <c r="E525" s="3">
        <v>121.38365223239165</v>
      </c>
    </row>
    <row r="526" spans="1:5" x14ac:dyDescent="0.25">
      <c r="A526" s="1" t="s">
        <v>841</v>
      </c>
      <c r="B526" s="1" t="s">
        <v>4</v>
      </c>
      <c r="C526" s="2">
        <v>19.72</v>
      </c>
      <c r="D526" s="2">
        <v>68449.158744864821</v>
      </c>
      <c r="E526" s="3">
        <v>121.38365223239165</v>
      </c>
    </row>
    <row r="527" spans="1:5" x14ac:dyDescent="0.25">
      <c r="A527" s="1" t="s">
        <v>842</v>
      </c>
      <c r="B527" s="1" t="s">
        <v>4</v>
      </c>
      <c r="C527" s="2">
        <v>19.72</v>
      </c>
      <c r="D527" s="2">
        <v>68468.878744864822</v>
      </c>
      <c r="E527" s="3">
        <v>121.38365223239165</v>
      </c>
    </row>
    <row r="528" spans="1:5" x14ac:dyDescent="0.25">
      <c r="A528" s="1" t="s">
        <v>1798</v>
      </c>
      <c r="B528" s="1" t="s">
        <v>4</v>
      </c>
      <c r="C528" s="2">
        <v>115.6</v>
      </c>
      <c r="D528" s="2">
        <v>68584.478744864828</v>
      </c>
      <c r="E528" s="3">
        <v>122.33040811806684</v>
      </c>
    </row>
    <row r="529" spans="1:5" x14ac:dyDescent="0.25">
      <c r="A529" s="1" t="s">
        <v>1945</v>
      </c>
      <c r="B529" s="1" t="s">
        <v>4</v>
      </c>
      <c r="C529" s="2">
        <v>39.1</v>
      </c>
      <c r="D529" s="2">
        <v>68623.578744864833</v>
      </c>
      <c r="E529" s="3">
        <v>127.29670316068292</v>
      </c>
    </row>
    <row r="530" spans="1:5" x14ac:dyDescent="0.25">
      <c r="A530" s="1" t="s">
        <v>313</v>
      </c>
      <c r="B530" s="1" t="s">
        <v>4</v>
      </c>
      <c r="C530" s="2">
        <v>73.099999999999994</v>
      </c>
      <c r="D530" s="2">
        <v>68696.678744864839</v>
      </c>
      <c r="E530" s="3">
        <v>128.33915213915205</v>
      </c>
    </row>
    <row r="531" spans="1:5" x14ac:dyDescent="0.25">
      <c r="A531" s="1" t="s">
        <v>1736</v>
      </c>
      <c r="B531" s="1" t="s">
        <v>4</v>
      </c>
      <c r="C531" s="2">
        <v>19.805</v>
      </c>
      <c r="D531" s="2">
        <v>68716.483744864832</v>
      </c>
      <c r="E531" s="3">
        <v>129.39895302123205</v>
      </c>
    </row>
    <row r="532" spans="1:5" x14ac:dyDescent="0.25">
      <c r="A532" s="1" t="s">
        <v>1738</v>
      </c>
      <c r="B532" s="1" t="s">
        <v>4</v>
      </c>
      <c r="C532" s="2">
        <v>19.805</v>
      </c>
      <c r="D532" s="2">
        <v>68736.288744864825</v>
      </c>
      <c r="E532" s="3">
        <v>129.39895302123205</v>
      </c>
    </row>
    <row r="533" spans="1:5" x14ac:dyDescent="0.25">
      <c r="A533" s="1" t="s">
        <v>1740</v>
      </c>
      <c r="B533" s="1" t="s">
        <v>4</v>
      </c>
      <c r="C533" s="2">
        <v>19.805</v>
      </c>
      <c r="D533" s="2">
        <v>68756.093744864818</v>
      </c>
      <c r="E533" s="3">
        <v>129.39895302123205</v>
      </c>
    </row>
    <row r="534" spans="1:5" x14ac:dyDescent="0.25">
      <c r="A534" s="1" t="s">
        <v>1855</v>
      </c>
      <c r="B534" s="1" t="s">
        <v>4</v>
      </c>
      <c r="C534" s="2">
        <v>47.6</v>
      </c>
      <c r="D534" s="2">
        <v>68803.693744864824</v>
      </c>
      <c r="E534" s="3">
        <v>130.4765426850642</v>
      </c>
    </row>
    <row r="535" spans="1:5" x14ac:dyDescent="0.25">
      <c r="A535" s="1" t="s">
        <v>517</v>
      </c>
      <c r="B535" s="1" t="s">
        <v>4</v>
      </c>
      <c r="C535" s="2">
        <v>73.27</v>
      </c>
      <c r="D535" s="2">
        <v>68876.963744864828</v>
      </c>
      <c r="E535" s="3">
        <v>131.57237279893522</v>
      </c>
    </row>
    <row r="536" spans="1:5" x14ac:dyDescent="0.25">
      <c r="A536" s="1" t="s">
        <v>1810</v>
      </c>
      <c r="B536" s="1" t="s">
        <v>4</v>
      </c>
      <c r="C536" s="2">
        <v>42.924999999999997</v>
      </c>
      <c r="D536" s="2">
        <v>68919.888744864831</v>
      </c>
      <c r="E536" s="3">
        <v>131.57237279893522</v>
      </c>
    </row>
    <row r="537" spans="1:5" x14ac:dyDescent="0.25">
      <c r="A537" s="1" t="s">
        <v>1812</v>
      </c>
      <c r="B537" s="1" t="s">
        <v>4</v>
      </c>
      <c r="C537" s="2">
        <v>42.924999999999997</v>
      </c>
      <c r="D537" s="2">
        <v>68962.813744864834</v>
      </c>
      <c r="E537" s="3">
        <v>131.57237279893522</v>
      </c>
    </row>
    <row r="538" spans="1:5" x14ac:dyDescent="0.25">
      <c r="A538" s="1" t="s">
        <v>193</v>
      </c>
      <c r="B538" s="1" t="s">
        <v>4</v>
      </c>
      <c r="C538" s="2">
        <v>28.9</v>
      </c>
      <c r="D538" s="2">
        <v>68991.713744864828</v>
      </c>
      <c r="E538" s="3">
        <v>132.68691045250458</v>
      </c>
    </row>
    <row r="539" spans="1:5" x14ac:dyDescent="0.25">
      <c r="A539" s="1" t="s">
        <v>1269</v>
      </c>
      <c r="B539" s="1" t="s">
        <v>5</v>
      </c>
      <c r="C539" s="2">
        <v>143.922</v>
      </c>
      <c r="D539" s="2">
        <v>69135.635744864834</v>
      </c>
      <c r="E539" s="3">
        <v>142.43789971789968</v>
      </c>
    </row>
    <row r="540" spans="1:5" x14ac:dyDescent="0.25">
      <c r="A540" s="1" t="s">
        <v>1415</v>
      </c>
      <c r="B540" s="1" t="s">
        <v>226</v>
      </c>
      <c r="C540" s="2">
        <v>32.04</v>
      </c>
      <c r="D540" s="2">
        <v>69167.675744864828</v>
      </c>
      <c r="E540" s="3">
        <v>158.24777777777777</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3">
    <tabColor theme="0" tint="-0.34998626667073579"/>
  </sheetPr>
  <dimension ref="A1:J1004"/>
  <sheetViews>
    <sheetView workbookViewId="0">
      <selection activeCell="F9" sqref="F9"/>
    </sheetView>
  </sheetViews>
  <sheetFormatPr defaultColWidth="11.42578125" defaultRowHeight="15" x14ac:dyDescent="0.25"/>
  <cols>
    <col min="1" max="1" width="16.7109375" style="2" customWidth="1"/>
    <col min="2" max="2" width="12" style="3" customWidth="1"/>
    <col min="3" max="10" width="11.42578125" style="3"/>
    <col min="11" max="11" width="11.42578125" style="1"/>
    <col min="12" max="12" width="11.42578125" style="1" customWidth="1"/>
    <col min="13" max="16384" width="11.42578125" style="1"/>
  </cols>
  <sheetData>
    <row r="1" spans="1:10" x14ac:dyDescent="0.25">
      <c r="A1" s="2" t="s">
        <v>2394</v>
      </c>
      <c r="B1" s="3" t="s">
        <v>2417</v>
      </c>
      <c r="C1" s="3" t="s">
        <v>6</v>
      </c>
      <c r="D1" s="3" t="s">
        <v>1</v>
      </c>
      <c r="E1" s="3" t="s">
        <v>2</v>
      </c>
      <c r="F1" s="3" t="s">
        <v>3</v>
      </c>
      <c r="G1" s="3" t="s">
        <v>226</v>
      </c>
      <c r="H1" s="3" t="s">
        <v>96</v>
      </c>
      <c r="I1" s="3" t="s">
        <v>4</v>
      </c>
      <c r="J1" s="3" t="s">
        <v>5</v>
      </c>
    </row>
    <row r="2" spans="1:10" x14ac:dyDescent="0.25">
      <c r="A2" s="4">
        <v>0</v>
      </c>
      <c r="B2" s="3">
        <v>0</v>
      </c>
      <c r="C2" s="3">
        <v>1</v>
      </c>
      <c r="D2" s="3">
        <v>0</v>
      </c>
      <c r="E2" s="3">
        <v>0</v>
      </c>
      <c r="F2" s="3">
        <v>0</v>
      </c>
      <c r="G2" s="3">
        <v>0</v>
      </c>
      <c r="H2" s="3">
        <v>0</v>
      </c>
      <c r="I2" s="3">
        <v>0</v>
      </c>
      <c r="J2" s="3">
        <v>0</v>
      </c>
    </row>
    <row r="3" spans="1:10" x14ac:dyDescent="0.25">
      <c r="A3" s="4">
        <v>1574.8175250000004</v>
      </c>
      <c r="B3" s="3">
        <v>0</v>
      </c>
      <c r="C3" s="3">
        <v>1</v>
      </c>
      <c r="D3" s="3">
        <v>0</v>
      </c>
      <c r="E3" s="3">
        <v>0</v>
      </c>
      <c r="F3" s="3">
        <v>0</v>
      </c>
      <c r="G3" s="3">
        <v>0</v>
      </c>
      <c r="H3" s="3">
        <v>0</v>
      </c>
      <c r="I3" s="3">
        <v>0</v>
      </c>
      <c r="J3" s="3">
        <v>0</v>
      </c>
    </row>
    <row r="4" spans="1:10" x14ac:dyDescent="0.25">
      <c r="A4" s="4">
        <v>1574.8175250000004</v>
      </c>
      <c r="B4" s="3">
        <v>0</v>
      </c>
      <c r="C4" s="3">
        <v>0</v>
      </c>
      <c r="D4" s="3">
        <v>17.866700000000002</v>
      </c>
      <c r="E4" s="3">
        <v>0</v>
      </c>
      <c r="F4" s="3">
        <v>0</v>
      </c>
      <c r="G4" s="3">
        <v>0</v>
      </c>
      <c r="H4" s="3">
        <v>0</v>
      </c>
      <c r="I4" s="3">
        <v>0</v>
      </c>
      <c r="J4" s="3">
        <v>0</v>
      </c>
    </row>
    <row r="5" spans="1:10" x14ac:dyDescent="0.25">
      <c r="A5" s="4">
        <v>10044.057525000002</v>
      </c>
      <c r="B5" s="3">
        <v>0</v>
      </c>
      <c r="C5" s="3">
        <v>0</v>
      </c>
      <c r="D5" s="3">
        <v>17.866700000000002</v>
      </c>
      <c r="E5" s="3">
        <v>0</v>
      </c>
      <c r="F5" s="3">
        <v>0</v>
      </c>
      <c r="G5" s="3">
        <v>0</v>
      </c>
      <c r="H5" s="3">
        <v>0</v>
      </c>
      <c r="I5" s="3">
        <v>0</v>
      </c>
      <c r="J5" s="3">
        <v>0</v>
      </c>
    </row>
    <row r="6" spans="1:10" x14ac:dyDescent="0.25">
      <c r="A6" s="4">
        <v>10044.057525000002</v>
      </c>
      <c r="B6" s="3">
        <v>0</v>
      </c>
      <c r="C6" s="3">
        <v>0</v>
      </c>
      <c r="D6" s="3">
        <v>0</v>
      </c>
      <c r="E6" s="3">
        <v>31.770099999999999</v>
      </c>
      <c r="F6" s="3">
        <v>0</v>
      </c>
      <c r="G6" s="3">
        <v>0</v>
      </c>
      <c r="H6" s="3">
        <v>0</v>
      </c>
      <c r="I6" s="3">
        <v>0</v>
      </c>
      <c r="J6" s="3">
        <v>0</v>
      </c>
    </row>
    <row r="7" spans="1:10" x14ac:dyDescent="0.25">
      <c r="A7" s="4">
        <v>10061.718525000002</v>
      </c>
      <c r="B7" s="3">
        <v>0</v>
      </c>
      <c r="C7" s="3">
        <v>0</v>
      </c>
      <c r="D7" s="3">
        <v>0</v>
      </c>
      <c r="E7" s="3">
        <v>31.770099999999999</v>
      </c>
      <c r="F7" s="3">
        <v>0</v>
      </c>
      <c r="G7" s="3">
        <v>0</v>
      </c>
      <c r="H7" s="3">
        <v>0</v>
      </c>
      <c r="I7" s="3">
        <v>0</v>
      </c>
      <c r="J7" s="3">
        <v>0</v>
      </c>
    </row>
    <row r="8" spans="1:10" x14ac:dyDescent="0.25">
      <c r="A8" s="4">
        <v>10061.718525000002</v>
      </c>
      <c r="B8" s="3">
        <v>0</v>
      </c>
      <c r="C8" s="3">
        <v>0</v>
      </c>
      <c r="D8" s="3">
        <v>0</v>
      </c>
      <c r="E8" s="3">
        <v>31.9375</v>
      </c>
      <c r="F8" s="3">
        <v>0</v>
      </c>
      <c r="G8" s="3">
        <v>0</v>
      </c>
      <c r="H8" s="3">
        <v>0</v>
      </c>
      <c r="I8" s="3">
        <v>0</v>
      </c>
      <c r="J8" s="3">
        <v>0</v>
      </c>
    </row>
    <row r="9" spans="1:10" x14ac:dyDescent="0.25">
      <c r="A9" s="4">
        <v>10081.919925000002</v>
      </c>
      <c r="B9" s="3">
        <v>0</v>
      </c>
      <c r="C9" s="3">
        <v>0</v>
      </c>
      <c r="D9" s="3">
        <v>0</v>
      </c>
      <c r="E9" s="3">
        <v>31.9375</v>
      </c>
      <c r="F9" s="3">
        <v>0</v>
      </c>
      <c r="G9" s="3">
        <v>0</v>
      </c>
      <c r="H9" s="3">
        <v>0</v>
      </c>
      <c r="I9" s="3">
        <v>0</v>
      </c>
      <c r="J9" s="3">
        <v>0</v>
      </c>
    </row>
    <row r="10" spans="1:10" x14ac:dyDescent="0.25">
      <c r="A10" s="4">
        <v>10081.919925000002</v>
      </c>
      <c r="B10" s="3">
        <v>0</v>
      </c>
      <c r="C10" s="3">
        <v>0</v>
      </c>
      <c r="D10" s="3">
        <v>0</v>
      </c>
      <c r="E10" s="3">
        <v>32.106699999999996</v>
      </c>
      <c r="F10" s="3">
        <v>0</v>
      </c>
      <c r="G10" s="3">
        <v>0</v>
      </c>
      <c r="H10" s="3">
        <v>0</v>
      </c>
      <c r="I10" s="3">
        <v>0</v>
      </c>
      <c r="J10" s="3">
        <v>0</v>
      </c>
    </row>
    <row r="11" spans="1:10" x14ac:dyDescent="0.25">
      <c r="A11" s="4">
        <v>12483.119925000003</v>
      </c>
      <c r="B11" s="3">
        <v>0</v>
      </c>
      <c r="C11" s="3">
        <v>0</v>
      </c>
      <c r="D11" s="3">
        <v>0</v>
      </c>
      <c r="E11" s="3">
        <v>32.106699999999996</v>
      </c>
      <c r="F11" s="3">
        <v>0</v>
      </c>
      <c r="G11" s="3">
        <v>0</v>
      </c>
      <c r="H11" s="3">
        <v>0</v>
      </c>
      <c r="I11" s="3">
        <v>0</v>
      </c>
      <c r="J11" s="3">
        <v>0</v>
      </c>
    </row>
    <row r="12" spans="1:10" x14ac:dyDescent="0.25">
      <c r="A12" s="4">
        <v>12483.119925000003</v>
      </c>
      <c r="B12" s="3">
        <v>0</v>
      </c>
      <c r="C12" s="3">
        <v>0</v>
      </c>
      <c r="D12" s="3">
        <v>0</v>
      </c>
      <c r="E12" s="3">
        <v>32.450899999999997</v>
      </c>
      <c r="F12" s="3">
        <v>0</v>
      </c>
      <c r="G12" s="3">
        <v>0</v>
      </c>
      <c r="H12" s="3">
        <v>0</v>
      </c>
      <c r="I12" s="3">
        <v>0</v>
      </c>
      <c r="J12" s="3">
        <v>0</v>
      </c>
    </row>
    <row r="13" spans="1:10" x14ac:dyDescent="0.25">
      <c r="A13" s="4">
        <v>12627.626925000002</v>
      </c>
      <c r="B13" s="3">
        <v>0</v>
      </c>
      <c r="C13" s="3">
        <v>0</v>
      </c>
      <c r="D13" s="3">
        <v>0</v>
      </c>
      <c r="E13" s="3">
        <v>32.450899999999997</v>
      </c>
      <c r="F13" s="3">
        <v>0</v>
      </c>
      <c r="G13" s="3">
        <v>0</v>
      </c>
      <c r="H13" s="3">
        <v>0</v>
      </c>
      <c r="I13" s="3">
        <v>0</v>
      </c>
      <c r="J13" s="3">
        <v>0</v>
      </c>
    </row>
    <row r="14" spans="1:10" x14ac:dyDescent="0.25">
      <c r="A14" s="4">
        <v>12627.626925000002</v>
      </c>
      <c r="B14" s="3">
        <v>0</v>
      </c>
      <c r="C14" s="3">
        <v>0</v>
      </c>
      <c r="D14" s="3">
        <v>0</v>
      </c>
      <c r="E14" s="3">
        <v>32.625999999999998</v>
      </c>
      <c r="F14" s="3">
        <v>0</v>
      </c>
      <c r="G14" s="3">
        <v>0</v>
      </c>
      <c r="H14" s="3">
        <v>0</v>
      </c>
      <c r="I14" s="3">
        <v>0</v>
      </c>
      <c r="J14" s="3">
        <v>0</v>
      </c>
    </row>
    <row r="15" spans="1:10" x14ac:dyDescent="0.25">
      <c r="A15" s="4">
        <v>13191.386925000003</v>
      </c>
      <c r="B15" s="3">
        <v>0</v>
      </c>
      <c r="C15" s="3">
        <v>0</v>
      </c>
      <c r="D15" s="3">
        <v>0</v>
      </c>
      <c r="E15" s="3">
        <v>32.625999999999998</v>
      </c>
      <c r="F15" s="3">
        <v>0</v>
      </c>
      <c r="G15" s="3">
        <v>0</v>
      </c>
      <c r="H15" s="3">
        <v>0</v>
      </c>
      <c r="I15" s="3">
        <v>0</v>
      </c>
      <c r="J15" s="3">
        <v>0</v>
      </c>
    </row>
    <row r="16" spans="1:10" x14ac:dyDescent="0.25">
      <c r="A16" s="4">
        <v>13191.386925000003</v>
      </c>
      <c r="B16" s="3">
        <v>0</v>
      </c>
      <c r="C16" s="3">
        <v>0</v>
      </c>
      <c r="D16" s="3">
        <v>0</v>
      </c>
      <c r="E16" s="3">
        <v>32.803100000000001</v>
      </c>
      <c r="F16" s="3">
        <v>0</v>
      </c>
      <c r="G16" s="3">
        <v>0</v>
      </c>
      <c r="H16" s="3">
        <v>0</v>
      </c>
      <c r="I16" s="3">
        <v>0</v>
      </c>
      <c r="J16" s="3">
        <v>0</v>
      </c>
    </row>
    <row r="17" spans="1:10" x14ac:dyDescent="0.25">
      <c r="A17" s="4">
        <v>13737.746925000003</v>
      </c>
      <c r="B17" s="3">
        <v>0</v>
      </c>
      <c r="C17" s="3">
        <v>0</v>
      </c>
      <c r="D17" s="3">
        <v>0</v>
      </c>
      <c r="E17" s="3">
        <v>32.803100000000001</v>
      </c>
      <c r="F17" s="3">
        <v>0</v>
      </c>
      <c r="G17" s="3">
        <v>0</v>
      </c>
      <c r="H17" s="3">
        <v>0</v>
      </c>
      <c r="I17" s="3">
        <v>0</v>
      </c>
      <c r="J17" s="3">
        <v>0</v>
      </c>
    </row>
    <row r="18" spans="1:10" x14ac:dyDescent="0.25">
      <c r="A18" s="4">
        <v>13737.746925000003</v>
      </c>
      <c r="B18" s="3">
        <v>0</v>
      </c>
      <c r="C18" s="3">
        <v>0</v>
      </c>
      <c r="D18" s="3">
        <v>0</v>
      </c>
      <c r="E18" s="3">
        <v>33.909500000000001</v>
      </c>
      <c r="F18" s="3">
        <v>0</v>
      </c>
      <c r="G18" s="3">
        <v>0</v>
      </c>
      <c r="H18" s="3">
        <v>0</v>
      </c>
      <c r="I18" s="3">
        <v>0</v>
      </c>
      <c r="J18" s="3">
        <v>0</v>
      </c>
    </row>
    <row r="19" spans="1:10" x14ac:dyDescent="0.25">
      <c r="A19" s="4">
        <v>14559.026925000004</v>
      </c>
      <c r="B19" s="3">
        <v>0</v>
      </c>
      <c r="C19" s="3">
        <v>0</v>
      </c>
      <c r="D19" s="3">
        <v>0</v>
      </c>
      <c r="E19" s="3">
        <v>33.909500000000001</v>
      </c>
      <c r="F19" s="3">
        <v>0</v>
      </c>
      <c r="G19" s="3">
        <v>0</v>
      </c>
      <c r="H19" s="3">
        <v>0</v>
      </c>
      <c r="I19" s="3">
        <v>0</v>
      </c>
      <c r="J19" s="3">
        <v>0</v>
      </c>
    </row>
    <row r="20" spans="1:10" x14ac:dyDescent="0.25">
      <c r="A20" s="4">
        <v>14559.026925000004</v>
      </c>
      <c r="B20" s="3">
        <v>0</v>
      </c>
      <c r="C20" s="3">
        <v>0</v>
      </c>
      <c r="D20" s="3">
        <v>0</v>
      </c>
      <c r="E20" s="3">
        <v>34.295999999999999</v>
      </c>
      <c r="F20" s="3">
        <v>0</v>
      </c>
      <c r="G20" s="3">
        <v>0</v>
      </c>
      <c r="H20" s="3">
        <v>0</v>
      </c>
      <c r="I20" s="3">
        <v>0</v>
      </c>
      <c r="J20" s="3">
        <v>0</v>
      </c>
    </row>
    <row r="21" spans="1:10" x14ac:dyDescent="0.25">
      <c r="A21" s="4">
        <v>16081.091925000004</v>
      </c>
      <c r="B21" s="3">
        <v>0</v>
      </c>
      <c r="C21" s="3">
        <v>0</v>
      </c>
      <c r="D21" s="3">
        <v>0</v>
      </c>
      <c r="E21" s="3">
        <v>34.295999999999999</v>
      </c>
      <c r="F21" s="3">
        <v>0</v>
      </c>
      <c r="G21" s="3">
        <v>0</v>
      </c>
      <c r="H21" s="3">
        <v>0</v>
      </c>
      <c r="I21" s="3">
        <v>0</v>
      </c>
      <c r="J21" s="3">
        <v>0</v>
      </c>
    </row>
    <row r="22" spans="1:10" x14ac:dyDescent="0.25">
      <c r="A22" s="4">
        <v>16081.091925000004</v>
      </c>
      <c r="B22" s="3">
        <v>0</v>
      </c>
      <c r="C22" s="3">
        <v>0</v>
      </c>
      <c r="D22" s="3">
        <v>0</v>
      </c>
      <c r="E22" s="3">
        <v>34.492800000000003</v>
      </c>
      <c r="F22" s="3">
        <v>0</v>
      </c>
      <c r="G22" s="3">
        <v>0</v>
      </c>
      <c r="H22" s="3">
        <v>0</v>
      </c>
      <c r="I22" s="3">
        <v>0</v>
      </c>
      <c r="J22" s="3">
        <v>0</v>
      </c>
    </row>
    <row r="23" spans="1:10" x14ac:dyDescent="0.25">
      <c r="A23" s="4">
        <v>16906.721925000005</v>
      </c>
      <c r="B23" s="3">
        <v>0</v>
      </c>
      <c r="C23" s="3">
        <v>0</v>
      </c>
      <c r="D23" s="3">
        <v>0</v>
      </c>
      <c r="E23" s="3">
        <v>34.492800000000003</v>
      </c>
      <c r="F23" s="3">
        <v>0</v>
      </c>
      <c r="G23" s="3">
        <v>0</v>
      </c>
      <c r="H23" s="3">
        <v>0</v>
      </c>
      <c r="I23" s="3">
        <v>0</v>
      </c>
      <c r="J23" s="3">
        <v>0</v>
      </c>
    </row>
    <row r="24" spans="1:10" x14ac:dyDescent="0.25">
      <c r="A24" s="4">
        <v>16906.721925000005</v>
      </c>
      <c r="B24" s="3">
        <v>0</v>
      </c>
      <c r="C24" s="3">
        <v>0</v>
      </c>
      <c r="D24" s="3">
        <v>0</v>
      </c>
      <c r="E24" s="3">
        <v>34.691899999999997</v>
      </c>
      <c r="F24" s="3">
        <v>0</v>
      </c>
      <c r="G24" s="3">
        <v>0</v>
      </c>
      <c r="H24" s="3">
        <v>0</v>
      </c>
      <c r="I24" s="3">
        <v>0</v>
      </c>
      <c r="J24" s="3">
        <v>0</v>
      </c>
    </row>
    <row r="25" spans="1:10" x14ac:dyDescent="0.25">
      <c r="A25" s="4">
        <v>17559.221925000005</v>
      </c>
      <c r="B25" s="3">
        <v>0</v>
      </c>
      <c r="C25" s="3">
        <v>0</v>
      </c>
      <c r="D25" s="3">
        <v>0</v>
      </c>
      <c r="E25" s="3">
        <v>34.691899999999997</v>
      </c>
      <c r="F25" s="3">
        <v>0</v>
      </c>
      <c r="G25" s="3">
        <v>0</v>
      </c>
      <c r="H25" s="3">
        <v>0</v>
      </c>
      <c r="I25" s="3">
        <v>0</v>
      </c>
      <c r="J25" s="3">
        <v>0</v>
      </c>
    </row>
    <row r="26" spans="1:10" x14ac:dyDescent="0.25">
      <c r="A26" s="4">
        <v>17559.221925000005</v>
      </c>
      <c r="B26" s="3">
        <v>0</v>
      </c>
      <c r="C26" s="3">
        <v>0</v>
      </c>
      <c r="D26" s="3">
        <v>0</v>
      </c>
      <c r="E26" s="3">
        <v>34.893500000000003</v>
      </c>
      <c r="F26" s="3">
        <v>0</v>
      </c>
      <c r="G26" s="3">
        <v>0</v>
      </c>
      <c r="H26" s="3">
        <v>0</v>
      </c>
      <c r="I26" s="3">
        <v>0</v>
      </c>
      <c r="J26" s="3">
        <v>0</v>
      </c>
    </row>
    <row r="27" spans="1:10" x14ac:dyDescent="0.25">
      <c r="A27" s="4">
        <v>18250.871925000007</v>
      </c>
      <c r="B27" s="3">
        <v>0</v>
      </c>
      <c r="C27" s="3">
        <v>0</v>
      </c>
      <c r="D27" s="3">
        <v>0</v>
      </c>
      <c r="E27" s="3">
        <v>34.893500000000003</v>
      </c>
      <c r="F27" s="3">
        <v>0</v>
      </c>
      <c r="G27" s="3">
        <v>0</v>
      </c>
      <c r="H27" s="3">
        <v>0</v>
      </c>
      <c r="I27" s="3">
        <v>0</v>
      </c>
      <c r="J27" s="3">
        <v>0</v>
      </c>
    </row>
    <row r="28" spans="1:10" x14ac:dyDescent="0.25">
      <c r="A28" s="4">
        <v>18250.871925000007</v>
      </c>
      <c r="B28" s="3">
        <v>0</v>
      </c>
      <c r="C28" s="3">
        <v>0</v>
      </c>
      <c r="D28" s="3">
        <v>0</v>
      </c>
      <c r="E28" s="3">
        <v>35.097499999999997</v>
      </c>
      <c r="F28" s="3">
        <v>0</v>
      </c>
      <c r="G28" s="3">
        <v>0</v>
      </c>
      <c r="H28" s="3">
        <v>0</v>
      </c>
      <c r="I28" s="3">
        <v>0</v>
      </c>
      <c r="J28" s="3">
        <v>0</v>
      </c>
    </row>
    <row r="29" spans="1:10" x14ac:dyDescent="0.25">
      <c r="A29" s="4">
        <v>21099.251925000004</v>
      </c>
      <c r="B29" s="3">
        <v>0</v>
      </c>
      <c r="C29" s="3">
        <v>0</v>
      </c>
      <c r="D29" s="3">
        <v>0</v>
      </c>
      <c r="E29" s="3">
        <v>35.097499999999997</v>
      </c>
      <c r="F29" s="3">
        <v>0</v>
      </c>
      <c r="G29" s="3">
        <v>0</v>
      </c>
      <c r="H29" s="3">
        <v>0</v>
      </c>
      <c r="I29" s="3">
        <v>0</v>
      </c>
      <c r="J29" s="3">
        <v>0</v>
      </c>
    </row>
    <row r="30" spans="1:10" x14ac:dyDescent="0.25">
      <c r="A30" s="4">
        <v>21099.251925000004</v>
      </c>
      <c r="B30" s="3">
        <v>0</v>
      </c>
      <c r="C30" s="3">
        <v>0</v>
      </c>
      <c r="D30" s="3">
        <v>0</v>
      </c>
      <c r="E30" s="3">
        <v>35.304099999999998</v>
      </c>
      <c r="F30" s="3">
        <v>0</v>
      </c>
      <c r="G30" s="3">
        <v>0</v>
      </c>
      <c r="H30" s="3">
        <v>0</v>
      </c>
      <c r="I30" s="3">
        <v>0</v>
      </c>
      <c r="J30" s="3">
        <v>0</v>
      </c>
    </row>
    <row r="31" spans="1:10" x14ac:dyDescent="0.25">
      <c r="A31" s="4">
        <v>21116.651925000006</v>
      </c>
      <c r="B31" s="3">
        <v>0</v>
      </c>
      <c r="C31" s="3">
        <v>0</v>
      </c>
      <c r="D31" s="3">
        <v>0</v>
      </c>
      <c r="E31" s="3">
        <v>35.304099999999998</v>
      </c>
      <c r="F31" s="3">
        <v>0</v>
      </c>
      <c r="G31" s="3">
        <v>0</v>
      </c>
      <c r="H31" s="3">
        <v>0</v>
      </c>
      <c r="I31" s="3">
        <v>0</v>
      </c>
      <c r="J31" s="3">
        <v>0</v>
      </c>
    </row>
    <row r="32" spans="1:10" x14ac:dyDescent="0.25">
      <c r="A32" s="4">
        <v>21116.651925000006</v>
      </c>
      <c r="B32" s="3">
        <v>0</v>
      </c>
      <c r="C32" s="3">
        <v>0</v>
      </c>
      <c r="D32" s="3">
        <v>0</v>
      </c>
      <c r="E32" s="3">
        <v>35.513300000000001</v>
      </c>
      <c r="F32" s="3">
        <v>0</v>
      </c>
      <c r="G32" s="3">
        <v>0</v>
      </c>
      <c r="H32" s="3">
        <v>0</v>
      </c>
      <c r="I32" s="3">
        <v>0</v>
      </c>
      <c r="J32" s="3">
        <v>0</v>
      </c>
    </row>
    <row r="33" spans="1:10" x14ac:dyDescent="0.25">
      <c r="A33" s="4">
        <v>21548.171925000006</v>
      </c>
      <c r="B33" s="3">
        <v>0</v>
      </c>
      <c r="C33" s="3">
        <v>0</v>
      </c>
      <c r="D33" s="3">
        <v>0</v>
      </c>
      <c r="E33" s="3">
        <v>35.513300000000001</v>
      </c>
      <c r="F33" s="3">
        <v>0</v>
      </c>
      <c r="G33" s="3">
        <v>0</v>
      </c>
      <c r="H33" s="3">
        <v>0</v>
      </c>
      <c r="I33" s="3">
        <v>0</v>
      </c>
      <c r="J33" s="3">
        <v>0</v>
      </c>
    </row>
    <row r="34" spans="1:10" x14ac:dyDescent="0.25">
      <c r="A34" s="4">
        <v>21548.171925000006</v>
      </c>
      <c r="B34" s="3">
        <v>0</v>
      </c>
      <c r="C34" s="3">
        <v>0</v>
      </c>
      <c r="D34" s="3">
        <v>0</v>
      </c>
      <c r="E34" s="3">
        <v>35.725099999999998</v>
      </c>
      <c r="F34" s="3">
        <v>0</v>
      </c>
      <c r="G34" s="3">
        <v>0</v>
      </c>
      <c r="H34" s="3">
        <v>0</v>
      </c>
      <c r="I34" s="3">
        <v>0</v>
      </c>
      <c r="J34" s="3">
        <v>0</v>
      </c>
    </row>
    <row r="35" spans="1:10" x14ac:dyDescent="0.25">
      <c r="A35" s="4">
        <v>21972.992925000006</v>
      </c>
      <c r="B35" s="3">
        <v>0</v>
      </c>
      <c r="C35" s="3">
        <v>0</v>
      </c>
      <c r="D35" s="3">
        <v>0</v>
      </c>
      <c r="E35" s="3">
        <v>35.725099999999998</v>
      </c>
      <c r="F35" s="3">
        <v>0</v>
      </c>
      <c r="G35" s="3">
        <v>0</v>
      </c>
      <c r="H35" s="3">
        <v>0</v>
      </c>
      <c r="I35" s="3">
        <v>0</v>
      </c>
      <c r="J35" s="3">
        <v>0</v>
      </c>
    </row>
    <row r="36" spans="1:10" x14ac:dyDescent="0.25">
      <c r="A36" s="4">
        <v>21972.992925000006</v>
      </c>
      <c r="B36" s="3">
        <v>0</v>
      </c>
      <c r="C36" s="3">
        <v>0</v>
      </c>
      <c r="D36" s="3">
        <v>0</v>
      </c>
      <c r="E36" s="3">
        <v>36.156700000000001</v>
      </c>
      <c r="F36" s="3">
        <v>0</v>
      </c>
      <c r="G36" s="3">
        <v>0</v>
      </c>
      <c r="H36" s="3">
        <v>0</v>
      </c>
      <c r="I36" s="3">
        <v>0</v>
      </c>
      <c r="J36" s="3">
        <v>0</v>
      </c>
    </row>
    <row r="37" spans="1:10" x14ac:dyDescent="0.25">
      <c r="A37" s="4">
        <v>21985.607925000008</v>
      </c>
      <c r="B37" s="3">
        <v>0</v>
      </c>
      <c r="C37" s="3">
        <v>0</v>
      </c>
      <c r="D37" s="3">
        <v>0</v>
      </c>
      <c r="E37" s="3">
        <v>36.156700000000001</v>
      </c>
      <c r="F37" s="3">
        <v>0</v>
      </c>
      <c r="G37" s="3">
        <v>0</v>
      </c>
      <c r="H37" s="3">
        <v>0</v>
      </c>
      <c r="I37" s="3">
        <v>0</v>
      </c>
      <c r="J37" s="3">
        <v>0</v>
      </c>
    </row>
    <row r="38" spans="1:10" x14ac:dyDescent="0.25">
      <c r="A38" s="4">
        <v>21985.607925000008</v>
      </c>
      <c r="B38" s="3">
        <v>0</v>
      </c>
      <c r="C38" s="3">
        <v>0</v>
      </c>
      <c r="D38" s="3">
        <v>0</v>
      </c>
      <c r="E38" s="3">
        <v>36.376600000000003</v>
      </c>
      <c r="F38" s="3">
        <v>0</v>
      </c>
      <c r="G38" s="3">
        <v>0</v>
      </c>
      <c r="H38" s="3">
        <v>0</v>
      </c>
      <c r="I38" s="3">
        <v>0</v>
      </c>
      <c r="J38" s="3">
        <v>0</v>
      </c>
    </row>
    <row r="39" spans="1:10" x14ac:dyDescent="0.25">
      <c r="A39" s="4">
        <v>22005.372585000008</v>
      </c>
      <c r="B39" s="3">
        <v>0</v>
      </c>
      <c r="C39" s="3">
        <v>0</v>
      </c>
      <c r="D39" s="3">
        <v>0</v>
      </c>
      <c r="E39" s="3">
        <v>36.376600000000003</v>
      </c>
      <c r="F39" s="3">
        <v>0</v>
      </c>
      <c r="G39" s="3">
        <v>0</v>
      </c>
      <c r="H39" s="3">
        <v>0</v>
      </c>
      <c r="I39" s="3">
        <v>0</v>
      </c>
      <c r="J39" s="3">
        <v>0</v>
      </c>
    </row>
    <row r="40" spans="1:10" x14ac:dyDescent="0.25">
      <c r="A40" s="4">
        <v>22005.372585000008</v>
      </c>
      <c r="B40" s="3">
        <v>0</v>
      </c>
      <c r="C40" s="3">
        <v>0</v>
      </c>
      <c r="D40" s="3">
        <v>0</v>
      </c>
      <c r="E40" s="3">
        <v>36.599400000000003</v>
      </c>
      <c r="F40" s="3">
        <v>0</v>
      </c>
      <c r="G40" s="3">
        <v>0</v>
      </c>
      <c r="H40" s="3">
        <v>0</v>
      </c>
      <c r="I40" s="3">
        <v>0</v>
      </c>
      <c r="J40" s="3">
        <v>0</v>
      </c>
    </row>
    <row r="41" spans="1:10" x14ac:dyDescent="0.25">
      <c r="A41" s="4">
        <v>22034.517585000009</v>
      </c>
      <c r="B41" s="3">
        <v>0</v>
      </c>
      <c r="C41" s="3">
        <v>0</v>
      </c>
      <c r="D41" s="3">
        <v>0</v>
      </c>
      <c r="E41" s="3">
        <v>36.599400000000003</v>
      </c>
      <c r="F41" s="3">
        <v>0</v>
      </c>
      <c r="G41" s="3">
        <v>0</v>
      </c>
      <c r="H41" s="3">
        <v>0</v>
      </c>
      <c r="I41" s="3">
        <v>0</v>
      </c>
      <c r="J41" s="3">
        <v>0</v>
      </c>
    </row>
    <row r="42" spans="1:10" x14ac:dyDescent="0.25">
      <c r="A42" s="4">
        <v>22034.517585000009</v>
      </c>
      <c r="B42" s="3">
        <v>0</v>
      </c>
      <c r="C42" s="3">
        <v>0</v>
      </c>
      <c r="D42" s="3">
        <v>0</v>
      </c>
      <c r="E42" s="3">
        <v>36.825000000000003</v>
      </c>
      <c r="F42" s="3">
        <v>0</v>
      </c>
      <c r="G42" s="3">
        <v>0</v>
      </c>
      <c r="H42" s="3">
        <v>0</v>
      </c>
      <c r="I42" s="3">
        <v>0</v>
      </c>
      <c r="J42" s="3">
        <v>0</v>
      </c>
    </row>
    <row r="43" spans="1:10" x14ac:dyDescent="0.25">
      <c r="A43" s="4">
        <v>22237.053585000009</v>
      </c>
      <c r="B43" s="3">
        <v>0</v>
      </c>
      <c r="C43" s="3">
        <v>0</v>
      </c>
      <c r="D43" s="3">
        <v>0</v>
      </c>
      <c r="E43" s="3">
        <v>36.825000000000003</v>
      </c>
      <c r="F43" s="3">
        <v>0</v>
      </c>
      <c r="G43" s="3">
        <v>0</v>
      </c>
      <c r="H43" s="3">
        <v>0</v>
      </c>
      <c r="I43" s="3">
        <v>0</v>
      </c>
      <c r="J43" s="3">
        <v>0</v>
      </c>
    </row>
    <row r="44" spans="1:10" x14ac:dyDescent="0.25">
      <c r="A44" s="4">
        <v>22237.053585000009</v>
      </c>
      <c r="B44" s="3">
        <v>0</v>
      </c>
      <c r="C44" s="3">
        <v>0</v>
      </c>
      <c r="D44" s="3">
        <v>0</v>
      </c>
      <c r="E44" s="3">
        <v>37.998399999999997</v>
      </c>
      <c r="F44" s="3">
        <v>0</v>
      </c>
      <c r="G44" s="3">
        <v>0</v>
      </c>
      <c r="H44" s="3">
        <v>0</v>
      </c>
      <c r="I44" s="3">
        <v>0</v>
      </c>
      <c r="J44" s="3">
        <v>0</v>
      </c>
    </row>
    <row r="45" spans="1:10" x14ac:dyDescent="0.25">
      <c r="A45" s="4">
        <v>22245.144585000009</v>
      </c>
      <c r="B45" s="3">
        <v>0</v>
      </c>
      <c r="C45" s="3">
        <v>0</v>
      </c>
      <c r="D45" s="3">
        <v>0</v>
      </c>
      <c r="E45" s="3">
        <v>37.998399999999997</v>
      </c>
      <c r="F45" s="3">
        <v>0</v>
      </c>
      <c r="G45" s="3">
        <v>0</v>
      </c>
      <c r="H45" s="3">
        <v>0</v>
      </c>
      <c r="I45" s="3">
        <v>0</v>
      </c>
      <c r="J45" s="3">
        <v>0</v>
      </c>
    </row>
    <row r="46" spans="1:10" x14ac:dyDescent="0.25">
      <c r="A46" s="4">
        <v>22245.144585000009</v>
      </c>
      <c r="B46" s="3">
        <v>0</v>
      </c>
      <c r="C46" s="3">
        <v>0</v>
      </c>
      <c r="D46" s="3">
        <v>0</v>
      </c>
      <c r="E46" s="3">
        <v>38.995199999999997</v>
      </c>
      <c r="F46" s="3">
        <v>0</v>
      </c>
      <c r="G46" s="3">
        <v>0</v>
      </c>
      <c r="H46" s="3">
        <v>0</v>
      </c>
      <c r="I46" s="3">
        <v>0</v>
      </c>
      <c r="J46" s="3">
        <v>0</v>
      </c>
    </row>
    <row r="47" spans="1:10" x14ac:dyDescent="0.25">
      <c r="A47" s="4">
        <v>22284.294585000011</v>
      </c>
      <c r="B47" s="3">
        <v>0</v>
      </c>
      <c r="C47" s="3">
        <v>0</v>
      </c>
      <c r="D47" s="3">
        <v>0</v>
      </c>
      <c r="E47" s="3">
        <v>38.995199999999997</v>
      </c>
      <c r="F47" s="3">
        <v>0</v>
      </c>
      <c r="G47" s="3">
        <v>0</v>
      </c>
      <c r="H47" s="3">
        <v>0</v>
      </c>
      <c r="I47" s="3">
        <v>0</v>
      </c>
      <c r="J47" s="3">
        <v>0</v>
      </c>
    </row>
    <row r="48" spans="1:10" x14ac:dyDescent="0.25">
      <c r="A48" s="4">
        <v>22284.294585000011</v>
      </c>
      <c r="B48" s="3">
        <v>0</v>
      </c>
      <c r="C48" s="3">
        <v>0</v>
      </c>
      <c r="D48" s="3">
        <v>0</v>
      </c>
      <c r="E48" s="3">
        <v>39.779400000000003</v>
      </c>
      <c r="F48" s="3">
        <v>0</v>
      </c>
      <c r="G48" s="3">
        <v>0</v>
      </c>
      <c r="H48" s="3">
        <v>0</v>
      </c>
      <c r="I48" s="3">
        <v>0</v>
      </c>
      <c r="J48" s="3">
        <v>0</v>
      </c>
    </row>
    <row r="49" spans="1:10" x14ac:dyDescent="0.25">
      <c r="A49" s="4">
        <v>22809.77458500001</v>
      </c>
      <c r="B49" s="3">
        <v>0</v>
      </c>
      <c r="C49" s="3">
        <v>0</v>
      </c>
      <c r="D49" s="3">
        <v>0</v>
      </c>
      <c r="E49" s="3">
        <v>39.779400000000003</v>
      </c>
      <c r="F49" s="3">
        <v>0</v>
      </c>
      <c r="G49" s="3">
        <v>0</v>
      </c>
      <c r="H49" s="3">
        <v>0</v>
      </c>
      <c r="I49" s="3">
        <v>0</v>
      </c>
      <c r="J49" s="3">
        <v>0</v>
      </c>
    </row>
    <row r="50" spans="1:10" x14ac:dyDescent="0.25">
      <c r="A50" s="4">
        <v>22809.77458500001</v>
      </c>
      <c r="B50" s="3">
        <v>0</v>
      </c>
      <c r="C50" s="3">
        <v>0</v>
      </c>
      <c r="D50" s="3">
        <v>0</v>
      </c>
      <c r="E50" s="3">
        <v>40.048200000000001</v>
      </c>
      <c r="F50" s="3">
        <v>0</v>
      </c>
      <c r="G50" s="3">
        <v>0</v>
      </c>
      <c r="H50" s="3">
        <v>0</v>
      </c>
      <c r="I50" s="3">
        <v>0</v>
      </c>
      <c r="J50" s="3">
        <v>0</v>
      </c>
    </row>
    <row r="51" spans="1:10" x14ac:dyDescent="0.25">
      <c r="A51" s="4">
        <v>23908.584585000011</v>
      </c>
      <c r="B51" s="3">
        <v>0</v>
      </c>
      <c r="C51" s="3">
        <v>0</v>
      </c>
      <c r="D51" s="3">
        <v>0</v>
      </c>
      <c r="E51" s="3">
        <v>40.048200000000001</v>
      </c>
      <c r="F51" s="3">
        <v>0</v>
      </c>
      <c r="G51" s="3">
        <v>0</v>
      </c>
      <c r="H51" s="3">
        <v>0</v>
      </c>
      <c r="I51" s="3">
        <v>0</v>
      </c>
      <c r="J51" s="3">
        <v>0</v>
      </c>
    </row>
    <row r="52" spans="1:10" x14ac:dyDescent="0.25">
      <c r="A52" s="4">
        <v>23908.584585000011</v>
      </c>
      <c r="B52" s="3">
        <v>0</v>
      </c>
      <c r="C52" s="3">
        <v>0</v>
      </c>
      <c r="D52" s="3">
        <v>0</v>
      </c>
      <c r="E52" s="3">
        <v>40.320900000000002</v>
      </c>
      <c r="F52" s="3">
        <v>0</v>
      </c>
      <c r="G52" s="3">
        <v>0</v>
      </c>
      <c r="H52" s="3">
        <v>0</v>
      </c>
      <c r="I52" s="3">
        <v>0</v>
      </c>
      <c r="J52" s="3">
        <v>0</v>
      </c>
    </row>
    <row r="53" spans="1:10" x14ac:dyDescent="0.25">
      <c r="A53" s="4">
        <v>24485.394585000013</v>
      </c>
      <c r="B53" s="3">
        <v>0</v>
      </c>
      <c r="C53" s="3">
        <v>0</v>
      </c>
      <c r="D53" s="3">
        <v>0</v>
      </c>
      <c r="E53" s="3">
        <v>40.320900000000002</v>
      </c>
      <c r="F53" s="3">
        <v>0</v>
      </c>
      <c r="G53" s="3">
        <v>0</v>
      </c>
      <c r="H53" s="3">
        <v>0</v>
      </c>
      <c r="I53" s="3">
        <v>0</v>
      </c>
      <c r="J53" s="3">
        <v>0</v>
      </c>
    </row>
    <row r="54" spans="1:10" x14ac:dyDescent="0.25">
      <c r="A54" s="4">
        <v>24485.394585000013</v>
      </c>
      <c r="B54" s="3">
        <v>0</v>
      </c>
      <c r="C54" s="3">
        <v>0</v>
      </c>
      <c r="D54" s="3">
        <v>0</v>
      </c>
      <c r="E54" s="3">
        <v>40.5974</v>
      </c>
      <c r="F54" s="3">
        <v>0</v>
      </c>
      <c r="G54" s="3">
        <v>0</v>
      </c>
      <c r="H54" s="3">
        <v>0</v>
      </c>
      <c r="I54" s="3">
        <v>0</v>
      </c>
      <c r="J54" s="3">
        <v>0</v>
      </c>
    </row>
    <row r="55" spans="1:10" x14ac:dyDescent="0.25">
      <c r="A55" s="4">
        <v>24739.434585000014</v>
      </c>
      <c r="B55" s="3">
        <v>0</v>
      </c>
      <c r="C55" s="3">
        <v>0</v>
      </c>
      <c r="D55" s="3">
        <v>0</v>
      </c>
      <c r="E55" s="3">
        <v>40.5974</v>
      </c>
      <c r="F55" s="3">
        <v>0</v>
      </c>
      <c r="G55" s="3">
        <v>0</v>
      </c>
      <c r="H55" s="3">
        <v>0</v>
      </c>
      <c r="I55" s="3">
        <v>0</v>
      </c>
      <c r="J55" s="3">
        <v>0</v>
      </c>
    </row>
    <row r="56" spans="1:10" x14ac:dyDescent="0.25">
      <c r="A56" s="4">
        <v>24739.434585000014</v>
      </c>
      <c r="B56" s="3">
        <v>0</v>
      </c>
      <c r="C56" s="3">
        <v>0</v>
      </c>
      <c r="D56" s="3">
        <v>0</v>
      </c>
      <c r="E56" s="3">
        <v>40.877899999999997</v>
      </c>
      <c r="F56" s="3">
        <v>0</v>
      </c>
      <c r="G56" s="3">
        <v>0</v>
      </c>
      <c r="H56" s="3">
        <v>0</v>
      </c>
      <c r="I56" s="3">
        <v>0</v>
      </c>
      <c r="J56" s="3">
        <v>0</v>
      </c>
    </row>
    <row r="57" spans="1:10" x14ac:dyDescent="0.25">
      <c r="A57" s="4">
        <v>25250.994585000011</v>
      </c>
      <c r="B57" s="3">
        <v>0</v>
      </c>
      <c r="C57" s="3">
        <v>0</v>
      </c>
      <c r="D57" s="3">
        <v>0</v>
      </c>
      <c r="E57" s="3">
        <v>40.877899999999997</v>
      </c>
      <c r="F57" s="3">
        <v>0</v>
      </c>
      <c r="G57" s="3">
        <v>0</v>
      </c>
      <c r="H57" s="3">
        <v>0</v>
      </c>
      <c r="I57" s="3">
        <v>0</v>
      </c>
      <c r="J57" s="3">
        <v>0</v>
      </c>
    </row>
    <row r="58" spans="1:10" x14ac:dyDescent="0.25">
      <c r="A58" s="4">
        <v>25250.994585000011</v>
      </c>
      <c r="B58" s="3">
        <v>0</v>
      </c>
      <c r="C58" s="3">
        <v>0</v>
      </c>
      <c r="D58" s="3">
        <v>0</v>
      </c>
      <c r="E58" s="3">
        <v>42.041600000000003</v>
      </c>
      <c r="F58" s="3">
        <v>0</v>
      </c>
      <c r="G58" s="3">
        <v>0</v>
      </c>
      <c r="H58" s="3">
        <v>0</v>
      </c>
      <c r="I58" s="3">
        <v>0</v>
      </c>
      <c r="J58" s="3">
        <v>0</v>
      </c>
    </row>
    <row r="59" spans="1:10" x14ac:dyDescent="0.25">
      <c r="A59" s="4">
        <v>25509.384585000011</v>
      </c>
      <c r="B59" s="3">
        <v>0</v>
      </c>
      <c r="C59" s="3">
        <v>0</v>
      </c>
      <c r="D59" s="3">
        <v>0</v>
      </c>
      <c r="E59" s="3">
        <v>42.041600000000003</v>
      </c>
      <c r="F59" s="3">
        <v>0</v>
      </c>
      <c r="G59" s="3">
        <v>0</v>
      </c>
      <c r="H59" s="3">
        <v>0</v>
      </c>
      <c r="I59" s="3">
        <v>0</v>
      </c>
      <c r="J59" s="3">
        <v>0</v>
      </c>
    </row>
    <row r="60" spans="1:10" x14ac:dyDescent="0.25">
      <c r="A60" s="4">
        <v>25509.384585000011</v>
      </c>
      <c r="B60" s="3">
        <v>0</v>
      </c>
      <c r="C60" s="3">
        <v>0</v>
      </c>
      <c r="D60" s="3">
        <v>0</v>
      </c>
      <c r="E60" s="3">
        <v>42.343400000000003</v>
      </c>
      <c r="F60" s="3">
        <v>0</v>
      </c>
      <c r="G60" s="3">
        <v>0</v>
      </c>
      <c r="H60" s="3">
        <v>0</v>
      </c>
      <c r="I60" s="3">
        <v>0</v>
      </c>
      <c r="J60" s="3">
        <v>0</v>
      </c>
    </row>
    <row r="61" spans="1:10" x14ac:dyDescent="0.25">
      <c r="A61" s="4">
        <v>25788.654585000011</v>
      </c>
      <c r="B61" s="3">
        <v>0</v>
      </c>
      <c r="C61" s="3">
        <v>0</v>
      </c>
      <c r="D61" s="3">
        <v>0</v>
      </c>
      <c r="E61" s="3">
        <v>42.343400000000003</v>
      </c>
      <c r="F61" s="3">
        <v>0</v>
      </c>
      <c r="G61" s="3">
        <v>0</v>
      </c>
      <c r="H61" s="3">
        <v>0</v>
      </c>
      <c r="I61" s="3">
        <v>0</v>
      </c>
      <c r="J61" s="3">
        <v>0</v>
      </c>
    </row>
    <row r="62" spans="1:10" x14ac:dyDescent="0.25">
      <c r="A62" s="4">
        <v>25788.654585000011</v>
      </c>
      <c r="B62" s="3">
        <v>0</v>
      </c>
      <c r="C62" s="3">
        <v>0</v>
      </c>
      <c r="D62" s="3">
        <v>0</v>
      </c>
      <c r="E62" s="3">
        <v>0</v>
      </c>
      <c r="F62" s="3">
        <v>42.609900000000003</v>
      </c>
      <c r="G62" s="3">
        <v>0</v>
      </c>
      <c r="H62" s="3">
        <v>0</v>
      </c>
      <c r="I62" s="3">
        <v>0</v>
      </c>
      <c r="J62" s="3">
        <v>0</v>
      </c>
    </row>
    <row r="63" spans="1:10" x14ac:dyDescent="0.25">
      <c r="A63" s="4">
        <v>25812.834585000011</v>
      </c>
      <c r="B63" s="3">
        <v>0</v>
      </c>
      <c r="C63" s="3">
        <v>0</v>
      </c>
      <c r="D63" s="3">
        <v>0</v>
      </c>
      <c r="E63" s="3">
        <v>0</v>
      </c>
      <c r="F63" s="3">
        <v>42.609900000000003</v>
      </c>
      <c r="G63" s="3">
        <v>0</v>
      </c>
      <c r="H63" s="3">
        <v>0</v>
      </c>
      <c r="I63" s="3">
        <v>0</v>
      </c>
      <c r="J63" s="3">
        <v>0</v>
      </c>
    </row>
    <row r="64" spans="1:10" x14ac:dyDescent="0.25">
      <c r="A64" s="4">
        <v>25812.834585000011</v>
      </c>
      <c r="B64" s="3">
        <v>0</v>
      </c>
      <c r="C64" s="3">
        <v>0</v>
      </c>
      <c r="D64" s="3">
        <v>0</v>
      </c>
      <c r="E64" s="3">
        <v>42.960799999999999</v>
      </c>
      <c r="F64" s="3">
        <v>0</v>
      </c>
      <c r="G64" s="3">
        <v>0</v>
      </c>
      <c r="H64" s="3">
        <v>0</v>
      </c>
      <c r="I64" s="3">
        <v>0</v>
      </c>
      <c r="J64" s="3">
        <v>0</v>
      </c>
    </row>
    <row r="65" spans="1:10" x14ac:dyDescent="0.25">
      <c r="A65" s="4">
        <v>26348.754585000013</v>
      </c>
      <c r="B65" s="3">
        <v>0</v>
      </c>
      <c r="C65" s="3">
        <v>0</v>
      </c>
      <c r="D65" s="3">
        <v>0</v>
      </c>
      <c r="E65" s="3">
        <v>42.960799999999999</v>
      </c>
      <c r="F65" s="3">
        <v>0</v>
      </c>
      <c r="G65" s="3">
        <v>0</v>
      </c>
      <c r="H65" s="3">
        <v>0</v>
      </c>
      <c r="I65" s="3">
        <v>0</v>
      </c>
      <c r="J65" s="3">
        <v>0</v>
      </c>
    </row>
    <row r="66" spans="1:10" x14ac:dyDescent="0.25">
      <c r="A66" s="4">
        <v>26348.754585000013</v>
      </c>
      <c r="B66" s="3">
        <v>0</v>
      </c>
      <c r="C66" s="3">
        <v>0</v>
      </c>
      <c r="D66" s="3">
        <v>0</v>
      </c>
      <c r="E66" s="3">
        <v>43.276499999999999</v>
      </c>
      <c r="F66" s="3">
        <v>0</v>
      </c>
      <c r="G66" s="3">
        <v>0</v>
      </c>
      <c r="H66" s="3">
        <v>0</v>
      </c>
      <c r="I66" s="3">
        <v>0</v>
      </c>
      <c r="J66" s="3">
        <v>0</v>
      </c>
    </row>
    <row r="67" spans="1:10" x14ac:dyDescent="0.25">
      <c r="A67" s="4">
        <v>26389.644585000013</v>
      </c>
      <c r="B67" s="3">
        <v>0</v>
      </c>
      <c r="C67" s="3">
        <v>0</v>
      </c>
      <c r="D67" s="3">
        <v>0</v>
      </c>
      <c r="E67" s="3">
        <v>43.276499999999999</v>
      </c>
      <c r="F67" s="3">
        <v>0</v>
      </c>
      <c r="G67" s="3">
        <v>0</v>
      </c>
      <c r="H67" s="3">
        <v>0</v>
      </c>
      <c r="I67" s="3">
        <v>0</v>
      </c>
      <c r="J67" s="3">
        <v>0</v>
      </c>
    </row>
    <row r="68" spans="1:10" x14ac:dyDescent="0.25">
      <c r="A68" s="4">
        <v>26389.644585000013</v>
      </c>
      <c r="B68" s="3">
        <v>0</v>
      </c>
      <c r="C68" s="3">
        <v>0</v>
      </c>
      <c r="D68" s="3">
        <v>0</v>
      </c>
      <c r="E68" s="3">
        <v>0</v>
      </c>
      <c r="F68" s="3">
        <v>43.746899999999997</v>
      </c>
      <c r="G68" s="3">
        <v>0</v>
      </c>
      <c r="H68" s="3">
        <v>0</v>
      </c>
      <c r="I68" s="3">
        <v>0</v>
      </c>
      <c r="J68" s="3">
        <v>0</v>
      </c>
    </row>
    <row r="69" spans="1:10" x14ac:dyDescent="0.25">
      <c r="A69" s="4">
        <v>26466.864585000014</v>
      </c>
      <c r="B69" s="3">
        <v>0</v>
      </c>
      <c r="C69" s="3">
        <v>0</v>
      </c>
      <c r="D69" s="3">
        <v>0</v>
      </c>
      <c r="E69" s="3">
        <v>0</v>
      </c>
      <c r="F69" s="3">
        <v>43.746899999999997</v>
      </c>
      <c r="G69" s="3">
        <v>0</v>
      </c>
      <c r="H69" s="3">
        <v>0</v>
      </c>
      <c r="I69" s="3">
        <v>0</v>
      </c>
      <c r="J69" s="3">
        <v>0</v>
      </c>
    </row>
    <row r="70" spans="1:10" x14ac:dyDescent="0.25">
      <c r="A70" s="4">
        <v>26466.864585000014</v>
      </c>
      <c r="B70" s="3">
        <v>0</v>
      </c>
      <c r="C70" s="3">
        <v>0</v>
      </c>
      <c r="D70" s="3">
        <v>0</v>
      </c>
      <c r="E70" s="3">
        <v>0</v>
      </c>
      <c r="F70" s="3">
        <v>45.363900000000001</v>
      </c>
      <c r="G70" s="3">
        <v>0</v>
      </c>
      <c r="H70" s="3">
        <v>0</v>
      </c>
      <c r="I70" s="3">
        <v>0</v>
      </c>
      <c r="J70" s="3">
        <v>0</v>
      </c>
    </row>
    <row r="71" spans="1:10" x14ac:dyDescent="0.25">
      <c r="A71" s="4">
        <v>26492.604585000016</v>
      </c>
      <c r="B71" s="3">
        <v>0</v>
      </c>
      <c r="C71" s="3">
        <v>0</v>
      </c>
      <c r="D71" s="3">
        <v>0</v>
      </c>
      <c r="E71" s="3">
        <v>0</v>
      </c>
      <c r="F71" s="3">
        <v>45.363900000000001</v>
      </c>
      <c r="G71" s="3">
        <v>0</v>
      </c>
      <c r="H71" s="3">
        <v>0</v>
      </c>
      <c r="I71" s="3">
        <v>0</v>
      </c>
      <c r="J71" s="3">
        <v>0</v>
      </c>
    </row>
    <row r="72" spans="1:10" x14ac:dyDescent="0.25">
      <c r="A72" s="4">
        <v>26492.604585000016</v>
      </c>
      <c r="B72" s="3">
        <v>0</v>
      </c>
      <c r="C72" s="3">
        <v>0</v>
      </c>
      <c r="D72" s="3">
        <v>0</v>
      </c>
      <c r="E72" s="3">
        <v>0</v>
      </c>
      <c r="F72" s="3">
        <v>45.787599999999998</v>
      </c>
      <c r="G72" s="3">
        <v>0</v>
      </c>
      <c r="H72" s="3">
        <v>0</v>
      </c>
      <c r="I72" s="3">
        <v>0</v>
      </c>
      <c r="J72" s="3">
        <v>0</v>
      </c>
    </row>
    <row r="73" spans="1:10" x14ac:dyDescent="0.25">
      <c r="A73" s="4">
        <v>26526.378585000017</v>
      </c>
      <c r="B73" s="3">
        <v>0</v>
      </c>
      <c r="C73" s="3">
        <v>0</v>
      </c>
      <c r="D73" s="3">
        <v>0</v>
      </c>
      <c r="E73" s="3">
        <v>0</v>
      </c>
      <c r="F73" s="3">
        <v>45.787599999999998</v>
      </c>
      <c r="G73" s="3">
        <v>0</v>
      </c>
      <c r="H73" s="3">
        <v>0</v>
      </c>
      <c r="I73" s="3">
        <v>0</v>
      </c>
      <c r="J73" s="3">
        <v>0</v>
      </c>
    </row>
    <row r="74" spans="1:10" x14ac:dyDescent="0.25">
      <c r="A74" s="4">
        <v>26526.378585000017</v>
      </c>
      <c r="B74" s="3">
        <v>0</v>
      </c>
      <c r="C74" s="3">
        <v>0</v>
      </c>
      <c r="D74" s="3">
        <v>0</v>
      </c>
      <c r="E74" s="3">
        <v>0</v>
      </c>
      <c r="F74" s="3">
        <v>46.219499999999996</v>
      </c>
      <c r="G74" s="3">
        <v>0</v>
      </c>
      <c r="H74" s="3">
        <v>0</v>
      </c>
      <c r="I74" s="3">
        <v>0</v>
      </c>
      <c r="J74" s="3">
        <v>0</v>
      </c>
    </row>
    <row r="75" spans="1:10" x14ac:dyDescent="0.25">
      <c r="A75" s="4">
        <v>26579.730585000016</v>
      </c>
      <c r="B75" s="3">
        <v>0</v>
      </c>
      <c r="C75" s="3">
        <v>0</v>
      </c>
      <c r="D75" s="3">
        <v>0</v>
      </c>
      <c r="E75" s="3">
        <v>0</v>
      </c>
      <c r="F75" s="3">
        <v>46.219499999999996</v>
      </c>
      <c r="G75" s="3">
        <v>0</v>
      </c>
      <c r="H75" s="3">
        <v>0</v>
      </c>
      <c r="I75" s="3">
        <v>0</v>
      </c>
      <c r="J75" s="3">
        <v>0</v>
      </c>
    </row>
    <row r="76" spans="1:10" x14ac:dyDescent="0.25">
      <c r="A76" s="4">
        <v>26579.730585000016</v>
      </c>
      <c r="B76" s="3">
        <v>0</v>
      </c>
      <c r="C76" s="3">
        <v>0</v>
      </c>
      <c r="D76" s="3">
        <v>0</v>
      </c>
      <c r="E76" s="3">
        <v>0</v>
      </c>
      <c r="F76" s="3">
        <v>46.316600000000001</v>
      </c>
      <c r="G76" s="3">
        <v>0</v>
      </c>
      <c r="H76" s="3">
        <v>0</v>
      </c>
      <c r="I76" s="3">
        <v>0</v>
      </c>
      <c r="J76" s="3">
        <v>0</v>
      </c>
    </row>
    <row r="77" spans="1:10" x14ac:dyDescent="0.25">
      <c r="A77" s="4">
        <v>29055.450585000017</v>
      </c>
      <c r="B77" s="3">
        <v>0</v>
      </c>
      <c r="C77" s="3">
        <v>0</v>
      </c>
      <c r="D77" s="3">
        <v>0</v>
      </c>
      <c r="E77" s="3">
        <v>0</v>
      </c>
      <c r="F77" s="3">
        <v>46.316600000000001</v>
      </c>
      <c r="G77" s="3">
        <v>0</v>
      </c>
      <c r="H77" s="3">
        <v>0</v>
      </c>
      <c r="I77" s="3">
        <v>0</v>
      </c>
      <c r="J77" s="3">
        <v>0</v>
      </c>
    </row>
    <row r="78" spans="1:10" x14ac:dyDescent="0.25">
      <c r="A78" s="4">
        <v>29055.450585000017</v>
      </c>
      <c r="B78" s="3">
        <v>0</v>
      </c>
      <c r="C78" s="3">
        <v>0</v>
      </c>
      <c r="D78" s="3">
        <v>0</v>
      </c>
      <c r="E78" s="3">
        <v>0</v>
      </c>
      <c r="F78" s="3">
        <v>46.561300000000003</v>
      </c>
      <c r="G78" s="3">
        <v>0</v>
      </c>
      <c r="H78" s="3">
        <v>0</v>
      </c>
      <c r="I78" s="3">
        <v>0</v>
      </c>
      <c r="J78" s="3">
        <v>0</v>
      </c>
    </row>
    <row r="79" spans="1:10" x14ac:dyDescent="0.25">
      <c r="A79" s="4">
        <v>30394.476585000019</v>
      </c>
      <c r="B79" s="3">
        <v>0</v>
      </c>
      <c r="C79" s="3">
        <v>0</v>
      </c>
      <c r="D79" s="3">
        <v>0</v>
      </c>
      <c r="E79" s="3">
        <v>0</v>
      </c>
      <c r="F79" s="3">
        <v>46.561300000000003</v>
      </c>
      <c r="G79" s="3">
        <v>0</v>
      </c>
      <c r="H79" s="3">
        <v>0</v>
      </c>
      <c r="I79" s="3">
        <v>0</v>
      </c>
      <c r="J79" s="3">
        <v>0</v>
      </c>
    </row>
    <row r="80" spans="1:10" x14ac:dyDescent="0.25">
      <c r="A80" s="4">
        <v>30394.476585000019</v>
      </c>
      <c r="B80" s="3">
        <v>0</v>
      </c>
      <c r="C80" s="3">
        <v>0</v>
      </c>
      <c r="D80" s="3">
        <v>0</v>
      </c>
      <c r="E80" s="3">
        <v>0</v>
      </c>
      <c r="F80" s="3">
        <v>46.808599999999998</v>
      </c>
      <c r="G80" s="3">
        <v>0</v>
      </c>
      <c r="H80" s="3">
        <v>0</v>
      </c>
      <c r="I80" s="3">
        <v>0</v>
      </c>
      <c r="J80" s="3">
        <v>0</v>
      </c>
    </row>
    <row r="81" spans="1:10" x14ac:dyDescent="0.25">
      <c r="A81" s="4">
        <v>31883.496585000019</v>
      </c>
      <c r="B81" s="3">
        <v>0</v>
      </c>
      <c r="C81" s="3">
        <v>0</v>
      </c>
      <c r="D81" s="3">
        <v>0</v>
      </c>
      <c r="E81" s="3">
        <v>0</v>
      </c>
      <c r="F81" s="3">
        <v>46.808599999999998</v>
      </c>
      <c r="G81" s="3">
        <v>0</v>
      </c>
      <c r="H81" s="3">
        <v>0</v>
      </c>
      <c r="I81" s="3">
        <v>0</v>
      </c>
      <c r="J81" s="3">
        <v>0</v>
      </c>
    </row>
    <row r="82" spans="1:10" x14ac:dyDescent="0.25">
      <c r="A82" s="4">
        <v>31883.496585000019</v>
      </c>
      <c r="B82" s="3">
        <v>0</v>
      </c>
      <c r="C82" s="3">
        <v>0</v>
      </c>
      <c r="D82" s="3">
        <v>0</v>
      </c>
      <c r="E82" s="3">
        <v>0</v>
      </c>
      <c r="F82" s="3">
        <v>47.311500000000002</v>
      </c>
      <c r="G82" s="3">
        <v>0</v>
      </c>
      <c r="H82" s="3">
        <v>0</v>
      </c>
      <c r="I82" s="3">
        <v>0</v>
      </c>
      <c r="J82" s="3">
        <v>0</v>
      </c>
    </row>
    <row r="83" spans="1:10" x14ac:dyDescent="0.25">
      <c r="A83" s="4">
        <v>32251.656585000019</v>
      </c>
      <c r="B83" s="3">
        <v>0</v>
      </c>
      <c r="C83" s="3">
        <v>0</v>
      </c>
      <c r="D83" s="3">
        <v>0</v>
      </c>
      <c r="E83" s="3">
        <v>0</v>
      </c>
      <c r="F83" s="3">
        <v>47.311500000000002</v>
      </c>
      <c r="G83" s="3">
        <v>0</v>
      </c>
      <c r="H83" s="3">
        <v>0</v>
      </c>
      <c r="I83" s="3">
        <v>0</v>
      </c>
      <c r="J83" s="3">
        <v>0</v>
      </c>
    </row>
    <row r="84" spans="1:10" x14ac:dyDescent="0.25">
      <c r="A84" s="4">
        <v>32251.656585000019</v>
      </c>
      <c r="B84" s="3">
        <v>0</v>
      </c>
      <c r="C84" s="3">
        <v>0</v>
      </c>
      <c r="D84" s="3">
        <v>0</v>
      </c>
      <c r="E84" s="3">
        <v>0</v>
      </c>
      <c r="F84" s="3">
        <v>0</v>
      </c>
      <c r="G84" s="3">
        <v>47.6023</v>
      </c>
      <c r="H84" s="3">
        <v>0</v>
      </c>
      <c r="I84" s="3">
        <v>0</v>
      </c>
      <c r="J84" s="3">
        <v>0</v>
      </c>
    </row>
    <row r="85" spans="1:10" x14ac:dyDescent="0.25">
      <c r="A85" s="4">
        <v>33246.231585000023</v>
      </c>
      <c r="B85" s="3">
        <v>0</v>
      </c>
      <c r="C85" s="3">
        <v>0</v>
      </c>
      <c r="D85" s="3">
        <v>0</v>
      </c>
      <c r="E85" s="3">
        <v>0</v>
      </c>
      <c r="F85" s="3">
        <v>0</v>
      </c>
      <c r="G85" s="3">
        <v>47.6023</v>
      </c>
      <c r="H85" s="3">
        <v>0</v>
      </c>
      <c r="I85" s="3">
        <v>0</v>
      </c>
      <c r="J85" s="3">
        <v>0</v>
      </c>
    </row>
    <row r="86" spans="1:10" x14ac:dyDescent="0.25">
      <c r="A86" s="4">
        <v>33246.231585000023</v>
      </c>
      <c r="B86" s="3">
        <v>0</v>
      </c>
      <c r="C86" s="3">
        <v>0</v>
      </c>
      <c r="D86" s="3">
        <v>0</v>
      </c>
      <c r="E86" s="3">
        <v>0</v>
      </c>
      <c r="F86" s="3">
        <v>47.825600000000001</v>
      </c>
      <c r="G86" s="3">
        <v>0</v>
      </c>
      <c r="H86" s="3">
        <v>0</v>
      </c>
      <c r="I86" s="3">
        <v>0</v>
      </c>
      <c r="J86" s="3">
        <v>0</v>
      </c>
    </row>
    <row r="87" spans="1:10" x14ac:dyDescent="0.25">
      <c r="A87" s="4">
        <v>34490.019585000016</v>
      </c>
      <c r="B87" s="3">
        <v>0</v>
      </c>
      <c r="C87" s="3">
        <v>0</v>
      </c>
      <c r="D87" s="3">
        <v>0</v>
      </c>
      <c r="E87" s="3">
        <v>0</v>
      </c>
      <c r="F87" s="3">
        <v>47.825600000000001</v>
      </c>
      <c r="G87" s="3">
        <v>0</v>
      </c>
      <c r="H87" s="3">
        <v>0</v>
      </c>
      <c r="I87" s="3">
        <v>0</v>
      </c>
      <c r="J87" s="3">
        <v>0</v>
      </c>
    </row>
    <row r="88" spans="1:10" x14ac:dyDescent="0.25">
      <c r="A88" s="4">
        <v>34490.019585000016</v>
      </c>
      <c r="B88" s="3">
        <v>0</v>
      </c>
      <c r="C88" s="3">
        <v>0</v>
      </c>
      <c r="D88" s="3">
        <v>0</v>
      </c>
      <c r="E88" s="3">
        <v>0</v>
      </c>
      <c r="F88" s="3">
        <v>0</v>
      </c>
      <c r="G88" s="3">
        <v>47.943800000000003</v>
      </c>
      <c r="H88" s="3">
        <v>0</v>
      </c>
      <c r="I88" s="3">
        <v>0</v>
      </c>
      <c r="J88" s="3">
        <v>0</v>
      </c>
    </row>
    <row r="89" spans="1:10" x14ac:dyDescent="0.25">
      <c r="A89" s="4">
        <v>34718.74958500002</v>
      </c>
      <c r="B89" s="3">
        <v>0</v>
      </c>
      <c r="C89" s="3">
        <v>0</v>
      </c>
      <c r="D89" s="3">
        <v>0</v>
      </c>
      <c r="E89" s="3">
        <v>0</v>
      </c>
      <c r="F89" s="3">
        <v>0</v>
      </c>
      <c r="G89" s="3">
        <v>47.943800000000003</v>
      </c>
      <c r="H89" s="3">
        <v>0</v>
      </c>
      <c r="I89" s="3">
        <v>0</v>
      </c>
      <c r="J89" s="3">
        <v>0</v>
      </c>
    </row>
    <row r="90" spans="1:10" x14ac:dyDescent="0.25">
      <c r="A90" s="4">
        <v>34718.74958500002</v>
      </c>
      <c r="B90" s="3">
        <v>0</v>
      </c>
      <c r="C90" s="3">
        <v>0</v>
      </c>
      <c r="D90" s="3">
        <v>0</v>
      </c>
      <c r="E90" s="3">
        <v>0</v>
      </c>
      <c r="F90" s="3">
        <v>0</v>
      </c>
      <c r="G90" s="3">
        <v>48.290399999999998</v>
      </c>
      <c r="H90" s="3">
        <v>0</v>
      </c>
      <c r="I90" s="3">
        <v>0</v>
      </c>
      <c r="J90" s="3">
        <v>0</v>
      </c>
    </row>
    <row r="91" spans="1:10" x14ac:dyDescent="0.25">
      <c r="A91" s="4">
        <v>34753.726585000026</v>
      </c>
      <c r="B91" s="3">
        <v>0</v>
      </c>
      <c r="C91" s="3">
        <v>0</v>
      </c>
      <c r="D91" s="3">
        <v>0</v>
      </c>
      <c r="E91" s="3">
        <v>0</v>
      </c>
      <c r="F91" s="3">
        <v>0</v>
      </c>
      <c r="G91" s="3">
        <v>48.290399999999998</v>
      </c>
      <c r="H91" s="3">
        <v>0</v>
      </c>
      <c r="I91" s="3">
        <v>0</v>
      </c>
      <c r="J91" s="3">
        <v>0</v>
      </c>
    </row>
    <row r="92" spans="1:10" x14ac:dyDescent="0.25">
      <c r="A92" s="4">
        <v>34753.726585000026</v>
      </c>
      <c r="B92" s="3">
        <v>0</v>
      </c>
      <c r="C92" s="3">
        <v>0</v>
      </c>
      <c r="D92" s="3">
        <v>0</v>
      </c>
      <c r="E92" s="3">
        <v>0</v>
      </c>
      <c r="F92" s="3">
        <v>48.351300000000002</v>
      </c>
      <c r="G92" s="3">
        <v>0</v>
      </c>
      <c r="H92" s="3">
        <v>0</v>
      </c>
      <c r="I92" s="3">
        <v>0</v>
      </c>
      <c r="J92" s="3">
        <v>0</v>
      </c>
    </row>
    <row r="93" spans="1:10" x14ac:dyDescent="0.25">
      <c r="A93" s="4">
        <v>35026.726585000026</v>
      </c>
      <c r="B93" s="3">
        <v>0</v>
      </c>
      <c r="C93" s="3">
        <v>0</v>
      </c>
      <c r="D93" s="3">
        <v>0</v>
      </c>
      <c r="E93" s="3">
        <v>0</v>
      </c>
      <c r="F93" s="3">
        <v>48.351300000000002</v>
      </c>
      <c r="G93" s="3">
        <v>0</v>
      </c>
      <c r="H93" s="3">
        <v>0</v>
      </c>
      <c r="I93" s="3">
        <v>0</v>
      </c>
      <c r="J93" s="3">
        <v>0</v>
      </c>
    </row>
    <row r="94" spans="1:10" x14ac:dyDescent="0.25">
      <c r="A94" s="4">
        <v>35026.726585000026</v>
      </c>
      <c r="B94" s="3">
        <v>0</v>
      </c>
      <c r="C94" s="3">
        <v>0</v>
      </c>
      <c r="D94" s="3">
        <v>0</v>
      </c>
      <c r="E94" s="3">
        <v>0</v>
      </c>
      <c r="F94" s="3">
        <v>48.618600000000001</v>
      </c>
      <c r="G94" s="3">
        <v>0</v>
      </c>
      <c r="H94" s="3">
        <v>0</v>
      </c>
      <c r="I94" s="3">
        <v>0</v>
      </c>
      <c r="J94" s="3">
        <v>0</v>
      </c>
    </row>
    <row r="95" spans="1:10" x14ac:dyDescent="0.25">
      <c r="A95" s="4">
        <v>35288.806585000028</v>
      </c>
      <c r="B95" s="3">
        <v>0</v>
      </c>
      <c r="C95" s="3">
        <v>0</v>
      </c>
      <c r="D95" s="3">
        <v>0</v>
      </c>
      <c r="E95" s="3">
        <v>0</v>
      </c>
      <c r="F95" s="3">
        <v>48.618600000000001</v>
      </c>
      <c r="G95" s="3">
        <v>0</v>
      </c>
      <c r="H95" s="3">
        <v>0</v>
      </c>
      <c r="I95" s="3">
        <v>0</v>
      </c>
      <c r="J95" s="3">
        <v>0</v>
      </c>
    </row>
    <row r="96" spans="1:10" x14ac:dyDescent="0.25">
      <c r="A96" s="4">
        <v>35288.806585000028</v>
      </c>
      <c r="B96" s="3">
        <v>0</v>
      </c>
      <c r="C96" s="3">
        <v>0</v>
      </c>
      <c r="D96" s="3">
        <v>0</v>
      </c>
      <c r="E96" s="3">
        <v>0</v>
      </c>
      <c r="F96" s="3">
        <v>0</v>
      </c>
      <c r="G96" s="3">
        <v>48.642200000000003</v>
      </c>
      <c r="H96" s="3">
        <v>0</v>
      </c>
      <c r="I96" s="3">
        <v>0</v>
      </c>
      <c r="J96" s="3">
        <v>0</v>
      </c>
    </row>
    <row r="97" spans="1:10" x14ac:dyDescent="0.25">
      <c r="A97" s="4">
        <v>35992.387185000021</v>
      </c>
      <c r="B97" s="3">
        <v>0</v>
      </c>
      <c r="C97" s="3">
        <v>0</v>
      </c>
      <c r="D97" s="3">
        <v>0</v>
      </c>
      <c r="E97" s="3">
        <v>0</v>
      </c>
      <c r="F97" s="3">
        <v>0</v>
      </c>
      <c r="G97" s="3">
        <v>48.642200000000003</v>
      </c>
      <c r="H97" s="3">
        <v>0</v>
      </c>
      <c r="I97" s="3">
        <v>0</v>
      </c>
      <c r="J97" s="3">
        <v>0</v>
      </c>
    </row>
    <row r="98" spans="1:10" x14ac:dyDescent="0.25">
      <c r="A98" s="4">
        <v>35992.387185000021</v>
      </c>
      <c r="B98" s="3">
        <v>0</v>
      </c>
      <c r="C98" s="3">
        <v>0</v>
      </c>
      <c r="D98" s="3">
        <v>0</v>
      </c>
      <c r="E98" s="3">
        <v>0</v>
      </c>
      <c r="F98" s="3">
        <v>48.889000000000003</v>
      </c>
      <c r="G98" s="3">
        <v>0</v>
      </c>
      <c r="H98" s="3">
        <v>0</v>
      </c>
      <c r="I98" s="3">
        <v>0</v>
      </c>
      <c r="J98" s="3">
        <v>0</v>
      </c>
    </row>
    <row r="99" spans="1:10" x14ac:dyDescent="0.25">
      <c r="A99" s="4">
        <v>36633.547185000025</v>
      </c>
      <c r="B99" s="3">
        <v>0</v>
      </c>
      <c r="C99" s="3">
        <v>0</v>
      </c>
      <c r="D99" s="3">
        <v>0</v>
      </c>
      <c r="E99" s="3">
        <v>0</v>
      </c>
      <c r="F99" s="3">
        <v>48.889000000000003</v>
      </c>
      <c r="G99" s="3">
        <v>0</v>
      </c>
      <c r="H99" s="3">
        <v>0</v>
      </c>
      <c r="I99" s="3">
        <v>0</v>
      </c>
      <c r="J99" s="3">
        <v>0</v>
      </c>
    </row>
    <row r="100" spans="1:10" x14ac:dyDescent="0.25">
      <c r="A100" s="4">
        <v>36633.547185000025</v>
      </c>
      <c r="B100" s="3">
        <v>0</v>
      </c>
      <c r="C100" s="3">
        <v>0</v>
      </c>
      <c r="D100" s="3">
        <v>0</v>
      </c>
      <c r="E100" s="3">
        <v>0</v>
      </c>
      <c r="F100" s="3">
        <v>0</v>
      </c>
      <c r="G100" s="3">
        <v>49.361899999999999</v>
      </c>
      <c r="H100" s="3">
        <v>0</v>
      </c>
      <c r="I100" s="3">
        <v>0</v>
      </c>
      <c r="J100" s="3">
        <v>0</v>
      </c>
    </row>
    <row r="101" spans="1:10" x14ac:dyDescent="0.25">
      <c r="A101" s="4">
        <v>36702.967185000023</v>
      </c>
      <c r="B101" s="3">
        <v>0</v>
      </c>
      <c r="C101" s="3">
        <v>0</v>
      </c>
      <c r="D101" s="3">
        <v>0</v>
      </c>
      <c r="E101" s="3">
        <v>0</v>
      </c>
      <c r="F101" s="3">
        <v>0</v>
      </c>
      <c r="G101" s="3">
        <v>49.361899999999999</v>
      </c>
      <c r="H101" s="3">
        <v>0</v>
      </c>
      <c r="I101" s="3">
        <v>0</v>
      </c>
      <c r="J101" s="3">
        <v>0</v>
      </c>
    </row>
    <row r="102" spans="1:10" x14ac:dyDescent="0.25">
      <c r="A102" s="4">
        <v>36702.967185000023</v>
      </c>
      <c r="B102" s="3">
        <v>0</v>
      </c>
      <c r="C102" s="3">
        <v>0</v>
      </c>
      <c r="D102" s="3">
        <v>0</v>
      </c>
      <c r="E102" s="3">
        <v>0</v>
      </c>
      <c r="F102" s="3">
        <v>49.4392</v>
      </c>
      <c r="G102" s="3">
        <v>0</v>
      </c>
      <c r="H102" s="3">
        <v>0</v>
      </c>
      <c r="I102" s="3">
        <v>0</v>
      </c>
      <c r="J102" s="3">
        <v>0</v>
      </c>
    </row>
    <row r="103" spans="1:10" x14ac:dyDescent="0.25">
      <c r="A103" s="4">
        <v>37241.16718500002</v>
      </c>
      <c r="B103" s="3">
        <v>0</v>
      </c>
      <c r="C103" s="3">
        <v>0</v>
      </c>
      <c r="D103" s="3">
        <v>0</v>
      </c>
      <c r="E103" s="3">
        <v>0</v>
      </c>
      <c r="F103" s="3">
        <v>49.4392</v>
      </c>
      <c r="G103" s="3">
        <v>0</v>
      </c>
      <c r="H103" s="3">
        <v>0</v>
      </c>
      <c r="I103" s="3">
        <v>0</v>
      </c>
      <c r="J103" s="3">
        <v>0</v>
      </c>
    </row>
    <row r="104" spans="1:10" x14ac:dyDescent="0.25">
      <c r="A104" s="4">
        <v>37241.16718500002</v>
      </c>
      <c r="B104" s="3">
        <v>0</v>
      </c>
      <c r="C104" s="3">
        <v>0</v>
      </c>
      <c r="D104" s="3">
        <v>0</v>
      </c>
      <c r="E104" s="3">
        <v>0</v>
      </c>
      <c r="F104" s="3">
        <v>0</v>
      </c>
      <c r="G104" s="3">
        <v>49.7301</v>
      </c>
      <c r="H104" s="3">
        <v>0</v>
      </c>
      <c r="I104" s="3">
        <v>0</v>
      </c>
      <c r="J104" s="3">
        <v>0</v>
      </c>
    </row>
    <row r="105" spans="1:10" x14ac:dyDescent="0.25">
      <c r="A105" s="4">
        <v>38368.352185000018</v>
      </c>
      <c r="B105" s="3">
        <v>0</v>
      </c>
      <c r="C105" s="3">
        <v>0</v>
      </c>
      <c r="D105" s="3">
        <v>0</v>
      </c>
      <c r="E105" s="3">
        <v>0</v>
      </c>
      <c r="F105" s="3">
        <v>0</v>
      </c>
      <c r="G105" s="3">
        <v>49.7301</v>
      </c>
      <c r="H105" s="3">
        <v>0</v>
      </c>
      <c r="I105" s="3">
        <v>0</v>
      </c>
      <c r="J105" s="3">
        <v>0</v>
      </c>
    </row>
    <row r="106" spans="1:10" x14ac:dyDescent="0.25">
      <c r="A106" s="4">
        <v>38368.352185000018</v>
      </c>
      <c r="B106" s="3">
        <v>0</v>
      </c>
      <c r="C106" s="3">
        <v>0</v>
      </c>
      <c r="D106" s="3">
        <v>0</v>
      </c>
      <c r="E106" s="3">
        <v>0</v>
      </c>
      <c r="F106" s="3">
        <v>0</v>
      </c>
      <c r="G106" s="3">
        <v>50.103999999999999</v>
      </c>
      <c r="H106" s="3">
        <v>0</v>
      </c>
      <c r="I106" s="3">
        <v>0</v>
      </c>
      <c r="J106" s="3">
        <v>0</v>
      </c>
    </row>
    <row r="107" spans="1:10" x14ac:dyDescent="0.25">
      <c r="A107" s="4">
        <v>38569.047185000018</v>
      </c>
      <c r="B107" s="3">
        <v>0</v>
      </c>
      <c r="C107" s="3">
        <v>0</v>
      </c>
      <c r="D107" s="3">
        <v>0</v>
      </c>
      <c r="E107" s="3">
        <v>0</v>
      </c>
      <c r="F107" s="3">
        <v>0</v>
      </c>
      <c r="G107" s="3">
        <v>50.103999999999999</v>
      </c>
      <c r="H107" s="3">
        <v>0</v>
      </c>
      <c r="I107" s="3">
        <v>0</v>
      </c>
      <c r="J107" s="3">
        <v>0</v>
      </c>
    </row>
    <row r="108" spans="1:10" x14ac:dyDescent="0.25">
      <c r="A108" s="4">
        <v>38569.047185000018</v>
      </c>
      <c r="B108" s="3">
        <v>0</v>
      </c>
      <c r="C108" s="3">
        <v>0</v>
      </c>
      <c r="D108" s="3">
        <v>0</v>
      </c>
      <c r="E108" s="3">
        <v>0</v>
      </c>
      <c r="F108" s="3">
        <v>50.288699999999999</v>
      </c>
      <c r="G108" s="3">
        <v>0</v>
      </c>
      <c r="H108" s="3">
        <v>0</v>
      </c>
      <c r="I108" s="3">
        <v>0</v>
      </c>
      <c r="J108" s="3">
        <v>0</v>
      </c>
    </row>
    <row r="109" spans="1:10" x14ac:dyDescent="0.25">
      <c r="A109" s="4">
        <v>38664.98718500002</v>
      </c>
      <c r="B109" s="3">
        <v>0</v>
      </c>
      <c r="C109" s="3">
        <v>0</v>
      </c>
      <c r="D109" s="3">
        <v>0</v>
      </c>
      <c r="E109" s="3">
        <v>0</v>
      </c>
      <c r="F109" s="3">
        <v>50.288699999999999</v>
      </c>
      <c r="G109" s="3">
        <v>0</v>
      </c>
      <c r="H109" s="3">
        <v>0</v>
      </c>
      <c r="I109" s="3">
        <v>0</v>
      </c>
      <c r="J109" s="3">
        <v>0</v>
      </c>
    </row>
    <row r="110" spans="1:10" x14ac:dyDescent="0.25">
      <c r="A110" s="4">
        <v>38664.98718500002</v>
      </c>
      <c r="B110" s="3">
        <v>0</v>
      </c>
      <c r="C110" s="3">
        <v>0</v>
      </c>
      <c r="D110" s="3">
        <v>0</v>
      </c>
      <c r="E110" s="3">
        <v>0</v>
      </c>
      <c r="F110" s="3">
        <v>0</v>
      </c>
      <c r="G110" s="3">
        <v>50.483699999999999</v>
      </c>
      <c r="H110" s="3">
        <v>0</v>
      </c>
      <c r="I110" s="3">
        <v>0</v>
      </c>
      <c r="J110" s="3">
        <v>0</v>
      </c>
    </row>
    <row r="111" spans="1:10" x14ac:dyDescent="0.25">
      <c r="A111" s="4">
        <v>39778.377185000019</v>
      </c>
      <c r="B111" s="3">
        <v>0</v>
      </c>
      <c r="C111" s="3">
        <v>0</v>
      </c>
      <c r="D111" s="3">
        <v>0</v>
      </c>
      <c r="E111" s="3">
        <v>0</v>
      </c>
      <c r="F111" s="3">
        <v>0</v>
      </c>
      <c r="G111" s="3">
        <v>50.483699999999999</v>
      </c>
      <c r="H111" s="3">
        <v>0</v>
      </c>
      <c r="I111" s="3">
        <v>0</v>
      </c>
      <c r="J111" s="3">
        <v>0</v>
      </c>
    </row>
    <row r="112" spans="1:10" x14ac:dyDescent="0.25">
      <c r="A112" s="4">
        <v>39778.377185000019</v>
      </c>
      <c r="B112" s="3">
        <v>0</v>
      </c>
      <c r="C112" s="3">
        <v>0</v>
      </c>
      <c r="D112" s="3">
        <v>0</v>
      </c>
      <c r="E112" s="3">
        <v>0</v>
      </c>
      <c r="F112" s="3">
        <v>0</v>
      </c>
      <c r="G112" s="3">
        <v>50.869399999999999</v>
      </c>
      <c r="H112" s="3">
        <v>0</v>
      </c>
      <c r="I112" s="3">
        <v>0</v>
      </c>
      <c r="J112" s="3">
        <v>0</v>
      </c>
    </row>
    <row r="113" spans="1:10" x14ac:dyDescent="0.25">
      <c r="A113" s="4">
        <v>40149.507185000017</v>
      </c>
      <c r="B113" s="3">
        <v>0</v>
      </c>
      <c r="C113" s="3">
        <v>0</v>
      </c>
      <c r="D113" s="3">
        <v>0</v>
      </c>
      <c r="E113" s="3">
        <v>0</v>
      </c>
      <c r="F113" s="3">
        <v>0</v>
      </c>
      <c r="G113" s="3">
        <v>50.869399999999999</v>
      </c>
      <c r="H113" s="3">
        <v>0</v>
      </c>
      <c r="I113" s="3">
        <v>0</v>
      </c>
      <c r="J113" s="3">
        <v>0</v>
      </c>
    </row>
    <row r="114" spans="1:10" x14ac:dyDescent="0.25">
      <c r="A114" s="4">
        <v>40149.507185000017</v>
      </c>
      <c r="B114" s="3">
        <v>0</v>
      </c>
      <c r="C114" s="3">
        <v>0</v>
      </c>
      <c r="D114" s="3">
        <v>0</v>
      </c>
      <c r="E114" s="3">
        <v>0</v>
      </c>
      <c r="F114" s="3">
        <v>0</v>
      </c>
      <c r="G114" s="3">
        <v>51.261200000000002</v>
      </c>
      <c r="H114" s="3">
        <v>0</v>
      </c>
      <c r="I114" s="3">
        <v>0</v>
      </c>
      <c r="J114" s="3">
        <v>0</v>
      </c>
    </row>
    <row r="115" spans="1:10" x14ac:dyDescent="0.25">
      <c r="A115" s="4">
        <v>40861.507185000017</v>
      </c>
      <c r="B115" s="3">
        <v>0</v>
      </c>
      <c r="C115" s="3">
        <v>0</v>
      </c>
      <c r="D115" s="3">
        <v>0</v>
      </c>
      <c r="E115" s="3">
        <v>0</v>
      </c>
      <c r="F115" s="3">
        <v>0</v>
      </c>
      <c r="G115" s="3">
        <v>51.261200000000002</v>
      </c>
      <c r="H115" s="3">
        <v>0</v>
      </c>
      <c r="I115" s="3">
        <v>0</v>
      </c>
      <c r="J115" s="3">
        <v>0</v>
      </c>
    </row>
    <row r="116" spans="1:10" x14ac:dyDescent="0.25">
      <c r="A116" s="4">
        <v>40861.507185000017</v>
      </c>
      <c r="B116" s="3">
        <v>0</v>
      </c>
      <c r="C116" s="3">
        <v>0</v>
      </c>
      <c r="D116" s="3">
        <v>0</v>
      </c>
      <c r="E116" s="3">
        <v>0</v>
      </c>
      <c r="F116" s="3">
        <v>51.469200000000001</v>
      </c>
      <c r="G116" s="3">
        <v>0</v>
      </c>
      <c r="H116" s="3">
        <v>0</v>
      </c>
      <c r="I116" s="3">
        <v>0</v>
      </c>
      <c r="J116" s="3">
        <v>0</v>
      </c>
    </row>
    <row r="117" spans="1:10" x14ac:dyDescent="0.25">
      <c r="A117" s="4">
        <v>40871.959185000014</v>
      </c>
      <c r="B117" s="3">
        <v>0</v>
      </c>
      <c r="C117" s="3">
        <v>0</v>
      </c>
      <c r="D117" s="3">
        <v>0</v>
      </c>
      <c r="E117" s="3">
        <v>0</v>
      </c>
      <c r="F117" s="3">
        <v>51.469200000000001</v>
      </c>
      <c r="G117" s="3">
        <v>0</v>
      </c>
      <c r="H117" s="3">
        <v>0</v>
      </c>
      <c r="I117" s="3">
        <v>0</v>
      </c>
      <c r="J117" s="3">
        <v>0</v>
      </c>
    </row>
    <row r="118" spans="1:10" x14ac:dyDescent="0.25">
      <c r="A118" s="4">
        <v>40871.959185000014</v>
      </c>
      <c r="B118" s="3">
        <v>0</v>
      </c>
      <c r="C118" s="3">
        <v>0</v>
      </c>
      <c r="D118" s="3">
        <v>0</v>
      </c>
      <c r="E118" s="3">
        <v>0</v>
      </c>
      <c r="F118" s="3">
        <v>0</v>
      </c>
      <c r="G118" s="3">
        <v>51.659300000000002</v>
      </c>
      <c r="H118" s="3">
        <v>0</v>
      </c>
      <c r="I118" s="3">
        <v>0</v>
      </c>
      <c r="J118" s="3">
        <v>0</v>
      </c>
    </row>
    <row r="119" spans="1:10" x14ac:dyDescent="0.25">
      <c r="A119" s="4">
        <v>41908.08828500002</v>
      </c>
      <c r="B119" s="3">
        <v>0</v>
      </c>
      <c r="C119" s="3">
        <v>0</v>
      </c>
      <c r="D119" s="3">
        <v>0</v>
      </c>
      <c r="E119" s="3">
        <v>0</v>
      </c>
      <c r="F119" s="3">
        <v>0</v>
      </c>
      <c r="G119" s="3">
        <v>51.659300000000002</v>
      </c>
      <c r="H119" s="3">
        <v>0</v>
      </c>
      <c r="I119" s="3">
        <v>0</v>
      </c>
      <c r="J119" s="3">
        <v>0</v>
      </c>
    </row>
    <row r="120" spans="1:10" x14ac:dyDescent="0.25">
      <c r="A120" s="4">
        <v>41908.08828500002</v>
      </c>
      <c r="B120" s="3">
        <v>0</v>
      </c>
      <c r="C120" s="3">
        <v>0</v>
      </c>
      <c r="D120" s="3">
        <v>0</v>
      </c>
      <c r="E120" s="3">
        <v>0</v>
      </c>
      <c r="F120" s="3">
        <v>0</v>
      </c>
      <c r="G120" s="3">
        <v>52.063800000000001</v>
      </c>
      <c r="H120" s="3">
        <v>0</v>
      </c>
      <c r="I120" s="3">
        <v>0</v>
      </c>
      <c r="J120" s="3">
        <v>0</v>
      </c>
    </row>
    <row r="121" spans="1:10" x14ac:dyDescent="0.25">
      <c r="A121" s="4">
        <v>42339.204285000022</v>
      </c>
      <c r="B121" s="3">
        <v>0</v>
      </c>
      <c r="C121" s="3">
        <v>0</v>
      </c>
      <c r="D121" s="3">
        <v>0</v>
      </c>
      <c r="E121" s="3">
        <v>0</v>
      </c>
      <c r="F121" s="3">
        <v>0</v>
      </c>
      <c r="G121" s="3">
        <v>52.063800000000001</v>
      </c>
      <c r="H121" s="3">
        <v>0</v>
      </c>
      <c r="I121" s="3">
        <v>0</v>
      </c>
      <c r="J121" s="3">
        <v>0</v>
      </c>
    </row>
    <row r="122" spans="1:10" x14ac:dyDescent="0.25">
      <c r="A122" s="4">
        <v>42339.204285000022</v>
      </c>
      <c r="B122" s="3">
        <v>0</v>
      </c>
      <c r="C122" s="3">
        <v>0</v>
      </c>
      <c r="D122" s="3">
        <v>0</v>
      </c>
      <c r="E122" s="3">
        <v>0</v>
      </c>
      <c r="F122" s="3">
        <v>52.081000000000003</v>
      </c>
      <c r="G122" s="3">
        <v>0</v>
      </c>
      <c r="H122" s="3">
        <v>0</v>
      </c>
      <c r="I122" s="3">
        <v>0</v>
      </c>
      <c r="J122" s="3">
        <v>0</v>
      </c>
    </row>
    <row r="123" spans="1:10" x14ac:dyDescent="0.25">
      <c r="A123" s="4">
        <v>42740.12428500002</v>
      </c>
      <c r="B123" s="3">
        <v>0</v>
      </c>
      <c r="C123" s="3">
        <v>0</v>
      </c>
      <c r="D123" s="3">
        <v>0</v>
      </c>
      <c r="E123" s="3">
        <v>0</v>
      </c>
      <c r="F123" s="3">
        <v>52.081000000000003</v>
      </c>
      <c r="G123" s="3">
        <v>0</v>
      </c>
      <c r="H123" s="3">
        <v>0</v>
      </c>
      <c r="I123" s="3">
        <v>0</v>
      </c>
      <c r="J123" s="3">
        <v>0</v>
      </c>
    </row>
    <row r="124" spans="1:10" x14ac:dyDescent="0.25">
      <c r="A124" s="4">
        <v>42740.12428500002</v>
      </c>
      <c r="B124" s="3">
        <v>0</v>
      </c>
      <c r="C124" s="3">
        <v>0</v>
      </c>
      <c r="D124" s="3">
        <v>0</v>
      </c>
      <c r="E124" s="3">
        <v>0</v>
      </c>
      <c r="F124" s="3">
        <v>52.143000000000001</v>
      </c>
      <c r="G124" s="3">
        <v>0</v>
      </c>
      <c r="H124" s="3">
        <v>0</v>
      </c>
      <c r="I124" s="3">
        <v>0</v>
      </c>
      <c r="J124" s="3">
        <v>0</v>
      </c>
    </row>
    <row r="125" spans="1:10" x14ac:dyDescent="0.25">
      <c r="A125" s="4">
        <v>42783.461085000017</v>
      </c>
      <c r="B125" s="3">
        <v>0</v>
      </c>
      <c r="C125" s="3">
        <v>0</v>
      </c>
      <c r="D125" s="3">
        <v>0</v>
      </c>
      <c r="E125" s="3">
        <v>0</v>
      </c>
      <c r="F125" s="3">
        <v>52.143000000000001</v>
      </c>
      <c r="G125" s="3">
        <v>0</v>
      </c>
      <c r="H125" s="3">
        <v>0</v>
      </c>
      <c r="I125" s="3">
        <v>0</v>
      </c>
      <c r="J125" s="3">
        <v>0</v>
      </c>
    </row>
    <row r="126" spans="1:10" x14ac:dyDescent="0.25">
      <c r="A126" s="4">
        <v>42783.461085000017</v>
      </c>
      <c r="B126" s="3">
        <v>0</v>
      </c>
      <c r="C126" s="3">
        <v>0</v>
      </c>
      <c r="D126" s="3">
        <v>0</v>
      </c>
      <c r="E126" s="3">
        <v>0</v>
      </c>
      <c r="F126" s="3">
        <v>52.392499999999998</v>
      </c>
      <c r="G126" s="3">
        <v>0</v>
      </c>
      <c r="H126" s="3">
        <v>0</v>
      </c>
      <c r="I126" s="3">
        <v>0</v>
      </c>
      <c r="J126" s="3">
        <v>0</v>
      </c>
    </row>
    <row r="127" spans="1:10" x14ac:dyDescent="0.25">
      <c r="A127" s="4">
        <v>43476.881085000023</v>
      </c>
      <c r="B127" s="3">
        <v>0</v>
      </c>
      <c r="C127" s="3">
        <v>0</v>
      </c>
      <c r="D127" s="3">
        <v>0</v>
      </c>
      <c r="E127" s="3">
        <v>0</v>
      </c>
      <c r="F127" s="3">
        <v>52.392499999999998</v>
      </c>
      <c r="G127" s="3">
        <v>0</v>
      </c>
      <c r="H127" s="3">
        <v>0</v>
      </c>
      <c r="I127" s="3">
        <v>0</v>
      </c>
      <c r="J127" s="3">
        <v>0</v>
      </c>
    </row>
    <row r="128" spans="1:10" x14ac:dyDescent="0.25">
      <c r="A128" s="4">
        <v>43476.881085000023</v>
      </c>
      <c r="B128" s="3">
        <v>0</v>
      </c>
      <c r="C128" s="3">
        <v>0</v>
      </c>
      <c r="D128" s="3">
        <v>0</v>
      </c>
      <c r="E128" s="3">
        <v>0</v>
      </c>
      <c r="F128" s="3">
        <v>0</v>
      </c>
      <c r="G128" s="3">
        <v>52.474899999999998</v>
      </c>
      <c r="H128" s="3">
        <v>0</v>
      </c>
      <c r="I128" s="3">
        <v>0</v>
      </c>
      <c r="J128" s="3">
        <v>0</v>
      </c>
    </row>
    <row r="129" spans="1:10" x14ac:dyDescent="0.25">
      <c r="A129" s="4">
        <v>43687.508485000028</v>
      </c>
      <c r="B129" s="3">
        <v>0</v>
      </c>
      <c r="C129" s="3">
        <v>0</v>
      </c>
      <c r="D129" s="3">
        <v>0</v>
      </c>
      <c r="E129" s="3">
        <v>0</v>
      </c>
      <c r="F129" s="3">
        <v>0</v>
      </c>
      <c r="G129" s="3">
        <v>52.474899999999998</v>
      </c>
      <c r="H129" s="3">
        <v>0</v>
      </c>
      <c r="I129" s="3">
        <v>0</v>
      </c>
      <c r="J129" s="3">
        <v>0</v>
      </c>
    </row>
    <row r="130" spans="1:10" x14ac:dyDescent="0.25">
      <c r="A130" s="4">
        <v>43687.508485000028</v>
      </c>
      <c r="B130" s="3">
        <v>0</v>
      </c>
      <c r="C130" s="3">
        <v>0</v>
      </c>
      <c r="D130" s="3">
        <v>0</v>
      </c>
      <c r="E130" s="3">
        <v>0</v>
      </c>
      <c r="F130" s="3">
        <v>52.707900000000002</v>
      </c>
      <c r="G130" s="3">
        <v>0</v>
      </c>
      <c r="H130" s="3">
        <v>0</v>
      </c>
      <c r="I130" s="3">
        <v>0</v>
      </c>
      <c r="J130" s="3">
        <v>0</v>
      </c>
    </row>
    <row r="131" spans="1:10" x14ac:dyDescent="0.25">
      <c r="A131" s="4">
        <v>44353.394485000033</v>
      </c>
      <c r="B131" s="3">
        <v>0</v>
      </c>
      <c r="C131" s="3">
        <v>0</v>
      </c>
      <c r="D131" s="3">
        <v>0</v>
      </c>
      <c r="E131" s="3">
        <v>0</v>
      </c>
      <c r="F131" s="3">
        <v>52.707900000000002</v>
      </c>
      <c r="G131" s="3">
        <v>0</v>
      </c>
      <c r="H131" s="3">
        <v>0</v>
      </c>
      <c r="I131" s="3">
        <v>0</v>
      </c>
      <c r="J131" s="3">
        <v>0</v>
      </c>
    </row>
    <row r="132" spans="1:10" x14ac:dyDescent="0.25">
      <c r="A132" s="4">
        <v>44353.394485000033</v>
      </c>
      <c r="B132" s="3">
        <v>0</v>
      </c>
      <c r="C132" s="3">
        <v>0</v>
      </c>
      <c r="D132" s="3">
        <v>0</v>
      </c>
      <c r="E132" s="3">
        <v>0</v>
      </c>
      <c r="F132" s="3">
        <v>0</v>
      </c>
      <c r="G132" s="3">
        <v>52.892699999999998</v>
      </c>
      <c r="H132" s="3">
        <v>0</v>
      </c>
      <c r="I132" s="3">
        <v>0</v>
      </c>
      <c r="J132" s="3">
        <v>0</v>
      </c>
    </row>
    <row r="133" spans="1:10" x14ac:dyDescent="0.25">
      <c r="A133" s="4">
        <v>44366.566485000032</v>
      </c>
      <c r="B133" s="3">
        <v>0</v>
      </c>
      <c r="C133" s="3">
        <v>0</v>
      </c>
      <c r="D133" s="3">
        <v>0</v>
      </c>
      <c r="E133" s="3">
        <v>0</v>
      </c>
      <c r="F133" s="3">
        <v>0</v>
      </c>
      <c r="G133" s="3">
        <v>52.892699999999998</v>
      </c>
      <c r="H133" s="3">
        <v>0</v>
      </c>
      <c r="I133" s="3">
        <v>0</v>
      </c>
      <c r="J133" s="3">
        <v>0</v>
      </c>
    </row>
    <row r="134" spans="1:10" x14ac:dyDescent="0.25">
      <c r="A134" s="4">
        <v>44366.566485000032</v>
      </c>
      <c r="B134" s="3">
        <v>0</v>
      </c>
      <c r="C134" s="3">
        <v>0</v>
      </c>
      <c r="D134" s="3">
        <v>0</v>
      </c>
      <c r="E134" s="3">
        <v>0</v>
      </c>
      <c r="F134" s="3">
        <v>53.027200000000001</v>
      </c>
      <c r="G134" s="3">
        <v>0</v>
      </c>
      <c r="H134" s="3">
        <v>0</v>
      </c>
      <c r="I134" s="3">
        <v>0</v>
      </c>
      <c r="J134" s="3">
        <v>0</v>
      </c>
    </row>
    <row r="135" spans="1:10" x14ac:dyDescent="0.25">
      <c r="A135" s="4">
        <v>44626.072485000033</v>
      </c>
      <c r="B135" s="3">
        <v>0</v>
      </c>
      <c r="C135" s="3">
        <v>0</v>
      </c>
      <c r="D135" s="3">
        <v>0</v>
      </c>
      <c r="E135" s="3">
        <v>0</v>
      </c>
      <c r="F135" s="3">
        <v>53.027200000000001</v>
      </c>
      <c r="G135" s="3">
        <v>0</v>
      </c>
      <c r="H135" s="3">
        <v>0</v>
      </c>
      <c r="I135" s="3">
        <v>0</v>
      </c>
      <c r="J135" s="3">
        <v>0</v>
      </c>
    </row>
    <row r="136" spans="1:10" x14ac:dyDescent="0.25">
      <c r="A136" s="4">
        <v>44626.072485000033</v>
      </c>
      <c r="B136" s="3">
        <v>0</v>
      </c>
      <c r="C136" s="3">
        <v>0</v>
      </c>
      <c r="D136" s="3">
        <v>0</v>
      </c>
      <c r="E136" s="3">
        <v>53.113199999999999</v>
      </c>
      <c r="F136" s="3">
        <v>0</v>
      </c>
      <c r="G136" s="3">
        <v>0</v>
      </c>
      <c r="H136" s="3">
        <v>0</v>
      </c>
      <c r="I136" s="3">
        <v>0</v>
      </c>
      <c r="J136" s="3">
        <v>0</v>
      </c>
    </row>
    <row r="137" spans="1:10" x14ac:dyDescent="0.25">
      <c r="A137" s="4">
        <v>44639.122485000036</v>
      </c>
      <c r="B137" s="3">
        <v>0</v>
      </c>
      <c r="C137" s="3">
        <v>0</v>
      </c>
      <c r="D137" s="3">
        <v>0</v>
      </c>
      <c r="E137" s="3">
        <v>53.113199999999999</v>
      </c>
      <c r="F137" s="3">
        <v>0</v>
      </c>
      <c r="G137" s="3">
        <v>0</v>
      </c>
      <c r="H137" s="3">
        <v>0</v>
      </c>
      <c r="I137" s="3">
        <v>0</v>
      </c>
      <c r="J137" s="3">
        <v>0</v>
      </c>
    </row>
    <row r="138" spans="1:10" x14ac:dyDescent="0.25">
      <c r="A138" s="4">
        <v>44639.122485000036</v>
      </c>
      <c r="B138" s="3">
        <v>0</v>
      </c>
      <c r="C138" s="3">
        <v>0</v>
      </c>
      <c r="D138" s="3">
        <v>0</v>
      </c>
      <c r="E138" s="3">
        <v>0</v>
      </c>
      <c r="F138" s="3">
        <v>0</v>
      </c>
      <c r="G138" s="3">
        <v>53.317399999999999</v>
      </c>
      <c r="H138" s="3">
        <v>0</v>
      </c>
      <c r="I138" s="3">
        <v>0</v>
      </c>
      <c r="J138" s="3">
        <v>0</v>
      </c>
    </row>
    <row r="139" spans="1:10" x14ac:dyDescent="0.25">
      <c r="A139" s="4">
        <v>44759.984485000037</v>
      </c>
      <c r="B139" s="3">
        <v>0</v>
      </c>
      <c r="C139" s="3">
        <v>0</v>
      </c>
      <c r="D139" s="3">
        <v>0</v>
      </c>
      <c r="E139" s="3">
        <v>0</v>
      </c>
      <c r="F139" s="3">
        <v>0</v>
      </c>
      <c r="G139" s="3">
        <v>53.317399999999999</v>
      </c>
      <c r="H139" s="3">
        <v>0</v>
      </c>
      <c r="I139" s="3">
        <v>0</v>
      </c>
      <c r="J139" s="3">
        <v>0</v>
      </c>
    </row>
    <row r="140" spans="1:10" x14ac:dyDescent="0.25">
      <c r="A140" s="4">
        <v>44759.984485000037</v>
      </c>
      <c r="B140" s="3">
        <v>0</v>
      </c>
      <c r="C140" s="3">
        <v>0</v>
      </c>
      <c r="D140" s="3">
        <v>0</v>
      </c>
      <c r="E140" s="3">
        <v>0</v>
      </c>
      <c r="F140" s="3">
        <v>53.350499999999997</v>
      </c>
      <c r="G140" s="3">
        <v>0</v>
      </c>
      <c r="H140" s="3">
        <v>0</v>
      </c>
      <c r="I140" s="3">
        <v>0</v>
      </c>
      <c r="J140" s="3">
        <v>0</v>
      </c>
    </row>
    <row r="141" spans="1:10" x14ac:dyDescent="0.25">
      <c r="A141" s="4">
        <v>44892.506485000042</v>
      </c>
      <c r="B141" s="3">
        <v>0</v>
      </c>
      <c r="C141" s="3">
        <v>0</v>
      </c>
      <c r="D141" s="3">
        <v>0</v>
      </c>
      <c r="E141" s="3">
        <v>0</v>
      </c>
      <c r="F141" s="3">
        <v>53.350499999999997</v>
      </c>
      <c r="G141" s="3">
        <v>0</v>
      </c>
      <c r="H141" s="3">
        <v>0</v>
      </c>
      <c r="I141" s="3">
        <v>0</v>
      </c>
      <c r="J141" s="3">
        <v>0</v>
      </c>
    </row>
    <row r="142" spans="1:10" x14ac:dyDescent="0.25">
      <c r="A142" s="4">
        <v>44892.506485000042</v>
      </c>
      <c r="B142" s="3">
        <v>0</v>
      </c>
      <c r="C142" s="3">
        <v>0</v>
      </c>
      <c r="D142" s="3">
        <v>0</v>
      </c>
      <c r="E142" s="3">
        <v>0</v>
      </c>
      <c r="F142" s="3">
        <v>53.677900000000001</v>
      </c>
      <c r="G142" s="3">
        <v>0</v>
      </c>
      <c r="H142" s="3">
        <v>0</v>
      </c>
      <c r="I142" s="3">
        <v>0</v>
      </c>
      <c r="J142" s="3">
        <v>0</v>
      </c>
    </row>
    <row r="143" spans="1:10" x14ac:dyDescent="0.25">
      <c r="A143" s="4">
        <v>45317.216485000048</v>
      </c>
      <c r="B143" s="3">
        <v>0</v>
      </c>
      <c r="C143" s="3">
        <v>0</v>
      </c>
      <c r="D143" s="3">
        <v>0</v>
      </c>
      <c r="E143" s="3">
        <v>0</v>
      </c>
      <c r="F143" s="3">
        <v>53.677900000000001</v>
      </c>
      <c r="G143" s="3">
        <v>0</v>
      </c>
      <c r="H143" s="3">
        <v>0</v>
      </c>
      <c r="I143" s="3">
        <v>0</v>
      </c>
      <c r="J143" s="3">
        <v>0</v>
      </c>
    </row>
    <row r="144" spans="1:10" x14ac:dyDescent="0.25">
      <c r="A144" s="4">
        <v>45317.216485000048</v>
      </c>
      <c r="B144" s="3">
        <v>0</v>
      </c>
      <c r="C144" s="3">
        <v>0</v>
      </c>
      <c r="D144" s="3">
        <v>0</v>
      </c>
      <c r="E144" s="3">
        <v>0</v>
      </c>
      <c r="F144" s="3">
        <v>0</v>
      </c>
      <c r="G144" s="3">
        <v>53.749299999999998</v>
      </c>
      <c r="H144" s="3">
        <v>0</v>
      </c>
      <c r="I144" s="3">
        <v>0</v>
      </c>
      <c r="J144" s="3">
        <v>0</v>
      </c>
    </row>
    <row r="145" spans="1:10" x14ac:dyDescent="0.25">
      <c r="A145" s="4">
        <v>46620.354485000047</v>
      </c>
      <c r="B145" s="3">
        <v>0</v>
      </c>
      <c r="C145" s="3">
        <v>0</v>
      </c>
      <c r="D145" s="3">
        <v>0</v>
      </c>
      <c r="E145" s="3">
        <v>0</v>
      </c>
      <c r="F145" s="3">
        <v>0</v>
      </c>
      <c r="G145" s="3">
        <v>53.749299999999998</v>
      </c>
      <c r="H145" s="3">
        <v>0</v>
      </c>
      <c r="I145" s="3">
        <v>0</v>
      </c>
      <c r="J145" s="3">
        <v>0</v>
      </c>
    </row>
    <row r="146" spans="1:10" x14ac:dyDescent="0.25">
      <c r="A146" s="4">
        <v>46620.354485000047</v>
      </c>
      <c r="B146" s="3">
        <v>0</v>
      </c>
      <c r="C146" s="3">
        <v>0</v>
      </c>
      <c r="D146" s="3">
        <v>0</v>
      </c>
      <c r="E146" s="3">
        <v>0</v>
      </c>
      <c r="F146" s="3">
        <v>54.009399999999999</v>
      </c>
      <c r="G146" s="3">
        <v>0</v>
      </c>
      <c r="H146" s="3">
        <v>0</v>
      </c>
      <c r="I146" s="3">
        <v>0</v>
      </c>
      <c r="J146" s="3">
        <v>0</v>
      </c>
    </row>
    <row r="147" spans="1:10" x14ac:dyDescent="0.25">
      <c r="A147" s="4">
        <v>47176.884485000046</v>
      </c>
      <c r="B147" s="3">
        <v>0</v>
      </c>
      <c r="C147" s="3">
        <v>0</v>
      </c>
      <c r="D147" s="3">
        <v>0</v>
      </c>
      <c r="E147" s="3">
        <v>0</v>
      </c>
      <c r="F147" s="3">
        <v>54.009399999999999</v>
      </c>
      <c r="G147" s="3">
        <v>0</v>
      </c>
      <c r="H147" s="3">
        <v>0</v>
      </c>
      <c r="I147" s="3">
        <v>0</v>
      </c>
      <c r="J147" s="3">
        <v>0</v>
      </c>
    </row>
    <row r="148" spans="1:10" x14ac:dyDescent="0.25">
      <c r="A148" s="4">
        <v>47176.884485000046</v>
      </c>
      <c r="B148" s="3">
        <v>0</v>
      </c>
      <c r="C148" s="3">
        <v>0</v>
      </c>
      <c r="D148" s="3">
        <v>0</v>
      </c>
      <c r="E148" s="3">
        <v>0</v>
      </c>
      <c r="F148" s="3">
        <v>0</v>
      </c>
      <c r="G148" s="3">
        <v>54.188299999999998</v>
      </c>
      <c r="H148" s="3">
        <v>0</v>
      </c>
      <c r="I148" s="3">
        <v>0</v>
      </c>
      <c r="J148" s="3">
        <v>0</v>
      </c>
    </row>
    <row r="149" spans="1:10" x14ac:dyDescent="0.25">
      <c r="A149" s="4">
        <v>47344.738485000045</v>
      </c>
      <c r="B149" s="3">
        <v>0</v>
      </c>
      <c r="C149" s="3">
        <v>0</v>
      </c>
      <c r="D149" s="3">
        <v>0</v>
      </c>
      <c r="E149" s="3">
        <v>0</v>
      </c>
      <c r="F149" s="3">
        <v>0</v>
      </c>
      <c r="G149" s="3">
        <v>54.188299999999998</v>
      </c>
      <c r="H149" s="3">
        <v>0</v>
      </c>
      <c r="I149" s="3">
        <v>0</v>
      </c>
      <c r="J149" s="3">
        <v>0</v>
      </c>
    </row>
    <row r="150" spans="1:10" x14ac:dyDescent="0.25">
      <c r="A150" s="4">
        <v>47344.738485000045</v>
      </c>
      <c r="B150" s="3">
        <v>0</v>
      </c>
      <c r="C150" s="3">
        <v>0</v>
      </c>
      <c r="D150" s="3">
        <v>0</v>
      </c>
      <c r="E150" s="3">
        <v>0</v>
      </c>
      <c r="F150" s="3">
        <v>54.345100000000002</v>
      </c>
      <c r="G150" s="3">
        <v>0</v>
      </c>
      <c r="H150" s="3">
        <v>0</v>
      </c>
      <c r="I150" s="3">
        <v>0</v>
      </c>
      <c r="J150" s="3">
        <v>0</v>
      </c>
    </row>
    <row r="151" spans="1:10" x14ac:dyDescent="0.25">
      <c r="A151" s="4">
        <v>48247.198485000044</v>
      </c>
      <c r="B151" s="3">
        <v>0</v>
      </c>
      <c r="C151" s="3">
        <v>0</v>
      </c>
      <c r="D151" s="3">
        <v>0</v>
      </c>
      <c r="E151" s="3">
        <v>0</v>
      </c>
      <c r="F151" s="3">
        <v>54.345100000000002</v>
      </c>
      <c r="G151" s="3">
        <v>0</v>
      </c>
      <c r="H151" s="3">
        <v>0</v>
      </c>
      <c r="I151" s="3">
        <v>0</v>
      </c>
      <c r="J151" s="3">
        <v>0</v>
      </c>
    </row>
    <row r="152" spans="1:10" x14ac:dyDescent="0.25">
      <c r="A152" s="4">
        <v>48247.198485000044</v>
      </c>
      <c r="B152" s="3">
        <v>0</v>
      </c>
      <c r="C152" s="3">
        <v>0</v>
      </c>
      <c r="D152" s="3">
        <v>0</v>
      </c>
      <c r="E152" s="3">
        <v>54.615600000000001</v>
      </c>
      <c r="F152" s="3">
        <v>0</v>
      </c>
      <c r="G152" s="3">
        <v>0</v>
      </c>
      <c r="H152" s="3">
        <v>0</v>
      </c>
      <c r="I152" s="3">
        <v>0</v>
      </c>
      <c r="J152" s="3">
        <v>0</v>
      </c>
    </row>
    <row r="153" spans="1:10" x14ac:dyDescent="0.25">
      <c r="A153" s="4">
        <v>48305.488485000045</v>
      </c>
      <c r="B153" s="3">
        <v>0</v>
      </c>
      <c r="C153" s="3">
        <v>0</v>
      </c>
      <c r="D153" s="3">
        <v>0</v>
      </c>
      <c r="E153" s="3">
        <v>54.615600000000001</v>
      </c>
      <c r="F153" s="3">
        <v>0</v>
      </c>
      <c r="G153" s="3">
        <v>0</v>
      </c>
      <c r="H153" s="3">
        <v>0</v>
      </c>
      <c r="I153" s="3">
        <v>0</v>
      </c>
      <c r="J153" s="3">
        <v>0</v>
      </c>
    </row>
    <row r="154" spans="1:10" x14ac:dyDescent="0.25">
      <c r="A154" s="4">
        <v>48305.488485000045</v>
      </c>
      <c r="B154" s="3">
        <v>0</v>
      </c>
      <c r="C154" s="3">
        <v>0</v>
      </c>
      <c r="D154" s="3">
        <v>0</v>
      </c>
      <c r="E154" s="3">
        <v>0</v>
      </c>
      <c r="F154" s="3">
        <v>0</v>
      </c>
      <c r="G154" s="3">
        <v>54.634799999999998</v>
      </c>
      <c r="H154" s="3">
        <v>0</v>
      </c>
      <c r="I154" s="3">
        <v>0</v>
      </c>
      <c r="J154" s="3">
        <v>0</v>
      </c>
    </row>
    <row r="155" spans="1:10" x14ac:dyDescent="0.25">
      <c r="A155" s="4">
        <v>48375.798485000043</v>
      </c>
      <c r="B155" s="3">
        <v>0</v>
      </c>
      <c r="C155" s="3">
        <v>0</v>
      </c>
      <c r="D155" s="3">
        <v>0</v>
      </c>
      <c r="E155" s="3">
        <v>0</v>
      </c>
      <c r="F155" s="3">
        <v>0</v>
      </c>
      <c r="G155" s="3">
        <v>54.634799999999998</v>
      </c>
      <c r="H155" s="3">
        <v>0</v>
      </c>
      <c r="I155" s="3">
        <v>0</v>
      </c>
      <c r="J155" s="3">
        <v>0</v>
      </c>
    </row>
    <row r="156" spans="1:10" x14ac:dyDescent="0.25">
      <c r="A156" s="4">
        <v>48375.798485000043</v>
      </c>
      <c r="B156" s="3">
        <v>0</v>
      </c>
      <c r="C156" s="3">
        <v>0</v>
      </c>
      <c r="D156" s="3">
        <v>0</v>
      </c>
      <c r="E156" s="3">
        <v>0</v>
      </c>
      <c r="F156" s="3">
        <v>55.029499999999999</v>
      </c>
      <c r="G156" s="3">
        <v>0</v>
      </c>
      <c r="H156" s="3">
        <v>0</v>
      </c>
      <c r="I156" s="3">
        <v>0</v>
      </c>
      <c r="J156" s="3">
        <v>0</v>
      </c>
    </row>
    <row r="157" spans="1:10" x14ac:dyDescent="0.25">
      <c r="A157" s="4">
        <v>48646.458485000039</v>
      </c>
      <c r="B157" s="3">
        <v>0</v>
      </c>
      <c r="C157" s="3">
        <v>0</v>
      </c>
      <c r="D157" s="3">
        <v>0</v>
      </c>
      <c r="E157" s="3">
        <v>0</v>
      </c>
      <c r="F157" s="3">
        <v>55.029499999999999</v>
      </c>
      <c r="G157" s="3">
        <v>0</v>
      </c>
      <c r="H157" s="3">
        <v>0</v>
      </c>
      <c r="I157" s="3">
        <v>0</v>
      </c>
      <c r="J157" s="3">
        <v>0</v>
      </c>
    </row>
    <row r="158" spans="1:10" x14ac:dyDescent="0.25">
      <c r="A158" s="4">
        <v>48646.458485000039</v>
      </c>
      <c r="B158" s="3">
        <v>0</v>
      </c>
      <c r="C158" s="3">
        <v>0</v>
      </c>
      <c r="D158" s="3">
        <v>0</v>
      </c>
      <c r="E158" s="3">
        <v>0</v>
      </c>
      <c r="F158" s="3">
        <v>0</v>
      </c>
      <c r="G158" s="3">
        <v>55.088999999999999</v>
      </c>
      <c r="H158" s="3">
        <v>0</v>
      </c>
      <c r="I158" s="3">
        <v>0</v>
      </c>
      <c r="J158" s="3">
        <v>0</v>
      </c>
    </row>
    <row r="159" spans="1:10" x14ac:dyDescent="0.25">
      <c r="A159" s="4">
        <v>49078.108485000041</v>
      </c>
      <c r="B159" s="3">
        <v>0</v>
      </c>
      <c r="C159" s="3">
        <v>0</v>
      </c>
      <c r="D159" s="3">
        <v>0</v>
      </c>
      <c r="E159" s="3">
        <v>0</v>
      </c>
      <c r="F159" s="3">
        <v>0</v>
      </c>
      <c r="G159" s="3">
        <v>55.088999999999999</v>
      </c>
      <c r="H159" s="3">
        <v>0</v>
      </c>
      <c r="I159" s="3">
        <v>0</v>
      </c>
      <c r="J159" s="3">
        <v>0</v>
      </c>
    </row>
    <row r="160" spans="1:10" x14ac:dyDescent="0.25">
      <c r="A160" s="4">
        <v>49078.108485000041</v>
      </c>
      <c r="B160" s="3">
        <v>0</v>
      </c>
      <c r="C160" s="3">
        <v>0</v>
      </c>
      <c r="D160" s="3">
        <v>0</v>
      </c>
      <c r="E160" s="3">
        <v>0</v>
      </c>
      <c r="F160" s="3">
        <v>55.378399999999999</v>
      </c>
      <c r="G160" s="3">
        <v>0</v>
      </c>
      <c r="H160" s="3">
        <v>0</v>
      </c>
      <c r="I160" s="3">
        <v>0</v>
      </c>
      <c r="J160" s="3">
        <v>0</v>
      </c>
    </row>
    <row r="161" spans="1:10" x14ac:dyDescent="0.25">
      <c r="A161" s="4">
        <v>49592.128485000037</v>
      </c>
      <c r="B161" s="3">
        <v>0</v>
      </c>
      <c r="C161" s="3">
        <v>0</v>
      </c>
      <c r="D161" s="3">
        <v>0</v>
      </c>
      <c r="E161" s="3">
        <v>0</v>
      </c>
      <c r="F161" s="3">
        <v>55.378399999999999</v>
      </c>
      <c r="G161" s="3">
        <v>0</v>
      </c>
      <c r="H161" s="3">
        <v>0</v>
      </c>
      <c r="I161" s="3">
        <v>0</v>
      </c>
      <c r="J161" s="3">
        <v>0</v>
      </c>
    </row>
    <row r="162" spans="1:10" x14ac:dyDescent="0.25">
      <c r="A162" s="4">
        <v>49592.128485000037</v>
      </c>
      <c r="B162" s="3">
        <v>0</v>
      </c>
      <c r="C162" s="3">
        <v>0</v>
      </c>
      <c r="D162" s="3">
        <v>0</v>
      </c>
      <c r="E162" s="3">
        <v>0</v>
      </c>
      <c r="F162" s="3">
        <v>0</v>
      </c>
      <c r="G162" s="3">
        <v>55.551000000000002</v>
      </c>
      <c r="H162" s="3">
        <v>0</v>
      </c>
      <c r="I162" s="3">
        <v>0</v>
      </c>
      <c r="J162" s="3">
        <v>0</v>
      </c>
    </row>
    <row r="163" spans="1:10" x14ac:dyDescent="0.25">
      <c r="A163" s="4">
        <v>50291.579485000046</v>
      </c>
      <c r="B163" s="3">
        <v>0</v>
      </c>
      <c r="C163" s="3">
        <v>0</v>
      </c>
      <c r="D163" s="3">
        <v>0</v>
      </c>
      <c r="E163" s="3">
        <v>0</v>
      </c>
      <c r="F163" s="3">
        <v>0</v>
      </c>
      <c r="G163" s="3">
        <v>55.551000000000002</v>
      </c>
      <c r="H163" s="3">
        <v>0</v>
      </c>
      <c r="I163" s="3">
        <v>0</v>
      </c>
      <c r="J163" s="3">
        <v>0</v>
      </c>
    </row>
    <row r="164" spans="1:10" x14ac:dyDescent="0.25">
      <c r="A164" s="4">
        <v>50291.579485000046</v>
      </c>
      <c r="B164" s="3">
        <v>0</v>
      </c>
      <c r="C164" s="3">
        <v>0</v>
      </c>
      <c r="D164" s="3">
        <v>0</v>
      </c>
      <c r="E164" s="3">
        <v>0</v>
      </c>
      <c r="F164" s="3">
        <v>0</v>
      </c>
      <c r="G164" s="3">
        <v>56.021000000000001</v>
      </c>
      <c r="H164" s="3">
        <v>0</v>
      </c>
      <c r="I164" s="3">
        <v>0</v>
      </c>
      <c r="J164" s="3">
        <v>0</v>
      </c>
    </row>
    <row r="165" spans="1:10" x14ac:dyDescent="0.25">
      <c r="A165" s="4">
        <v>50579.939485000046</v>
      </c>
      <c r="B165" s="3">
        <v>0</v>
      </c>
      <c r="C165" s="3">
        <v>0</v>
      </c>
      <c r="D165" s="3">
        <v>0</v>
      </c>
      <c r="E165" s="3">
        <v>0</v>
      </c>
      <c r="F165" s="3">
        <v>0</v>
      </c>
      <c r="G165" s="3">
        <v>56.021000000000001</v>
      </c>
      <c r="H165" s="3">
        <v>0</v>
      </c>
      <c r="I165" s="3">
        <v>0</v>
      </c>
      <c r="J165" s="3">
        <v>0</v>
      </c>
    </row>
    <row r="166" spans="1:10" x14ac:dyDescent="0.25">
      <c r="A166" s="4">
        <v>50579.939485000046</v>
      </c>
      <c r="B166" s="3">
        <v>0</v>
      </c>
      <c r="C166" s="3">
        <v>0</v>
      </c>
      <c r="D166" s="3">
        <v>0</v>
      </c>
      <c r="E166" s="3">
        <v>0</v>
      </c>
      <c r="F166" s="3">
        <v>56.09</v>
      </c>
      <c r="G166" s="3">
        <v>0</v>
      </c>
      <c r="H166" s="3">
        <v>0</v>
      </c>
      <c r="I166" s="3">
        <v>0</v>
      </c>
      <c r="J166" s="3">
        <v>0</v>
      </c>
    </row>
    <row r="167" spans="1:10" x14ac:dyDescent="0.25">
      <c r="A167" s="4">
        <v>51099.731485000048</v>
      </c>
      <c r="B167" s="3">
        <v>0</v>
      </c>
      <c r="C167" s="3">
        <v>0</v>
      </c>
      <c r="D167" s="3">
        <v>0</v>
      </c>
      <c r="E167" s="3">
        <v>0</v>
      </c>
      <c r="F167" s="3">
        <v>56.09</v>
      </c>
      <c r="G167" s="3">
        <v>0</v>
      </c>
      <c r="H167" s="3">
        <v>0</v>
      </c>
      <c r="I167" s="3">
        <v>0</v>
      </c>
      <c r="J167" s="3">
        <v>0</v>
      </c>
    </row>
    <row r="168" spans="1:10" x14ac:dyDescent="0.25">
      <c r="A168" s="4">
        <v>51099.731485000048</v>
      </c>
      <c r="B168" s="3">
        <v>0</v>
      </c>
      <c r="C168" s="3">
        <v>0</v>
      </c>
      <c r="D168" s="3">
        <v>0</v>
      </c>
      <c r="E168" s="3">
        <v>0</v>
      </c>
      <c r="F168" s="3">
        <v>56.452800000000003</v>
      </c>
      <c r="G168" s="3">
        <v>0</v>
      </c>
      <c r="H168" s="3">
        <v>0</v>
      </c>
      <c r="I168" s="3">
        <v>0</v>
      </c>
      <c r="J168" s="3">
        <v>0</v>
      </c>
    </row>
    <row r="169" spans="1:10" x14ac:dyDescent="0.25">
      <c r="A169" s="4">
        <v>51658.99148500005</v>
      </c>
      <c r="B169" s="3">
        <v>0</v>
      </c>
      <c r="C169" s="3">
        <v>0</v>
      </c>
      <c r="D169" s="3">
        <v>0</v>
      </c>
      <c r="E169" s="3">
        <v>0</v>
      </c>
      <c r="F169" s="3">
        <v>56.452800000000003</v>
      </c>
      <c r="G169" s="3">
        <v>0</v>
      </c>
      <c r="H169" s="3">
        <v>0</v>
      </c>
      <c r="I169" s="3">
        <v>0</v>
      </c>
      <c r="J169" s="3">
        <v>0</v>
      </c>
    </row>
    <row r="170" spans="1:10" x14ac:dyDescent="0.25">
      <c r="A170" s="4">
        <v>51658.99148500005</v>
      </c>
      <c r="B170" s="3">
        <v>0</v>
      </c>
      <c r="C170" s="3">
        <v>0</v>
      </c>
      <c r="D170" s="3">
        <v>0</v>
      </c>
      <c r="E170" s="3">
        <v>0</v>
      </c>
      <c r="F170" s="3">
        <v>0</v>
      </c>
      <c r="G170" s="3">
        <v>56.499200000000002</v>
      </c>
      <c r="H170" s="3">
        <v>0</v>
      </c>
      <c r="I170" s="3">
        <v>0</v>
      </c>
      <c r="J170" s="3">
        <v>0</v>
      </c>
    </row>
    <row r="171" spans="1:10" x14ac:dyDescent="0.25">
      <c r="A171" s="4">
        <v>52130.246485000054</v>
      </c>
      <c r="B171" s="3">
        <v>0</v>
      </c>
      <c r="C171" s="3">
        <v>0</v>
      </c>
      <c r="D171" s="3">
        <v>0</v>
      </c>
      <c r="E171" s="3">
        <v>0</v>
      </c>
      <c r="F171" s="3">
        <v>0</v>
      </c>
      <c r="G171" s="3">
        <v>56.499200000000002</v>
      </c>
      <c r="H171" s="3">
        <v>0</v>
      </c>
      <c r="I171" s="3">
        <v>0</v>
      </c>
      <c r="J171" s="3">
        <v>0</v>
      </c>
    </row>
    <row r="172" spans="1:10" x14ac:dyDescent="0.25">
      <c r="A172" s="4">
        <v>52130.246485000054</v>
      </c>
      <c r="B172" s="3">
        <v>0</v>
      </c>
      <c r="C172" s="3">
        <v>0</v>
      </c>
      <c r="D172" s="3">
        <v>0</v>
      </c>
      <c r="E172" s="3">
        <v>0</v>
      </c>
      <c r="F172" s="3">
        <v>56.820500000000003</v>
      </c>
      <c r="G172" s="3">
        <v>0</v>
      </c>
      <c r="H172" s="3">
        <v>0</v>
      </c>
      <c r="I172" s="3">
        <v>0</v>
      </c>
      <c r="J172" s="3">
        <v>0</v>
      </c>
    </row>
    <row r="173" spans="1:10" x14ac:dyDescent="0.25">
      <c r="A173" s="4">
        <v>52155.830485000057</v>
      </c>
      <c r="B173" s="3">
        <v>0</v>
      </c>
      <c r="C173" s="3">
        <v>0</v>
      </c>
      <c r="D173" s="3">
        <v>0</v>
      </c>
      <c r="E173" s="3">
        <v>0</v>
      </c>
      <c r="F173" s="3">
        <v>56.820500000000003</v>
      </c>
      <c r="G173" s="3">
        <v>0</v>
      </c>
      <c r="H173" s="3">
        <v>0</v>
      </c>
      <c r="I173" s="3">
        <v>0</v>
      </c>
      <c r="J173" s="3">
        <v>0</v>
      </c>
    </row>
    <row r="174" spans="1:10" x14ac:dyDescent="0.25">
      <c r="A174" s="4">
        <v>52155.830485000057</v>
      </c>
      <c r="B174" s="3">
        <v>0</v>
      </c>
      <c r="C174" s="3">
        <v>0</v>
      </c>
      <c r="D174" s="3">
        <v>0</v>
      </c>
      <c r="E174" s="3">
        <v>0</v>
      </c>
      <c r="F174" s="3">
        <v>0</v>
      </c>
      <c r="G174" s="3">
        <v>56.985900000000001</v>
      </c>
      <c r="H174" s="3">
        <v>0</v>
      </c>
      <c r="I174" s="3">
        <v>0</v>
      </c>
      <c r="J174" s="3">
        <v>0</v>
      </c>
    </row>
    <row r="175" spans="1:10" x14ac:dyDescent="0.25">
      <c r="A175" s="4">
        <v>52189.748385000057</v>
      </c>
      <c r="B175" s="3">
        <v>0</v>
      </c>
      <c r="C175" s="3">
        <v>0</v>
      </c>
      <c r="D175" s="3">
        <v>0</v>
      </c>
      <c r="E175" s="3">
        <v>0</v>
      </c>
      <c r="F175" s="3">
        <v>0</v>
      </c>
      <c r="G175" s="3">
        <v>56.985900000000001</v>
      </c>
      <c r="H175" s="3">
        <v>0</v>
      </c>
      <c r="I175" s="3">
        <v>0</v>
      </c>
      <c r="J175" s="3">
        <v>0</v>
      </c>
    </row>
    <row r="176" spans="1:10" x14ac:dyDescent="0.25">
      <c r="A176" s="4">
        <v>52189.748385000057</v>
      </c>
      <c r="B176" s="3">
        <v>0</v>
      </c>
      <c r="C176" s="3">
        <v>0</v>
      </c>
      <c r="D176" s="3">
        <v>0</v>
      </c>
      <c r="E176" s="3">
        <v>0</v>
      </c>
      <c r="F176" s="3">
        <v>57.193199999999997</v>
      </c>
      <c r="G176" s="3">
        <v>0</v>
      </c>
      <c r="H176" s="3">
        <v>0</v>
      </c>
      <c r="I176" s="3">
        <v>0</v>
      </c>
      <c r="J176" s="3">
        <v>0</v>
      </c>
    </row>
    <row r="177" spans="1:10" x14ac:dyDescent="0.25">
      <c r="A177" s="4">
        <v>52426.088385000054</v>
      </c>
      <c r="B177" s="3">
        <v>0</v>
      </c>
      <c r="C177" s="3">
        <v>0</v>
      </c>
      <c r="D177" s="3">
        <v>0</v>
      </c>
      <c r="E177" s="3">
        <v>0</v>
      </c>
      <c r="F177" s="3">
        <v>57.193199999999997</v>
      </c>
      <c r="G177" s="3">
        <v>0</v>
      </c>
      <c r="H177" s="3">
        <v>0</v>
      </c>
      <c r="I177" s="3">
        <v>0</v>
      </c>
      <c r="J177" s="3">
        <v>0</v>
      </c>
    </row>
    <row r="178" spans="1:10" x14ac:dyDescent="0.25">
      <c r="A178" s="4">
        <v>52426.088385000054</v>
      </c>
      <c r="B178" s="3">
        <v>0</v>
      </c>
      <c r="C178" s="3">
        <v>0</v>
      </c>
      <c r="D178" s="3">
        <v>0</v>
      </c>
      <c r="E178" s="3">
        <v>0</v>
      </c>
      <c r="F178" s="3">
        <v>0</v>
      </c>
      <c r="G178" s="3">
        <v>57.481299999999997</v>
      </c>
      <c r="H178" s="3">
        <v>0</v>
      </c>
      <c r="I178" s="3">
        <v>0</v>
      </c>
      <c r="J178" s="3">
        <v>0</v>
      </c>
    </row>
    <row r="179" spans="1:10" x14ac:dyDescent="0.25">
      <c r="A179" s="4">
        <v>52436.234385000054</v>
      </c>
      <c r="B179" s="3">
        <v>0</v>
      </c>
      <c r="C179" s="3">
        <v>0</v>
      </c>
      <c r="D179" s="3">
        <v>0</v>
      </c>
      <c r="E179" s="3">
        <v>0</v>
      </c>
      <c r="F179" s="3">
        <v>0</v>
      </c>
      <c r="G179" s="3">
        <v>57.481299999999997</v>
      </c>
      <c r="H179" s="3">
        <v>0</v>
      </c>
      <c r="I179" s="3">
        <v>0</v>
      </c>
      <c r="J179" s="3">
        <v>0</v>
      </c>
    </row>
    <row r="180" spans="1:10" x14ac:dyDescent="0.25">
      <c r="A180" s="4">
        <v>52436.234385000054</v>
      </c>
      <c r="B180" s="3">
        <v>0</v>
      </c>
      <c r="C180" s="3">
        <v>0</v>
      </c>
      <c r="D180" s="3">
        <v>0</v>
      </c>
      <c r="E180" s="3">
        <v>0</v>
      </c>
      <c r="F180" s="3">
        <v>58.3416</v>
      </c>
      <c r="G180" s="3">
        <v>0</v>
      </c>
      <c r="H180" s="3">
        <v>0</v>
      </c>
      <c r="I180" s="3">
        <v>0</v>
      </c>
      <c r="J180" s="3">
        <v>0</v>
      </c>
    </row>
    <row r="181" spans="1:10" x14ac:dyDescent="0.25">
      <c r="A181" s="4">
        <v>53026.694385000053</v>
      </c>
      <c r="B181" s="3">
        <v>0</v>
      </c>
      <c r="C181" s="3">
        <v>0</v>
      </c>
      <c r="D181" s="3">
        <v>0</v>
      </c>
      <c r="E181" s="3">
        <v>0</v>
      </c>
      <c r="F181" s="3">
        <v>58.3416</v>
      </c>
      <c r="G181" s="3">
        <v>0</v>
      </c>
      <c r="H181" s="3">
        <v>0</v>
      </c>
      <c r="I181" s="3">
        <v>0</v>
      </c>
      <c r="J181" s="3">
        <v>0</v>
      </c>
    </row>
    <row r="182" spans="1:10" x14ac:dyDescent="0.25">
      <c r="A182" s="4">
        <v>53026.694385000053</v>
      </c>
      <c r="B182" s="3">
        <v>0</v>
      </c>
      <c r="C182" s="3">
        <v>0</v>
      </c>
      <c r="D182" s="3">
        <v>0</v>
      </c>
      <c r="E182" s="3">
        <v>0</v>
      </c>
      <c r="F182" s="3">
        <v>0</v>
      </c>
      <c r="G182" s="3">
        <v>58.499200000000002</v>
      </c>
      <c r="H182" s="3">
        <v>0</v>
      </c>
      <c r="I182" s="3">
        <v>0</v>
      </c>
      <c r="J182" s="3">
        <v>0</v>
      </c>
    </row>
    <row r="183" spans="1:10" x14ac:dyDescent="0.25">
      <c r="A183" s="4">
        <v>53034.437385000056</v>
      </c>
      <c r="B183" s="3">
        <v>0</v>
      </c>
      <c r="C183" s="3">
        <v>0</v>
      </c>
      <c r="D183" s="3">
        <v>0</v>
      </c>
      <c r="E183" s="3">
        <v>0</v>
      </c>
      <c r="F183" s="3">
        <v>0</v>
      </c>
      <c r="G183" s="3">
        <v>58.499200000000002</v>
      </c>
      <c r="H183" s="3">
        <v>0</v>
      </c>
      <c r="I183" s="3">
        <v>0</v>
      </c>
      <c r="J183" s="3">
        <v>0</v>
      </c>
    </row>
    <row r="184" spans="1:10" x14ac:dyDescent="0.25">
      <c r="A184" s="4">
        <v>53034.437385000056</v>
      </c>
      <c r="B184" s="3">
        <v>0</v>
      </c>
      <c r="C184" s="3">
        <v>0</v>
      </c>
      <c r="D184" s="3">
        <v>0</v>
      </c>
      <c r="E184" s="3">
        <v>0</v>
      </c>
      <c r="F184" s="3">
        <v>59.5383</v>
      </c>
      <c r="G184" s="3">
        <v>0</v>
      </c>
      <c r="H184" s="3">
        <v>0</v>
      </c>
      <c r="I184" s="3">
        <v>0</v>
      </c>
      <c r="J184" s="3">
        <v>0</v>
      </c>
    </row>
    <row r="185" spans="1:10" x14ac:dyDescent="0.25">
      <c r="A185" s="4">
        <v>53096.057385000058</v>
      </c>
      <c r="B185" s="3">
        <v>0</v>
      </c>
      <c r="C185" s="3">
        <v>0</v>
      </c>
      <c r="D185" s="3">
        <v>0</v>
      </c>
      <c r="E185" s="3">
        <v>0</v>
      </c>
      <c r="F185" s="3">
        <v>59.5383</v>
      </c>
      <c r="G185" s="3">
        <v>0</v>
      </c>
      <c r="H185" s="3">
        <v>0</v>
      </c>
      <c r="I185" s="3">
        <v>0</v>
      </c>
      <c r="J185" s="3">
        <v>0</v>
      </c>
    </row>
    <row r="186" spans="1:10" x14ac:dyDescent="0.25">
      <c r="A186" s="4">
        <v>53096.057385000058</v>
      </c>
      <c r="B186" s="3">
        <v>0</v>
      </c>
      <c r="C186" s="3">
        <v>0</v>
      </c>
      <c r="D186" s="3">
        <v>0</v>
      </c>
      <c r="E186" s="3">
        <v>0</v>
      </c>
      <c r="F186" s="3">
        <v>60.364400000000003</v>
      </c>
      <c r="G186" s="3">
        <v>0</v>
      </c>
      <c r="H186" s="3">
        <v>0</v>
      </c>
      <c r="I186" s="3">
        <v>0</v>
      </c>
      <c r="J186" s="3">
        <v>0</v>
      </c>
    </row>
    <row r="187" spans="1:10" x14ac:dyDescent="0.25">
      <c r="A187" s="4">
        <v>53181.857385000061</v>
      </c>
      <c r="B187" s="3">
        <v>0</v>
      </c>
      <c r="C187" s="3">
        <v>0</v>
      </c>
      <c r="D187" s="3">
        <v>0</v>
      </c>
      <c r="E187" s="3">
        <v>0</v>
      </c>
      <c r="F187" s="3">
        <v>60.364400000000003</v>
      </c>
      <c r="G187" s="3">
        <v>0</v>
      </c>
      <c r="H187" s="3">
        <v>0</v>
      </c>
      <c r="I187" s="3">
        <v>0</v>
      </c>
      <c r="J187" s="3">
        <v>0</v>
      </c>
    </row>
    <row r="188" spans="1:10" x14ac:dyDescent="0.25">
      <c r="A188" s="4">
        <v>53181.857385000061</v>
      </c>
      <c r="B188" s="3">
        <v>0</v>
      </c>
      <c r="C188" s="3">
        <v>0</v>
      </c>
      <c r="D188" s="3">
        <v>0</v>
      </c>
      <c r="E188" s="3">
        <v>0</v>
      </c>
      <c r="F188" s="3">
        <v>60.786299999999997</v>
      </c>
      <c r="G188" s="3">
        <v>0</v>
      </c>
      <c r="H188" s="3">
        <v>0</v>
      </c>
      <c r="I188" s="3">
        <v>0</v>
      </c>
      <c r="J188" s="3">
        <v>0</v>
      </c>
    </row>
    <row r="189" spans="1:10" x14ac:dyDescent="0.25">
      <c r="A189" s="4">
        <v>53201.193585000059</v>
      </c>
      <c r="B189" s="3">
        <v>0</v>
      </c>
      <c r="C189" s="3">
        <v>0</v>
      </c>
      <c r="D189" s="3">
        <v>0</v>
      </c>
      <c r="E189" s="3">
        <v>0</v>
      </c>
      <c r="F189" s="3">
        <v>60.786299999999997</v>
      </c>
      <c r="G189" s="3">
        <v>0</v>
      </c>
      <c r="H189" s="3">
        <v>0</v>
      </c>
      <c r="I189" s="3">
        <v>0</v>
      </c>
      <c r="J189" s="3">
        <v>0</v>
      </c>
    </row>
    <row r="190" spans="1:10" x14ac:dyDescent="0.25">
      <c r="A190" s="4">
        <v>53201.193585000059</v>
      </c>
      <c r="B190" s="3">
        <v>0</v>
      </c>
      <c r="C190" s="3">
        <v>0</v>
      </c>
      <c r="D190" s="3">
        <v>0</v>
      </c>
      <c r="E190" s="3">
        <v>0</v>
      </c>
      <c r="F190" s="3">
        <v>61.214199999999998</v>
      </c>
      <c r="G190" s="3">
        <v>0</v>
      </c>
      <c r="H190" s="3">
        <v>0</v>
      </c>
      <c r="I190" s="3">
        <v>0</v>
      </c>
      <c r="J190" s="3">
        <v>0</v>
      </c>
    </row>
    <row r="191" spans="1:10" x14ac:dyDescent="0.25">
      <c r="A191" s="4">
        <v>53567.013585000059</v>
      </c>
      <c r="B191" s="3">
        <v>0</v>
      </c>
      <c r="C191" s="3">
        <v>0</v>
      </c>
      <c r="D191" s="3">
        <v>0</v>
      </c>
      <c r="E191" s="3">
        <v>0</v>
      </c>
      <c r="F191" s="3">
        <v>61.214199999999998</v>
      </c>
      <c r="G191" s="3">
        <v>0</v>
      </c>
      <c r="H191" s="3">
        <v>0</v>
      </c>
      <c r="I191" s="3">
        <v>0</v>
      </c>
      <c r="J191" s="3">
        <v>0</v>
      </c>
    </row>
    <row r="192" spans="1:10" x14ac:dyDescent="0.25">
      <c r="A192" s="4">
        <v>53567.013585000059</v>
      </c>
      <c r="B192" s="3">
        <v>0</v>
      </c>
      <c r="C192" s="3">
        <v>0</v>
      </c>
      <c r="D192" s="3">
        <v>0</v>
      </c>
      <c r="E192" s="3">
        <v>0</v>
      </c>
      <c r="F192" s="3">
        <v>61.648400000000002</v>
      </c>
      <c r="G192" s="3">
        <v>0</v>
      </c>
      <c r="H192" s="3">
        <v>0</v>
      </c>
      <c r="I192" s="3">
        <v>0</v>
      </c>
      <c r="J192" s="3">
        <v>0</v>
      </c>
    </row>
    <row r="193" spans="1:10" x14ac:dyDescent="0.25">
      <c r="A193" s="4">
        <v>53836.113585000057</v>
      </c>
      <c r="B193" s="3">
        <v>0</v>
      </c>
      <c r="C193" s="3">
        <v>0</v>
      </c>
      <c r="D193" s="3">
        <v>0</v>
      </c>
      <c r="E193" s="3">
        <v>0</v>
      </c>
      <c r="F193" s="3">
        <v>61.648400000000002</v>
      </c>
      <c r="G193" s="3">
        <v>0</v>
      </c>
      <c r="H193" s="3">
        <v>0</v>
      </c>
      <c r="I193" s="3">
        <v>0</v>
      </c>
      <c r="J193" s="3">
        <v>0</v>
      </c>
    </row>
    <row r="194" spans="1:10" x14ac:dyDescent="0.25">
      <c r="A194" s="4">
        <v>53836.113585000057</v>
      </c>
      <c r="B194" s="3">
        <v>0</v>
      </c>
      <c r="C194" s="3">
        <v>0</v>
      </c>
      <c r="D194" s="3">
        <v>0</v>
      </c>
      <c r="E194" s="3">
        <v>0</v>
      </c>
      <c r="F194" s="3">
        <v>0</v>
      </c>
      <c r="G194" s="3">
        <v>62.809399999999997</v>
      </c>
      <c r="H194" s="3">
        <v>0</v>
      </c>
      <c r="I194" s="3">
        <v>0</v>
      </c>
      <c r="J194" s="3">
        <v>0</v>
      </c>
    </row>
    <row r="195" spans="1:10" x14ac:dyDescent="0.25">
      <c r="A195" s="4">
        <v>53844.301585000059</v>
      </c>
      <c r="B195" s="3">
        <v>0</v>
      </c>
      <c r="C195" s="3">
        <v>0</v>
      </c>
      <c r="D195" s="3">
        <v>0</v>
      </c>
      <c r="E195" s="3">
        <v>0</v>
      </c>
      <c r="F195" s="3">
        <v>0</v>
      </c>
      <c r="G195" s="3">
        <v>62.809399999999997</v>
      </c>
      <c r="H195" s="3">
        <v>0</v>
      </c>
      <c r="I195" s="3">
        <v>0</v>
      </c>
      <c r="J195" s="3">
        <v>0</v>
      </c>
    </row>
    <row r="196" spans="1:10" x14ac:dyDescent="0.25">
      <c r="A196" s="4">
        <v>53844.301585000059</v>
      </c>
      <c r="B196" s="3">
        <v>0</v>
      </c>
      <c r="C196" s="3">
        <v>0</v>
      </c>
      <c r="D196" s="3">
        <v>0</v>
      </c>
      <c r="E196" s="3">
        <v>0</v>
      </c>
      <c r="F196" s="3">
        <v>0</v>
      </c>
      <c r="G196" s="3">
        <v>62.996499999999997</v>
      </c>
      <c r="H196" s="3">
        <v>0</v>
      </c>
      <c r="I196" s="3">
        <v>0</v>
      </c>
      <c r="J196" s="3">
        <v>0</v>
      </c>
    </row>
    <row r="197" spans="1:10" x14ac:dyDescent="0.25">
      <c r="A197" s="4">
        <v>53848.128585000057</v>
      </c>
      <c r="B197" s="3">
        <v>0</v>
      </c>
      <c r="C197" s="3">
        <v>0</v>
      </c>
      <c r="D197" s="3">
        <v>0</v>
      </c>
      <c r="E197" s="3">
        <v>0</v>
      </c>
      <c r="F197" s="3">
        <v>0</v>
      </c>
      <c r="G197" s="3">
        <v>62.996499999999997</v>
      </c>
      <c r="H197" s="3">
        <v>0</v>
      </c>
      <c r="I197" s="3">
        <v>0</v>
      </c>
      <c r="J197" s="3">
        <v>0</v>
      </c>
    </row>
    <row r="198" spans="1:10" x14ac:dyDescent="0.25">
      <c r="A198" s="4">
        <v>53848.128585000057</v>
      </c>
      <c r="B198" s="3">
        <v>0</v>
      </c>
      <c r="C198" s="3">
        <v>0</v>
      </c>
      <c r="D198" s="3">
        <v>0</v>
      </c>
      <c r="E198" s="3">
        <v>0</v>
      </c>
      <c r="F198" s="3">
        <v>0</v>
      </c>
      <c r="G198" s="3">
        <v>63.184699999999999</v>
      </c>
      <c r="H198" s="3">
        <v>0</v>
      </c>
      <c r="I198" s="3">
        <v>0</v>
      </c>
      <c r="J198" s="3">
        <v>0</v>
      </c>
    </row>
    <row r="199" spans="1:10" x14ac:dyDescent="0.25">
      <c r="A199" s="4">
        <v>53865.617085000056</v>
      </c>
      <c r="B199" s="3">
        <v>0</v>
      </c>
      <c r="C199" s="3">
        <v>0</v>
      </c>
      <c r="D199" s="3">
        <v>0</v>
      </c>
      <c r="E199" s="3">
        <v>0</v>
      </c>
      <c r="F199" s="3">
        <v>0</v>
      </c>
      <c r="G199" s="3">
        <v>63.184699999999999</v>
      </c>
      <c r="H199" s="3">
        <v>0</v>
      </c>
      <c r="I199" s="3">
        <v>0</v>
      </c>
      <c r="J199" s="3">
        <v>0</v>
      </c>
    </row>
    <row r="200" spans="1:10" x14ac:dyDescent="0.25">
      <c r="A200" s="4">
        <v>53865.617085000056</v>
      </c>
      <c r="B200" s="3">
        <v>0</v>
      </c>
      <c r="C200" s="3">
        <v>0</v>
      </c>
      <c r="D200" s="3">
        <v>0</v>
      </c>
      <c r="E200" s="3">
        <v>0</v>
      </c>
      <c r="F200" s="3">
        <v>0</v>
      </c>
      <c r="G200" s="3">
        <v>63.374099999999999</v>
      </c>
      <c r="H200" s="3">
        <v>0</v>
      </c>
      <c r="I200" s="3">
        <v>0</v>
      </c>
      <c r="J200" s="3">
        <v>0</v>
      </c>
    </row>
    <row r="201" spans="1:10" x14ac:dyDescent="0.25">
      <c r="A201" s="4">
        <v>54041.792585000047</v>
      </c>
      <c r="B201" s="3">
        <v>0</v>
      </c>
      <c r="C201" s="3">
        <v>0</v>
      </c>
      <c r="D201" s="3">
        <v>0</v>
      </c>
      <c r="E201" s="3">
        <v>0</v>
      </c>
      <c r="F201" s="3">
        <v>0</v>
      </c>
      <c r="G201" s="3">
        <v>63.374099999999999</v>
      </c>
      <c r="H201" s="3">
        <v>0</v>
      </c>
      <c r="I201" s="3">
        <v>0</v>
      </c>
      <c r="J201" s="3">
        <v>0</v>
      </c>
    </row>
    <row r="202" spans="1:10" x14ac:dyDescent="0.25">
      <c r="A202" s="4">
        <v>54041.792585000047</v>
      </c>
      <c r="B202" s="3">
        <v>0</v>
      </c>
      <c r="C202" s="3">
        <v>0</v>
      </c>
      <c r="D202" s="3">
        <v>0</v>
      </c>
      <c r="E202" s="3">
        <v>0</v>
      </c>
      <c r="F202" s="3">
        <v>0</v>
      </c>
      <c r="G202" s="3">
        <v>63.578299999999999</v>
      </c>
      <c r="H202" s="3">
        <v>0</v>
      </c>
      <c r="I202" s="3">
        <v>0</v>
      </c>
      <c r="J202" s="3">
        <v>0</v>
      </c>
    </row>
    <row r="203" spans="1:10" x14ac:dyDescent="0.25">
      <c r="A203" s="4">
        <v>54172.177585000049</v>
      </c>
      <c r="B203" s="3">
        <v>0</v>
      </c>
      <c r="C203" s="3">
        <v>0</v>
      </c>
      <c r="D203" s="3">
        <v>0</v>
      </c>
      <c r="E203" s="3">
        <v>0</v>
      </c>
      <c r="F203" s="3">
        <v>0</v>
      </c>
      <c r="G203" s="3">
        <v>63.578299999999999</v>
      </c>
      <c r="H203" s="3">
        <v>0</v>
      </c>
      <c r="I203" s="3">
        <v>0</v>
      </c>
      <c r="J203" s="3">
        <v>0</v>
      </c>
    </row>
    <row r="204" spans="1:10" x14ac:dyDescent="0.25">
      <c r="A204" s="4">
        <v>54172.177585000049</v>
      </c>
      <c r="B204" s="3">
        <v>0</v>
      </c>
      <c r="C204" s="3">
        <v>0</v>
      </c>
      <c r="D204" s="3">
        <v>0</v>
      </c>
      <c r="E204" s="3">
        <v>0</v>
      </c>
      <c r="F204" s="3">
        <v>0</v>
      </c>
      <c r="G204" s="3">
        <v>64.199100000000001</v>
      </c>
      <c r="H204" s="3">
        <v>0</v>
      </c>
      <c r="I204" s="3">
        <v>0</v>
      </c>
      <c r="J204" s="3">
        <v>0</v>
      </c>
    </row>
    <row r="205" spans="1:10" x14ac:dyDescent="0.25">
      <c r="A205" s="4">
        <v>55071.255585000043</v>
      </c>
      <c r="B205" s="3">
        <v>0</v>
      </c>
      <c r="C205" s="3">
        <v>0</v>
      </c>
      <c r="D205" s="3">
        <v>0</v>
      </c>
      <c r="E205" s="3">
        <v>0</v>
      </c>
      <c r="F205" s="3">
        <v>0</v>
      </c>
      <c r="G205" s="3">
        <v>64.199100000000001</v>
      </c>
      <c r="H205" s="3">
        <v>0</v>
      </c>
      <c r="I205" s="3">
        <v>0</v>
      </c>
      <c r="J205" s="3">
        <v>0</v>
      </c>
    </row>
    <row r="206" spans="1:10" x14ac:dyDescent="0.25">
      <c r="A206" s="4">
        <v>55071.255585000043</v>
      </c>
      <c r="B206" s="3">
        <v>0</v>
      </c>
      <c r="C206" s="3">
        <v>0</v>
      </c>
      <c r="D206" s="3">
        <v>0</v>
      </c>
      <c r="E206" s="3">
        <v>0</v>
      </c>
      <c r="F206" s="3">
        <v>64.391499999999994</v>
      </c>
      <c r="G206" s="3">
        <v>0</v>
      </c>
      <c r="H206" s="3">
        <v>0</v>
      </c>
      <c r="I206" s="3">
        <v>0</v>
      </c>
      <c r="J206" s="3">
        <v>0</v>
      </c>
    </row>
    <row r="207" spans="1:10" x14ac:dyDescent="0.25">
      <c r="A207" s="4">
        <v>55151.595585000039</v>
      </c>
      <c r="B207" s="3">
        <v>0</v>
      </c>
      <c r="C207" s="3">
        <v>0</v>
      </c>
      <c r="D207" s="3">
        <v>0</v>
      </c>
      <c r="E207" s="3">
        <v>0</v>
      </c>
      <c r="F207" s="3">
        <v>64.391499999999994</v>
      </c>
      <c r="G207" s="3">
        <v>0</v>
      </c>
      <c r="H207" s="3">
        <v>0</v>
      </c>
      <c r="I207" s="3">
        <v>0</v>
      </c>
      <c r="J207" s="3">
        <v>0</v>
      </c>
    </row>
    <row r="208" spans="1:10" x14ac:dyDescent="0.25">
      <c r="A208" s="4">
        <v>55151.595585000039</v>
      </c>
      <c r="B208" s="3">
        <v>0</v>
      </c>
      <c r="C208" s="3">
        <v>0</v>
      </c>
      <c r="D208" s="3">
        <v>0</v>
      </c>
      <c r="E208" s="3">
        <v>0</v>
      </c>
      <c r="F208" s="3">
        <v>0</v>
      </c>
      <c r="G208" s="3">
        <v>65.3339</v>
      </c>
      <c r="H208" s="3">
        <v>0</v>
      </c>
      <c r="I208" s="3">
        <v>0</v>
      </c>
      <c r="J208" s="3">
        <v>0</v>
      </c>
    </row>
    <row r="209" spans="1:10" x14ac:dyDescent="0.25">
      <c r="A209" s="4">
        <v>55191.289585000042</v>
      </c>
      <c r="B209" s="3">
        <v>0</v>
      </c>
      <c r="C209" s="3">
        <v>0</v>
      </c>
      <c r="D209" s="3">
        <v>0</v>
      </c>
      <c r="E209" s="3">
        <v>0</v>
      </c>
      <c r="F209" s="3">
        <v>0</v>
      </c>
      <c r="G209" s="3">
        <v>65.3339</v>
      </c>
      <c r="H209" s="3">
        <v>0</v>
      </c>
      <c r="I209" s="3">
        <v>0</v>
      </c>
      <c r="J209" s="3">
        <v>0</v>
      </c>
    </row>
    <row r="210" spans="1:10" x14ac:dyDescent="0.25">
      <c r="A210" s="4">
        <v>55191.289585000042</v>
      </c>
      <c r="B210" s="3">
        <v>0</v>
      </c>
      <c r="C210" s="3">
        <v>0</v>
      </c>
      <c r="D210" s="3">
        <v>0</v>
      </c>
      <c r="E210" s="3">
        <v>0</v>
      </c>
      <c r="F210" s="3">
        <v>0</v>
      </c>
      <c r="G210" s="3">
        <v>65.536799999999999</v>
      </c>
      <c r="H210" s="3">
        <v>0</v>
      </c>
      <c r="I210" s="3">
        <v>0</v>
      </c>
      <c r="J210" s="3">
        <v>0</v>
      </c>
    </row>
    <row r="211" spans="1:10" x14ac:dyDescent="0.25">
      <c r="A211" s="4">
        <v>55203.749585000041</v>
      </c>
      <c r="B211" s="3">
        <v>0</v>
      </c>
      <c r="C211" s="3">
        <v>0</v>
      </c>
      <c r="D211" s="3">
        <v>0</v>
      </c>
      <c r="E211" s="3">
        <v>0</v>
      </c>
      <c r="F211" s="3">
        <v>0</v>
      </c>
      <c r="G211" s="3">
        <v>65.536799999999999</v>
      </c>
      <c r="H211" s="3">
        <v>0</v>
      </c>
      <c r="I211" s="3">
        <v>0</v>
      </c>
      <c r="J211" s="3">
        <v>0</v>
      </c>
    </row>
    <row r="212" spans="1:10" x14ac:dyDescent="0.25">
      <c r="A212" s="4">
        <v>55203.749585000041</v>
      </c>
      <c r="B212" s="3">
        <v>0</v>
      </c>
      <c r="C212" s="3">
        <v>0</v>
      </c>
      <c r="D212" s="3">
        <v>0</v>
      </c>
      <c r="E212" s="3">
        <v>66.632300000000001</v>
      </c>
      <c r="F212" s="3">
        <v>0</v>
      </c>
      <c r="G212" s="3">
        <v>0</v>
      </c>
      <c r="H212" s="3">
        <v>0</v>
      </c>
      <c r="I212" s="3">
        <v>0</v>
      </c>
      <c r="J212" s="3">
        <v>0</v>
      </c>
    </row>
    <row r="213" spans="1:10" x14ac:dyDescent="0.25">
      <c r="A213" s="4">
        <v>55289.009585000043</v>
      </c>
      <c r="B213" s="3">
        <v>0</v>
      </c>
      <c r="C213" s="3">
        <v>0</v>
      </c>
      <c r="D213" s="3">
        <v>0</v>
      </c>
      <c r="E213" s="3">
        <v>66.632300000000001</v>
      </c>
      <c r="F213" s="3">
        <v>0</v>
      </c>
      <c r="G213" s="3">
        <v>0</v>
      </c>
      <c r="H213" s="3">
        <v>0</v>
      </c>
      <c r="I213" s="3">
        <v>0</v>
      </c>
      <c r="J213" s="3">
        <v>0</v>
      </c>
    </row>
    <row r="214" spans="1:10" x14ac:dyDescent="0.25">
      <c r="A214" s="4">
        <v>55289.009585000043</v>
      </c>
      <c r="B214" s="3">
        <v>0</v>
      </c>
      <c r="C214" s="3">
        <v>0</v>
      </c>
      <c r="D214" s="3">
        <v>0</v>
      </c>
      <c r="E214" s="3">
        <v>0</v>
      </c>
      <c r="F214" s="3">
        <v>0</v>
      </c>
      <c r="G214" s="3">
        <v>66.811599999999999</v>
      </c>
      <c r="H214" s="3">
        <v>0</v>
      </c>
      <c r="I214" s="3">
        <v>0</v>
      </c>
      <c r="J214" s="3">
        <v>0</v>
      </c>
    </row>
    <row r="215" spans="1:10" x14ac:dyDescent="0.25">
      <c r="A215" s="4">
        <v>55680.609585000042</v>
      </c>
      <c r="B215" s="3">
        <v>0</v>
      </c>
      <c r="C215" s="3">
        <v>0</v>
      </c>
      <c r="D215" s="3">
        <v>0</v>
      </c>
      <c r="E215" s="3">
        <v>0</v>
      </c>
      <c r="F215" s="3">
        <v>0</v>
      </c>
      <c r="G215" s="3">
        <v>66.811599999999999</v>
      </c>
      <c r="H215" s="3">
        <v>0</v>
      </c>
      <c r="I215" s="3">
        <v>0</v>
      </c>
      <c r="J215" s="3">
        <v>0</v>
      </c>
    </row>
    <row r="216" spans="1:10" x14ac:dyDescent="0.25">
      <c r="A216" s="4">
        <v>55680.609585000042</v>
      </c>
      <c r="B216" s="3">
        <v>0</v>
      </c>
      <c r="C216" s="3">
        <v>0</v>
      </c>
      <c r="D216" s="3">
        <v>0</v>
      </c>
      <c r="E216" s="3">
        <v>0</v>
      </c>
      <c r="F216" s="3">
        <v>66.875399999999999</v>
      </c>
      <c r="G216" s="3">
        <v>0</v>
      </c>
      <c r="H216" s="3">
        <v>0</v>
      </c>
      <c r="I216" s="3">
        <v>0</v>
      </c>
      <c r="J216" s="3">
        <v>0</v>
      </c>
    </row>
    <row r="217" spans="1:10" x14ac:dyDescent="0.25">
      <c r="A217" s="4">
        <v>55700.889585000041</v>
      </c>
      <c r="B217" s="3">
        <v>0</v>
      </c>
      <c r="C217" s="3">
        <v>0</v>
      </c>
      <c r="D217" s="3">
        <v>0</v>
      </c>
      <c r="E217" s="3">
        <v>0</v>
      </c>
      <c r="F217" s="3">
        <v>66.875399999999999</v>
      </c>
      <c r="G217" s="3">
        <v>0</v>
      </c>
      <c r="H217" s="3">
        <v>0</v>
      </c>
      <c r="I217" s="3">
        <v>0</v>
      </c>
      <c r="J217" s="3">
        <v>0</v>
      </c>
    </row>
    <row r="218" spans="1:10" x14ac:dyDescent="0.25">
      <c r="A218" s="4">
        <v>55700.889585000041</v>
      </c>
      <c r="B218" s="3">
        <v>0</v>
      </c>
      <c r="C218" s="3">
        <v>0</v>
      </c>
      <c r="D218" s="3">
        <v>0</v>
      </c>
      <c r="E218" s="3">
        <v>0</v>
      </c>
      <c r="F218" s="3">
        <v>0</v>
      </c>
      <c r="G218" s="3">
        <v>67.421999999999997</v>
      </c>
      <c r="H218" s="3">
        <v>0</v>
      </c>
      <c r="I218" s="3">
        <v>0</v>
      </c>
      <c r="J218" s="3">
        <v>0</v>
      </c>
    </row>
    <row r="219" spans="1:10" x14ac:dyDescent="0.25">
      <c r="A219" s="4">
        <v>55712.63758500004</v>
      </c>
      <c r="B219" s="3">
        <v>0</v>
      </c>
      <c r="C219" s="3">
        <v>0</v>
      </c>
      <c r="D219" s="3">
        <v>0</v>
      </c>
      <c r="E219" s="3">
        <v>0</v>
      </c>
      <c r="F219" s="3">
        <v>0</v>
      </c>
      <c r="G219" s="3">
        <v>67.421999999999997</v>
      </c>
      <c r="H219" s="3">
        <v>0</v>
      </c>
      <c r="I219" s="3">
        <v>0</v>
      </c>
      <c r="J219" s="3">
        <v>0</v>
      </c>
    </row>
    <row r="220" spans="1:10" x14ac:dyDescent="0.25">
      <c r="A220" s="4">
        <v>55712.63758500004</v>
      </c>
      <c r="B220" s="3">
        <v>0</v>
      </c>
      <c r="C220" s="3">
        <v>0</v>
      </c>
      <c r="D220" s="3">
        <v>0</v>
      </c>
      <c r="E220" s="3">
        <v>0</v>
      </c>
      <c r="F220" s="3">
        <v>0</v>
      </c>
      <c r="G220" s="3">
        <v>68.2012</v>
      </c>
      <c r="H220" s="3">
        <v>0</v>
      </c>
      <c r="I220" s="3">
        <v>0</v>
      </c>
      <c r="J220" s="3">
        <v>0</v>
      </c>
    </row>
    <row r="221" spans="1:10" x14ac:dyDescent="0.25">
      <c r="A221" s="4">
        <v>56135.38758500004</v>
      </c>
      <c r="B221" s="3">
        <v>0</v>
      </c>
      <c r="C221" s="3">
        <v>0</v>
      </c>
      <c r="D221" s="3">
        <v>0</v>
      </c>
      <c r="E221" s="3">
        <v>0</v>
      </c>
      <c r="F221" s="3">
        <v>0</v>
      </c>
      <c r="G221" s="3">
        <v>68.2012</v>
      </c>
      <c r="H221" s="3">
        <v>0</v>
      </c>
      <c r="I221" s="3">
        <v>0</v>
      </c>
      <c r="J221" s="3">
        <v>0</v>
      </c>
    </row>
    <row r="222" spans="1:10" x14ac:dyDescent="0.25">
      <c r="A222" s="4">
        <v>56135.38758500004</v>
      </c>
      <c r="B222" s="3">
        <v>0</v>
      </c>
      <c r="C222" s="3">
        <v>0</v>
      </c>
      <c r="D222" s="3">
        <v>0</v>
      </c>
      <c r="E222" s="3">
        <v>0</v>
      </c>
      <c r="F222" s="3">
        <v>0</v>
      </c>
      <c r="G222" s="3">
        <v>0</v>
      </c>
      <c r="H222" s="3">
        <v>68.758399999999995</v>
      </c>
      <c r="I222" s="3">
        <v>0</v>
      </c>
      <c r="J222" s="3">
        <v>0</v>
      </c>
    </row>
    <row r="223" spans="1:10" x14ac:dyDescent="0.25">
      <c r="A223" s="4">
        <v>56152.742585000044</v>
      </c>
      <c r="B223" s="3">
        <v>0</v>
      </c>
      <c r="C223" s="3">
        <v>0</v>
      </c>
      <c r="D223" s="3">
        <v>0</v>
      </c>
      <c r="E223" s="3">
        <v>0</v>
      </c>
      <c r="F223" s="3">
        <v>0</v>
      </c>
      <c r="G223" s="3">
        <v>0</v>
      </c>
      <c r="H223" s="3">
        <v>68.758399999999995</v>
      </c>
      <c r="I223" s="3">
        <v>0</v>
      </c>
      <c r="J223" s="3">
        <v>0</v>
      </c>
    </row>
    <row r="224" spans="1:10" x14ac:dyDescent="0.25">
      <c r="A224" s="4">
        <v>56152.742585000044</v>
      </c>
      <c r="B224" s="3">
        <v>0</v>
      </c>
      <c r="C224" s="3">
        <v>0</v>
      </c>
      <c r="D224" s="3">
        <v>0</v>
      </c>
      <c r="E224" s="3">
        <v>0</v>
      </c>
      <c r="F224" s="3">
        <v>0</v>
      </c>
      <c r="G224" s="3">
        <v>68.918400000000005</v>
      </c>
      <c r="H224" s="3">
        <v>0</v>
      </c>
      <c r="I224" s="3">
        <v>0</v>
      </c>
      <c r="J224" s="3">
        <v>0</v>
      </c>
    </row>
    <row r="225" spans="1:10" x14ac:dyDescent="0.25">
      <c r="A225" s="4">
        <v>57330.212585000038</v>
      </c>
      <c r="B225" s="3">
        <v>0</v>
      </c>
      <c r="C225" s="3">
        <v>0</v>
      </c>
      <c r="D225" s="3">
        <v>0</v>
      </c>
      <c r="E225" s="3">
        <v>0</v>
      </c>
      <c r="F225" s="3">
        <v>0</v>
      </c>
      <c r="G225" s="3">
        <v>68.918400000000005</v>
      </c>
      <c r="H225" s="3">
        <v>0</v>
      </c>
      <c r="I225" s="3">
        <v>0</v>
      </c>
      <c r="J225" s="3">
        <v>0</v>
      </c>
    </row>
    <row r="226" spans="1:10" x14ac:dyDescent="0.25">
      <c r="A226" s="4">
        <v>57330.212585000038</v>
      </c>
      <c r="B226" s="3">
        <v>0</v>
      </c>
      <c r="C226" s="3">
        <v>0</v>
      </c>
      <c r="D226" s="3">
        <v>0</v>
      </c>
      <c r="E226" s="3">
        <v>0</v>
      </c>
      <c r="F226" s="3">
        <v>0</v>
      </c>
      <c r="G226" s="3">
        <v>0</v>
      </c>
      <c r="H226" s="3">
        <v>69.615300000000005</v>
      </c>
      <c r="I226" s="3">
        <v>0</v>
      </c>
      <c r="J226" s="3">
        <v>0</v>
      </c>
    </row>
    <row r="227" spans="1:10" x14ac:dyDescent="0.25">
      <c r="A227" s="4">
        <v>57443.438385000038</v>
      </c>
      <c r="B227" s="3">
        <v>0</v>
      </c>
      <c r="C227" s="3">
        <v>0</v>
      </c>
      <c r="D227" s="3">
        <v>0</v>
      </c>
      <c r="E227" s="3">
        <v>0</v>
      </c>
      <c r="F227" s="3">
        <v>0</v>
      </c>
      <c r="G227" s="3">
        <v>0</v>
      </c>
      <c r="H227" s="3">
        <v>69.615300000000005</v>
      </c>
      <c r="I227" s="3">
        <v>0</v>
      </c>
      <c r="J227" s="3">
        <v>0</v>
      </c>
    </row>
    <row r="228" spans="1:10" x14ac:dyDescent="0.25">
      <c r="A228" s="4">
        <v>57443.438385000038</v>
      </c>
      <c r="B228" s="3">
        <v>0</v>
      </c>
      <c r="C228" s="3">
        <v>0</v>
      </c>
      <c r="D228" s="3">
        <v>0</v>
      </c>
      <c r="E228" s="3">
        <v>0</v>
      </c>
      <c r="F228" s="3">
        <v>0</v>
      </c>
      <c r="G228" s="3">
        <v>69.651200000000003</v>
      </c>
      <c r="H228" s="3">
        <v>0</v>
      </c>
      <c r="I228" s="3">
        <v>0</v>
      </c>
      <c r="J228" s="3">
        <v>0</v>
      </c>
    </row>
    <row r="229" spans="1:10" x14ac:dyDescent="0.25">
      <c r="A229" s="4">
        <v>57457.678385000036</v>
      </c>
      <c r="B229" s="3">
        <v>0</v>
      </c>
      <c r="C229" s="3">
        <v>0</v>
      </c>
      <c r="D229" s="3">
        <v>0</v>
      </c>
      <c r="E229" s="3">
        <v>0</v>
      </c>
      <c r="F229" s="3">
        <v>0</v>
      </c>
      <c r="G229" s="3">
        <v>69.651200000000003</v>
      </c>
      <c r="H229" s="3">
        <v>0</v>
      </c>
      <c r="I229" s="3">
        <v>0</v>
      </c>
      <c r="J229" s="3">
        <v>0</v>
      </c>
    </row>
    <row r="230" spans="1:10" x14ac:dyDescent="0.25">
      <c r="A230" s="4">
        <v>57457.678385000036</v>
      </c>
      <c r="B230" s="3">
        <v>0</v>
      </c>
      <c r="C230" s="3">
        <v>0</v>
      </c>
      <c r="D230" s="3">
        <v>0</v>
      </c>
      <c r="E230" s="3">
        <v>0</v>
      </c>
      <c r="F230" s="3">
        <v>0</v>
      </c>
      <c r="G230" s="3">
        <v>70.400099999999995</v>
      </c>
      <c r="H230" s="3">
        <v>0</v>
      </c>
      <c r="I230" s="3">
        <v>0</v>
      </c>
      <c r="J230" s="3">
        <v>0</v>
      </c>
    </row>
    <row r="231" spans="1:10" x14ac:dyDescent="0.25">
      <c r="A231" s="4">
        <v>57495.94838500004</v>
      </c>
      <c r="B231" s="3">
        <v>0</v>
      </c>
      <c r="C231" s="3">
        <v>0</v>
      </c>
      <c r="D231" s="3">
        <v>0</v>
      </c>
      <c r="E231" s="3">
        <v>0</v>
      </c>
      <c r="F231" s="3">
        <v>0</v>
      </c>
      <c r="G231" s="3">
        <v>70.400099999999995</v>
      </c>
      <c r="H231" s="3">
        <v>0</v>
      </c>
      <c r="I231" s="3">
        <v>0</v>
      </c>
      <c r="J231" s="3">
        <v>0</v>
      </c>
    </row>
    <row r="232" spans="1:10" x14ac:dyDescent="0.25">
      <c r="A232" s="4">
        <v>57495.94838500004</v>
      </c>
      <c r="B232" s="3">
        <v>0</v>
      </c>
      <c r="C232" s="3">
        <v>0</v>
      </c>
      <c r="D232" s="3">
        <v>0</v>
      </c>
      <c r="E232" s="3">
        <v>0</v>
      </c>
      <c r="F232" s="3">
        <v>0</v>
      </c>
      <c r="G232" s="3">
        <v>71.200100000000006</v>
      </c>
      <c r="H232" s="3">
        <v>0</v>
      </c>
      <c r="I232" s="3">
        <v>0</v>
      </c>
      <c r="J232" s="3">
        <v>0</v>
      </c>
    </row>
    <row r="233" spans="1:10" x14ac:dyDescent="0.25">
      <c r="A233" s="4">
        <v>57556.335775000036</v>
      </c>
      <c r="B233" s="3">
        <v>0</v>
      </c>
      <c r="C233" s="3">
        <v>0</v>
      </c>
      <c r="D233" s="3">
        <v>0</v>
      </c>
      <c r="E233" s="3">
        <v>0</v>
      </c>
      <c r="F233" s="3">
        <v>0</v>
      </c>
      <c r="G233" s="3">
        <v>71.200100000000006</v>
      </c>
      <c r="H233" s="3">
        <v>0</v>
      </c>
      <c r="I233" s="3">
        <v>0</v>
      </c>
      <c r="J233" s="3">
        <v>0</v>
      </c>
    </row>
    <row r="234" spans="1:10" x14ac:dyDescent="0.25">
      <c r="A234" s="4">
        <v>57556.335775000036</v>
      </c>
      <c r="B234" s="3">
        <v>0</v>
      </c>
      <c r="C234" s="3">
        <v>0</v>
      </c>
      <c r="D234" s="3">
        <v>0</v>
      </c>
      <c r="E234" s="3">
        <v>0</v>
      </c>
      <c r="F234" s="3">
        <v>0</v>
      </c>
      <c r="G234" s="3">
        <v>71.39</v>
      </c>
      <c r="H234" s="3">
        <v>0</v>
      </c>
      <c r="I234" s="3">
        <v>0</v>
      </c>
      <c r="J234" s="3">
        <v>0</v>
      </c>
    </row>
    <row r="235" spans="1:10" x14ac:dyDescent="0.25">
      <c r="A235" s="4">
        <v>57752.313775000031</v>
      </c>
      <c r="B235" s="3">
        <v>0</v>
      </c>
      <c r="C235" s="3">
        <v>0</v>
      </c>
      <c r="D235" s="3">
        <v>0</v>
      </c>
      <c r="E235" s="3">
        <v>0</v>
      </c>
      <c r="F235" s="3">
        <v>0</v>
      </c>
      <c r="G235" s="3">
        <v>71.39</v>
      </c>
      <c r="H235" s="3">
        <v>0</v>
      </c>
      <c r="I235" s="3">
        <v>0</v>
      </c>
      <c r="J235" s="3">
        <v>0</v>
      </c>
    </row>
    <row r="236" spans="1:10" x14ac:dyDescent="0.25">
      <c r="A236" s="4">
        <v>57752.313775000031</v>
      </c>
      <c r="B236" s="3">
        <v>0</v>
      </c>
      <c r="C236" s="3">
        <v>0</v>
      </c>
      <c r="D236" s="3">
        <v>0</v>
      </c>
      <c r="E236" s="3">
        <v>0</v>
      </c>
      <c r="F236" s="3">
        <v>0</v>
      </c>
      <c r="G236" s="3">
        <v>71.581000000000003</v>
      </c>
      <c r="H236" s="3">
        <v>0</v>
      </c>
      <c r="I236" s="3">
        <v>0</v>
      </c>
      <c r="J236" s="3">
        <v>0</v>
      </c>
    </row>
    <row r="237" spans="1:10" x14ac:dyDescent="0.25">
      <c r="A237" s="4">
        <v>58263.449675000033</v>
      </c>
      <c r="B237" s="3">
        <v>0</v>
      </c>
      <c r="C237" s="3">
        <v>0</v>
      </c>
      <c r="D237" s="3">
        <v>0</v>
      </c>
      <c r="E237" s="3">
        <v>0</v>
      </c>
      <c r="F237" s="3">
        <v>0</v>
      </c>
      <c r="G237" s="3">
        <v>71.581000000000003</v>
      </c>
      <c r="H237" s="3">
        <v>0</v>
      </c>
      <c r="I237" s="3">
        <v>0</v>
      </c>
      <c r="J237" s="3">
        <v>0</v>
      </c>
    </row>
    <row r="238" spans="1:10" x14ac:dyDescent="0.25">
      <c r="A238" s="4">
        <v>58263.449675000033</v>
      </c>
      <c r="B238" s="3">
        <v>0</v>
      </c>
      <c r="C238" s="3">
        <v>0</v>
      </c>
      <c r="D238" s="3">
        <v>0</v>
      </c>
      <c r="E238" s="3">
        <v>0</v>
      </c>
      <c r="F238" s="3">
        <v>0</v>
      </c>
      <c r="G238" s="3">
        <v>71.965999999999994</v>
      </c>
      <c r="H238" s="3">
        <v>0</v>
      </c>
      <c r="I238" s="3">
        <v>0</v>
      </c>
      <c r="J238" s="3">
        <v>0</v>
      </c>
    </row>
    <row r="239" spans="1:10" x14ac:dyDescent="0.25">
      <c r="A239" s="4">
        <v>58372.118675000034</v>
      </c>
      <c r="B239" s="3">
        <v>0</v>
      </c>
      <c r="C239" s="3">
        <v>0</v>
      </c>
      <c r="D239" s="3">
        <v>0</v>
      </c>
      <c r="E239" s="3">
        <v>0</v>
      </c>
      <c r="F239" s="3">
        <v>0</v>
      </c>
      <c r="G239" s="3">
        <v>71.965999999999994</v>
      </c>
      <c r="H239" s="3">
        <v>0</v>
      </c>
      <c r="I239" s="3">
        <v>0</v>
      </c>
      <c r="J239" s="3">
        <v>0</v>
      </c>
    </row>
    <row r="240" spans="1:10" x14ac:dyDescent="0.25">
      <c r="A240" s="4">
        <v>58372.118675000034</v>
      </c>
      <c r="B240" s="3">
        <v>0</v>
      </c>
      <c r="C240" s="3">
        <v>0</v>
      </c>
      <c r="D240" s="3">
        <v>0</v>
      </c>
      <c r="E240" s="3">
        <v>0</v>
      </c>
      <c r="F240" s="3">
        <v>0</v>
      </c>
      <c r="G240" s="3">
        <v>72.036500000000004</v>
      </c>
      <c r="H240" s="3">
        <v>0</v>
      </c>
      <c r="I240" s="3">
        <v>0</v>
      </c>
      <c r="J240" s="3">
        <v>0</v>
      </c>
    </row>
    <row r="241" spans="1:10" x14ac:dyDescent="0.25">
      <c r="A241" s="4">
        <v>58498.454175000043</v>
      </c>
      <c r="B241" s="3">
        <v>0</v>
      </c>
      <c r="C241" s="3">
        <v>0</v>
      </c>
      <c r="D241" s="3">
        <v>0</v>
      </c>
      <c r="E241" s="3">
        <v>0</v>
      </c>
      <c r="F241" s="3">
        <v>0</v>
      </c>
      <c r="G241" s="3">
        <v>72.036500000000004</v>
      </c>
      <c r="H241" s="3">
        <v>0</v>
      </c>
      <c r="I241" s="3">
        <v>0</v>
      </c>
      <c r="J241" s="3">
        <v>0</v>
      </c>
    </row>
    <row r="242" spans="1:10" x14ac:dyDescent="0.25">
      <c r="A242" s="4">
        <v>58498.454175000043</v>
      </c>
      <c r="B242" s="3">
        <v>0</v>
      </c>
      <c r="C242" s="3">
        <v>0</v>
      </c>
      <c r="D242" s="3">
        <v>0</v>
      </c>
      <c r="E242" s="3">
        <v>0</v>
      </c>
      <c r="F242" s="3">
        <v>0</v>
      </c>
      <c r="G242" s="3">
        <v>72.160200000000003</v>
      </c>
      <c r="H242" s="3">
        <v>0</v>
      </c>
      <c r="I242" s="3">
        <v>0</v>
      </c>
      <c r="J242" s="3">
        <v>0</v>
      </c>
    </row>
    <row r="243" spans="1:10" x14ac:dyDescent="0.25">
      <c r="A243" s="4">
        <v>58810.330645000053</v>
      </c>
      <c r="B243" s="3">
        <v>0</v>
      </c>
      <c r="C243" s="3">
        <v>0</v>
      </c>
      <c r="D243" s="3">
        <v>0</v>
      </c>
      <c r="E243" s="3">
        <v>0</v>
      </c>
      <c r="F243" s="3">
        <v>0</v>
      </c>
      <c r="G243" s="3">
        <v>72.160200000000003</v>
      </c>
      <c r="H243" s="3">
        <v>0</v>
      </c>
      <c r="I243" s="3">
        <v>0</v>
      </c>
      <c r="J243" s="3">
        <v>0</v>
      </c>
    </row>
    <row r="244" spans="1:10" x14ac:dyDescent="0.25">
      <c r="A244" s="4">
        <v>58810.330645000053</v>
      </c>
      <c r="B244" s="3">
        <v>0</v>
      </c>
      <c r="C244" s="3">
        <v>0</v>
      </c>
      <c r="D244" s="3">
        <v>0</v>
      </c>
      <c r="E244" s="3">
        <v>0</v>
      </c>
      <c r="F244" s="3">
        <v>0</v>
      </c>
      <c r="G244" s="3">
        <v>0</v>
      </c>
      <c r="H244" s="3">
        <v>72.320999999999998</v>
      </c>
      <c r="I244" s="3">
        <v>0</v>
      </c>
      <c r="J244" s="3">
        <v>0</v>
      </c>
    </row>
    <row r="245" spans="1:10" x14ac:dyDescent="0.25">
      <c r="A245" s="4">
        <v>59452.020645000055</v>
      </c>
      <c r="B245" s="3">
        <v>0</v>
      </c>
      <c r="C245" s="3">
        <v>0</v>
      </c>
      <c r="D245" s="3">
        <v>0</v>
      </c>
      <c r="E245" s="3">
        <v>0</v>
      </c>
      <c r="F245" s="3">
        <v>0</v>
      </c>
      <c r="G245" s="3">
        <v>0</v>
      </c>
      <c r="H245" s="3">
        <v>72.320999999999998</v>
      </c>
      <c r="I245" s="3">
        <v>0</v>
      </c>
      <c r="J245" s="3">
        <v>0</v>
      </c>
    </row>
    <row r="246" spans="1:10" x14ac:dyDescent="0.25">
      <c r="A246" s="4">
        <v>59452.020645000055</v>
      </c>
      <c r="B246" s="3">
        <v>0</v>
      </c>
      <c r="C246" s="3">
        <v>0</v>
      </c>
      <c r="D246" s="3">
        <v>0</v>
      </c>
      <c r="E246" s="3">
        <v>0</v>
      </c>
      <c r="F246" s="3">
        <v>0</v>
      </c>
      <c r="G246" s="3">
        <v>72.3553</v>
      </c>
      <c r="H246" s="3">
        <v>0</v>
      </c>
      <c r="I246" s="3">
        <v>0</v>
      </c>
      <c r="J246" s="3">
        <v>0</v>
      </c>
    </row>
    <row r="247" spans="1:10" x14ac:dyDescent="0.25">
      <c r="A247" s="4">
        <v>59537.914545000058</v>
      </c>
      <c r="B247" s="3">
        <v>0</v>
      </c>
      <c r="C247" s="3">
        <v>0</v>
      </c>
      <c r="D247" s="3">
        <v>0</v>
      </c>
      <c r="E247" s="3">
        <v>0</v>
      </c>
      <c r="F247" s="3">
        <v>0</v>
      </c>
      <c r="G247" s="3">
        <v>72.3553</v>
      </c>
      <c r="H247" s="3">
        <v>0</v>
      </c>
      <c r="I247" s="3">
        <v>0</v>
      </c>
      <c r="J247" s="3">
        <v>0</v>
      </c>
    </row>
    <row r="248" spans="1:10" x14ac:dyDescent="0.25">
      <c r="A248" s="4">
        <v>59537.914545000058</v>
      </c>
      <c r="B248" s="3">
        <v>0</v>
      </c>
      <c r="C248" s="3">
        <v>0</v>
      </c>
      <c r="D248" s="3">
        <v>0</v>
      </c>
      <c r="E248" s="3">
        <v>0</v>
      </c>
      <c r="F248" s="3">
        <v>0</v>
      </c>
      <c r="G248" s="3">
        <v>72.551599999999993</v>
      </c>
      <c r="H248" s="3">
        <v>0</v>
      </c>
      <c r="I248" s="3">
        <v>0</v>
      </c>
      <c r="J248" s="3">
        <v>0</v>
      </c>
    </row>
    <row r="249" spans="1:10" x14ac:dyDescent="0.25">
      <c r="A249" s="4">
        <v>59549.128545000058</v>
      </c>
      <c r="B249" s="3">
        <v>0</v>
      </c>
      <c r="C249" s="3">
        <v>0</v>
      </c>
      <c r="D249" s="3">
        <v>0</v>
      </c>
      <c r="E249" s="3">
        <v>0</v>
      </c>
      <c r="F249" s="3">
        <v>0</v>
      </c>
      <c r="G249" s="3">
        <v>72.551599999999993</v>
      </c>
      <c r="H249" s="3">
        <v>0</v>
      </c>
      <c r="I249" s="3">
        <v>0</v>
      </c>
      <c r="J249" s="3">
        <v>0</v>
      </c>
    </row>
    <row r="250" spans="1:10" x14ac:dyDescent="0.25">
      <c r="A250" s="4">
        <v>59549.128545000058</v>
      </c>
      <c r="B250" s="3">
        <v>0</v>
      </c>
      <c r="C250" s="3">
        <v>0</v>
      </c>
      <c r="D250" s="3">
        <v>0</v>
      </c>
      <c r="E250" s="3">
        <v>0</v>
      </c>
      <c r="F250" s="3">
        <v>0</v>
      </c>
      <c r="G250" s="3">
        <v>72.748999999999995</v>
      </c>
      <c r="H250" s="3">
        <v>0</v>
      </c>
      <c r="I250" s="3">
        <v>0</v>
      </c>
      <c r="J250" s="3">
        <v>0</v>
      </c>
    </row>
    <row r="251" spans="1:10" x14ac:dyDescent="0.25">
      <c r="A251" s="4">
        <v>59861.073545000057</v>
      </c>
      <c r="B251" s="3">
        <v>0</v>
      </c>
      <c r="C251" s="3">
        <v>0</v>
      </c>
      <c r="D251" s="3">
        <v>0</v>
      </c>
      <c r="E251" s="3">
        <v>0</v>
      </c>
      <c r="F251" s="3">
        <v>0</v>
      </c>
      <c r="G251" s="3">
        <v>72.748999999999995</v>
      </c>
      <c r="H251" s="3">
        <v>0</v>
      </c>
      <c r="I251" s="3">
        <v>0</v>
      </c>
      <c r="J251" s="3">
        <v>0</v>
      </c>
    </row>
    <row r="252" spans="1:10" x14ac:dyDescent="0.25">
      <c r="A252" s="4">
        <v>59861.073545000057</v>
      </c>
      <c r="B252" s="3">
        <v>0</v>
      </c>
      <c r="C252" s="3">
        <v>0</v>
      </c>
      <c r="D252" s="3">
        <v>0</v>
      </c>
      <c r="E252" s="3">
        <v>0</v>
      </c>
      <c r="F252" s="3">
        <v>0</v>
      </c>
      <c r="G252" s="3">
        <v>73.147000000000006</v>
      </c>
      <c r="H252" s="3">
        <v>0</v>
      </c>
      <c r="I252" s="3">
        <v>0</v>
      </c>
      <c r="J252" s="3">
        <v>0</v>
      </c>
    </row>
    <row r="253" spans="1:10" x14ac:dyDescent="0.25">
      <c r="A253" s="4">
        <v>59872.198545000057</v>
      </c>
      <c r="B253" s="3">
        <v>0</v>
      </c>
      <c r="C253" s="3">
        <v>0</v>
      </c>
      <c r="D253" s="3">
        <v>0</v>
      </c>
      <c r="E253" s="3">
        <v>0</v>
      </c>
      <c r="F253" s="3">
        <v>0</v>
      </c>
      <c r="G253" s="3">
        <v>73.147000000000006</v>
      </c>
      <c r="H253" s="3">
        <v>0</v>
      </c>
      <c r="I253" s="3">
        <v>0</v>
      </c>
      <c r="J253" s="3">
        <v>0</v>
      </c>
    </row>
    <row r="254" spans="1:10" x14ac:dyDescent="0.25">
      <c r="A254" s="4">
        <v>59872.198545000057</v>
      </c>
      <c r="B254" s="3">
        <v>0</v>
      </c>
      <c r="C254" s="3">
        <v>0</v>
      </c>
      <c r="D254" s="3">
        <v>0</v>
      </c>
      <c r="E254" s="3">
        <v>0</v>
      </c>
      <c r="F254" s="3">
        <v>0</v>
      </c>
      <c r="G254" s="3">
        <v>0</v>
      </c>
      <c r="H254" s="3">
        <v>73.271000000000001</v>
      </c>
      <c r="I254" s="3">
        <v>0</v>
      </c>
      <c r="J254" s="3">
        <v>0</v>
      </c>
    </row>
    <row r="255" spans="1:10" x14ac:dyDescent="0.25">
      <c r="A255" s="4">
        <v>59899.521545000054</v>
      </c>
      <c r="B255" s="3">
        <v>0</v>
      </c>
      <c r="C255" s="3">
        <v>0</v>
      </c>
      <c r="D255" s="3">
        <v>0</v>
      </c>
      <c r="E255" s="3">
        <v>0</v>
      </c>
      <c r="F255" s="3">
        <v>0</v>
      </c>
      <c r="G255" s="3">
        <v>0</v>
      </c>
      <c r="H255" s="3">
        <v>73.271000000000001</v>
      </c>
      <c r="I255" s="3">
        <v>0</v>
      </c>
      <c r="J255" s="3">
        <v>0</v>
      </c>
    </row>
    <row r="256" spans="1:10" x14ac:dyDescent="0.25">
      <c r="A256" s="4">
        <v>59899.521545000054</v>
      </c>
      <c r="B256" s="3">
        <v>0</v>
      </c>
      <c r="C256" s="3">
        <v>0</v>
      </c>
      <c r="D256" s="3">
        <v>0</v>
      </c>
      <c r="E256" s="3">
        <v>0</v>
      </c>
      <c r="F256" s="3">
        <v>0</v>
      </c>
      <c r="G256" s="3">
        <v>73.347700000000003</v>
      </c>
      <c r="H256" s="3">
        <v>0</v>
      </c>
      <c r="I256" s="3">
        <v>0</v>
      </c>
      <c r="J256" s="3">
        <v>0</v>
      </c>
    </row>
    <row r="257" spans="1:10" x14ac:dyDescent="0.25">
      <c r="A257" s="4">
        <v>60002.761545000059</v>
      </c>
      <c r="B257" s="3">
        <v>0</v>
      </c>
      <c r="C257" s="3">
        <v>0</v>
      </c>
      <c r="D257" s="3">
        <v>0</v>
      </c>
      <c r="E257" s="3">
        <v>0</v>
      </c>
      <c r="F257" s="3">
        <v>0</v>
      </c>
      <c r="G257" s="3">
        <v>73.347700000000003</v>
      </c>
      <c r="H257" s="3">
        <v>0</v>
      </c>
      <c r="I257" s="3">
        <v>0</v>
      </c>
      <c r="J257" s="3">
        <v>0</v>
      </c>
    </row>
    <row r="258" spans="1:10" x14ac:dyDescent="0.25">
      <c r="A258" s="4">
        <v>60002.761545000059</v>
      </c>
      <c r="B258" s="3">
        <v>0</v>
      </c>
      <c r="C258" s="3">
        <v>0</v>
      </c>
      <c r="D258" s="3">
        <v>0</v>
      </c>
      <c r="E258" s="3">
        <v>0</v>
      </c>
      <c r="F258" s="3">
        <v>0</v>
      </c>
      <c r="G258" s="3">
        <v>73.549499999999995</v>
      </c>
      <c r="H258" s="3">
        <v>0</v>
      </c>
      <c r="I258" s="3">
        <v>0</v>
      </c>
      <c r="J258" s="3">
        <v>0</v>
      </c>
    </row>
    <row r="259" spans="1:10" x14ac:dyDescent="0.25">
      <c r="A259" s="4">
        <v>60025.02489500006</v>
      </c>
      <c r="B259" s="3">
        <v>0</v>
      </c>
      <c r="C259" s="3">
        <v>0</v>
      </c>
      <c r="D259" s="3">
        <v>0</v>
      </c>
      <c r="E259" s="3">
        <v>0</v>
      </c>
      <c r="F259" s="3">
        <v>0</v>
      </c>
      <c r="G259" s="3">
        <v>73.549499999999995</v>
      </c>
      <c r="H259" s="3">
        <v>0</v>
      </c>
      <c r="I259" s="3">
        <v>0</v>
      </c>
      <c r="J259" s="3">
        <v>0</v>
      </c>
    </row>
    <row r="260" spans="1:10" x14ac:dyDescent="0.25">
      <c r="A260" s="4">
        <v>60025.02489500006</v>
      </c>
      <c r="B260" s="3">
        <v>0</v>
      </c>
      <c r="C260" s="3">
        <v>0</v>
      </c>
      <c r="D260" s="3">
        <v>0</v>
      </c>
      <c r="E260" s="3">
        <v>0</v>
      </c>
      <c r="F260" s="3">
        <v>0</v>
      </c>
      <c r="G260" s="3">
        <v>73.752499999999998</v>
      </c>
      <c r="H260" s="3">
        <v>0</v>
      </c>
      <c r="I260" s="3">
        <v>0</v>
      </c>
      <c r="J260" s="3">
        <v>0</v>
      </c>
    </row>
    <row r="261" spans="1:10" x14ac:dyDescent="0.25">
      <c r="A261" s="4">
        <v>60131.273095000062</v>
      </c>
      <c r="B261" s="3">
        <v>0</v>
      </c>
      <c r="C261" s="3">
        <v>0</v>
      </c>
      <c r="D261" s="3">
        <v>0</v>
      </c>
      <c r="E261" s="3">
        <v>0</v>
      </c>
      <c r="F261" s="3">
        <v>0</v>
      </c>
      <c r="G261" s="3">
        <v>73.752499999999998</v>
      </c>
      <c r="H261" s="3">
        <v>0</v>
      </c>
      <c r="I261" s="3">
        <v>0</v>
      </c>
      <c r="J261" s="3">
        <v>0</v>
      </c>
    </row>
    <row r="262" spans="1:10" x14ac:dyDescent="0.25">
      <c r="A262" s="4">
        <v>60131.273095000062</v>
      </c>
      <c r="B262" s="3">
        <v>0</v>
      </c>
      <c r="C262" s="3">
        <v>0</v>
      </c>
      <c r="D262" s="3">
        <v>0</v>
      </c>
      <c r="E262" s="3">
        <v>0</v>
      </c>
      <c r="F262" s="3">
        <v>0</v>
      </c>
      <c r="G262" s="3">
        <v>73.956599999999995</v>
      </c>
      <c r="H262" s="3">
        <v>0</v>
      </c>
      <c r="I262" s="3">
        <v>0</v>
      </c>
      <c r="J262" s="3">
        <v>0</v>
      </c>
    </row>
    <row r="263" spans="1:10" x14ac:dyDescent="0.25">
      <c r="A263" s="4">
        <v>60216.713095000065</v>
      </c>
      <c r="B263" s="3">
        <v>0</v>
      </c>
      <c r="C263" s="3">
        <v>0</v>
      </c>
      <c r="D263" s="3">
        <v>0</v>
      </c>
      <c r="E263" s="3">
        <v>0</v>
      </c>
      <c r="F263" s="3">
        <v>0</v>
      </c>
      <c r="G263" s="3">
        <v>73.956599999999995</v>
      </c>
      <c r="H263" s="3">
        <v>0</v>
      </c>
      <c r="I263" s="3">
        <v>0</v>
      </c>
      <c r="J263" s="3">
        <v>0</v>
      </c>
    </row>
    <row r="264" spans="1:10" x14ac:dyDescent="0.25">
      <c r="A264" s="4">
        <v>60216.713095000065</v>
      </c>
      <c r="B264" s="3">
        <v>0</v>
      </c>
      <c r="C264" s="3">
        <v>0</v>
      </c>
      <c r="D264" s="3">
        <v>0</v>
      </c>
      <c r="E264" s="3">
        <v>0</v>
      </c>
      <c r="F264" s="3">
        <v>0</v>
      </c>
      <c r="G264" s="3">
        <v>74.161900000000003</v>
      </c>
      <c r="H264" s="3">
        <v>0</v>
      </c>
      <c r="I264" s="3">
        <v>0</v>
      </c>
      <c r="J264" s="3">
        <v>0</v>
      </c>
    </row>
    <row r="265" spans="1:10" x14ac:dyDescent="0.25">
      <c r="A265" s="4">
        <v>60223.334695000063</v>
      </c>
      <c r="B265" s="3">
        <v>0</v>
      </c>
      <c r="C265" s="3">
        <v>0</v>
      </c>
      <c r="D265" s="3">
        <v>0</v>
      </c>
      <c r="E265" s="3">
        <v>0</v>
      </c>
      <c r="F265" s="3">
        <v>0</v>
      </c>
      <c r="G265" s="3">
        <v>74.161900000000003</v>
      </c>
      <c r="H265" s="3">
        <v>0</v>
      </c>
      <c r="I265" s="3">
        <v>0</v>
      </c>
      <c r="J265" s="3">
        <v>0</v>
      </c>
    </row>
    <row r="266" spans="1:10" x14ac:dyDescent="0.25">
      <c r="A266" s="4">
        <v>60223.334695000063</v>
      </c>
      <c r="B266" s="3">
        <v>0</v>
      </c>
      <c r="C266" s="3">
        <v>0</v>
      </c>
      <c r="D266" s="3">
        <v>0</v>
      </c>
      <c r="E266" s="3">
        <v>0</v>
      </c>
      <c r="F266" s="3">
        <v>0</v>
      </c>
      <c r="G266" s="3">
        <v>74.368300000000005</v>
      </c>
      <c r="H266" s="3">
        <v>0</v>
      </c>
      <c r="I266" s="3">
        <v>0</v>
      </c>
      <c r="J266" s="3">
        <v>0</v>
      </c>
    </row>
    <row r="267" spans="1:10" x14ac:dyDescent="0.25">
      <c r="A267" s="4">
        <v>60334.139695000064</v>
      </c>
      <c r="B267" s="3">
        <v>0</v>
      </c>
      <c r="C267" s="3">
        <v>0</v>
      </c>
      <c r="D267" s="3">
        <v>0</v>
      </c>
      <c r="E267" s="3">
        <v>0</v>
      </c>
      <c r="F267" s="3">
        <v>0</v>
      </c>
      <c r="G267" s="3">
        <v>74.368300000000005</v>
      </c>
      <c r="H267" s="3">
        <v>0</v>
      </c>
      <c r="I267" s="3">
        <v>0</v>
      </c>
      <c r="J267" s="3">
        <v>0</v>
      </c>
    </row>
    <row r="268" spans="1:10" x14ac:dyDescent="0.25">
      <c r="A268" s="4">
        <v>60334.139695000064</v>
      </c>
      <c r="B268" s="3">
        <v>0</v>
      </c>
      <c r="C268" s="3">
        <v>0</v>
      </c>
      <c r="D268" s="3">
        <v>0</v>
      </c>
      <c r="E268" s="3">
        <v>0</v>
      </c>
      <c r="F268" s="3">
        <v>0</v>
      </c>
      <c r="G268" s="3">
        <v>74.575900000000004</v>
      </c>
      <c r="H268" s="3">
        <v>0</v>
      </c>
      <c r="I268" s="3">
        <v>0</v>
      </c>
      <c r="J268" s="3">
        <v>0</v>
      </c>
    </row>
    <row r="269" spans="1:10" x14ac:dyDescent="0.25">
      <c r="A269" s="4">
        <v>60402.936695000062</v>
      </c>
      <c r="B269" s="3">
        <v>0</v>
      </c>
      <c r="C269" s="3">
        <v>0</v>
      </c>
      <c r="D269" s="3">
        <v>0</v>
      </c>
      <c r="E269" s="3">
        <v>0</v>
      </c>
      <c r="F269" s="3">
        <v>0</v>
      </c>
      <c r="G269" s="3">
        <v>74.575900000000004</v>
      </c>
      <c r="H269" s="3">
        <v>0</v>
      </c>
      <c r="I269" s="3">
        <v>0</v>
      </c>
      <c r="J269" s="3">
        <v>0</v>
      </c>
    </row>
    <row r="270" spans="1:10" x14ac:dyDescent="0.25">
      <c r="A270" s="4">
        <v>60402.936695000062</v>
      </c>
      <c r="B270" s="3">
        <v>0</v>
      </c>
      <c r="C270" s="3">
        <v>0</v>
      </c>
      <c r="D270" s="3">
        <v>0</v>
      </c>
      <c r="E270" s="3">
        <v>0</v>
      </c>
      <c r="F270" s="3">
        <v>0</v>
      </c>
      <c r="G270" s="3">
        <v>74.784700000000001</v>
      </c>
      <c r="H270" s="3">
        <v>0</v>
      </c>
      <c r="I270" s="3">
        <v>0</v>
      </c>
      <c r="J270" s="3">
        <v>0</v>
      </c>
    </row>
    <row r="271" spans="1:10" x14ac:dyDescent="0.25">
      <c r="A271" s="4">
        <v>60449.839695000061</v>
      </c>
      <c r="B271" s="3">
        <v>0</v>
      </c>
      <c r="C271" s="3">
        <v>0</v>
      </c>
      <c r="D271" s="3">
        <v>0</v>
      </c>
      <c r="E271" s="3">
        <v>0</v>
      </c>
      <c r="F271" s="3">
        <v>0</v>
      </c>
      <c r="G271" s="3">
        <v>74.784700000000001</v>
      </c>
      <c r="H271" s="3">
        <v>0</v>
      </c>
      <c r="I271" s="3">
        <v>0</v>
      </c>
      <c r="J271" s="3">
        <v>0</v>
      </c>
    </row>
    <row r="272" spans="1:10" x14ac:dyDescent="0.25">
      <c r="A272" s="4">
        <v>60449.839695000061</v>
      </c>
      <c r="B272" s="3">
        <v>0</v>
      </c>
      <c r="C272" s="3">
        <v>0</v>
      </c>
      <c r="D272" s="3">
        <v>0</v>
      </c>
      <c r="E272" s="3">
        <v>0</v>
      </c>
      <c r="F272" s="3">
        <v>0</v>
      </c>
      <c r="G272" s="3">
        <v>74.994699999999995</v>
      </c>
      <c r="H272" s="3">
        <v>0</v>
      </c>
      <c r="I272" s="3">
        <v>0</v>
      </c>
      <c r="J272" s="3">
        <v>0</v>
      </c>
    </row>
    <row r="273" spans="1:10" x14ac:dyDescent="0.25">
      <c r="A273" s="4">
        <v>60493.049195000058</v>
      </c>
      <c r="B273" s="3">
        <v>0</v>
      </c>
      <c r="C273" s="3">
        <v>0</v>
      </c>
      <c r="D273" s="3">
        <v>0</v>
      </c>
      <c r="E273" s="3">
        <v>0</v>
      </c>
      <c r="F273" s="3">
        <v>0</v>
      </c>
      <c r="G273" s="3">
        <v>74.994699999999995</v>
      </c>
      <c r="H273" s="3">
        <v>0</v>
      </c>
      <c r="I273" s="3">
        <v>0</v>
      </c>
      <c r="J273" s="3">
        <v>0</v>
      </c>
    </row>
    <row r="274" spans="1:10" x14ac:dyDescent="0.25">
      <c r="A274" s="4">
        <v>60493.049195000058</v>
      </c>
      <c r="B274" s="3">
        <v>0</v>
      </c>
      <c r="C274" s="3">
        <v>0</v>
      </c>
      <c r="D274" s="3">
        <v>0</v>
      </c>
      <c r="E274" s="3">
        <v>0</v>
      </c>
      <c r="F274" s="3">
        <v>0</v>
      </c>
      <c r="G274" s="3">
        <v>75.2059</v>
      </c>
      <c r="H274" s="3">
        <v>0</v>
      </c>
      <c r="I274" s="3">
        <v>0</v>
      </c>
      <c r="J274" s="3">
        <v>0</v>
      </c>
    </row>
    <row r="275" spans="1:10" x14ac:dyDescent="0.25">
      <c r="A275" s="4">
        <v>60668.468195000067</v>
      </c>
      <c r="B275" s="3">
        <v>0</v>
      </c>
      <c r="C275" s="3">
        <v>0</v>
      </c>
      <c r="D275" s="3">
        <v>0</v>
      </c>
      <c r="E275" s="3">
        <v>0</v>
      </c>
      <c r="F275" s="3">
        <v>0</v>
      </c>
      <c r="G275" s="3">
        <v>75.2059</v>
      </c>
      <c r="H275" s="3">
        <v>0</v>
      </c>
      <c r="I275" s="3">
        <v>0</v>
      </c>
      <c r="J275" s="3">
        <v>0</v>
      </c>
    </row>
    <row r="276" spans="1:10" x14ac:dyDescent="0.25">
      <c r="A276" s="4">
        <v>60668.468195000067</v>
      </c>
      <c r="B276" s="3">
        <v>0</v>
      </c>
      <c r="C276" s="3">
        <v>0</v>
      </c>
      <c r="D276" s="3">
        <v>0</v>
      </c>
      <c r="E276" s="3">
        <v>0</v>
      </c>
      <c r="F276" s="3">
        <v>0</v>
      </c>
      <c r="G276" s="3">
        <v>0</v>
      </c>
      <c r="H276" s="3">
        <v>75.248900000000006</v>
      </c>
      <c r="I276" s="3">
        <v>0</v>
      </c>
      <c r="J276" s="3">
        <v>0</v>
      </c>
    </row>
    <row r="277" spans="1:10" x14ac:dyDescent="0.25">
      <c r="A277" s="4">
        <v>60796.62819500007</v>
      </c>
      <c r="B277" s="3">
        <v>0</v>
      </c>
      <c r="C277" s="3">
        <v>0</v>
      </c>
      <c r="D277" s="3">
        <v>0</v>
      </c>
      <c r="E277" s="3">
        <v>0</v>
      </c>
      <c r="F277" s="3">
        <v>0</v>
      </c>
      <c r="G277" s="3">
        <v>0</v>
      </c>
      <c r="H277" s="3">
        <v>75.248900000000006</v>
      </c>
      <c r="I277" s="3">
        <v>0</v>
      </c>
      <c r="J277" s="3">
        <v>0</v>
      </c>
    </row>
    <row r="278" spans="1:10" x14ac:dyDescent="0.25">
      <c r="A278" s="4">
        <v>60796.62819500007</v>
      </c>
      <c r="B278" s="3">
        <v>0</v>
      </c>
      <c r="C278" s="3">
        <v>0</v>
      </c>
      <c r="D278" s="3">
        <v>0</v>
      </c>
      <c r="E278" s="3">
        <v>0</v>
      </c>
      <c r="F278" s="3">
        <v>0</v>
      </c>
      <c r="G278" s="3">
        <v>75.418300000000002</v>
      </c>
      <c r="H278" s="3">
        <v>0</v>
      </c>
      <c r="I278" s="3">
        <v>0</v>
      </c>
      <c r="J278" s="3">
        <v>0</v>
      </c>
    </row>
    <row r="279" spans="1:10" x14ac:dyDescent="0.25">
      <c r="A279" s="4">
        <v>60881.267195000073</v>
      </c>
      <c r="B279" s="3">
        <v>0</v>
      </c>
      <c r="C279" s="3">
        <v>0</v>
      </c>
      <c r="D279" s="3">
        <v>0</v>
      </c>
      <c r="E279" s="3">
        <v>0</v>
      </c>
      <c r="F279" s="3">
        <v>0</v>
      </c>
      <c r="G279" s="3">
        <v>75.418300000000002</v>
      </c>
      <c r="H279" s="3">
        <v>0</v>
      </c>
      <c r="I279" s="3">
        <v>0</v>
      </c>
      <c r="J279" s="3">
        <v>0</v>
      </c>
    </row>
    <row r="280" spans="1:10" x14ac:dyDescent="0.25">
      <c r="A280" s="4">
        <v>60881.267195000073</v>
      </c>
      <c r="B280" s="3">
        <v>0</v>
      </c>
      <c r="C280" s="3">
        <v>0</v>
      </c>
      <c r="D280" s="3">
        <v>0</v>
      </c>
      <c r="E280" s="3">
        <v>0</v>
      </c>
      <c r="F280" s="3">
        <v>0</v>
      </c>
      <c r="G280" s="3">
        <v>75.631900000000002</v>
      </c>
      <c r="H280" s="3">
        <v>0</v>
      </c>
      <c r="I280" s="3">
        <v>0</v>
      </c>
      <c r="J280" s="3">
        <v>0</v>
      </c>
    </row>
    <row r="281" spans="1:10" x14ac:dyDescent="0.25">
      <c r="A281" s="4">
        <v>61097.98219500007</v>
      </c>
      <c r="B281" s="3">
        <v>0</v>
      </c>
      <c r="C281" s="3">
        <v>0</v>
      </c>
      <c r="D281" s="3">
        <v>0</v>
      </c>
      <c r="E281" s="3">
        <v>0</v>
      </c>
      <c r="F281" s="3">
        <v>0</v>
      </c>
      <c r="G281" s="3">
        <v>75.631900000000002</v>
      </c>
      <c r="H281" s="3">
        <v>0</v>
      </c>
      <c r="I281" s="3">
        <v>0</v>
      </c>
      <c r="J281" s="3">
        <v>0</v>
      </c>
    </row>
    <row r="282" spans="1:10" x14ac:dyDescent="0.25">
      <c r="A282" s="4">
        <v>61097.98219500007</v>
      </c>
      <c r="B282" s="3">
        <v>0</v>
      </c>
      <c r="C282" s="3">
        <v>0</v>
      </c>
      <c r="D282" s="3">
        <v>0</v>
      </c>
      <c r="E282" s="3">
        <v>0</v>
      </c>
      <c r="F282" s="3">
        <v>0</v>
      </c>
      <c r="G282" s="3">
        <v>0</v>
      </c>
      <c r="H282" s="3">
        <v>75.760499999999993</v>
      </c>
      <c r="I282" s="3">
        <v>0</v>
      </c>
      <c r="J282" s="3">
        <v>0</v>
      </c>
    </row>
    <row r="283" spans="1:10" x14ac:dyDescent="0.25">
      <c r="A283" s="4">
        <v>61106.882195000071</v>
      </c>
      <c r="B283" s="3">
        <v>0</v>
      </c>
      <c r="C283" s="3">
        <v>0</v>
      </c>
      <c r="D283" s="3">
        <v>0</v>
      </c>
      <c r="E283" s="3">
        <v>0</v>
      </c>
      <c r="F283" s="3">
        <v>0</v>
      </c>
      <c r="G283" s="3">
        <v>0</v>
      </c>
      <c r="H283" s="3">
        <v>75.760499999999993</v>
      </c>
      <c r="I283" s="3">
        <v>0</v>
      </c>
      <c r="J283" s="3">
        <v>0</v>
      </c>
    </row>
    <row r="284" spans="1:10" x14ac:dyDescent="0.25">
      <c r="A284" s="4">
        <v>61106.882195000071</v>
      </c>
      <c r="B284" s="3">
        <v>0</v>
      </c>
      <c r="C284" s="3">
        <v>0</v>
      </c>
      <c r="D284" s="3">
        <v>0</v>
      </c>
      <c r="E284" s="3">
        <v>0</v>
      </c>
      <c r="F284" s="3">
        <v>0</v>
      </c>
      <c r="G284" s="3">
        <v>75.846800000000002</v>
      </c>
      <c r="H284" s="3">
        <v>0</v>
      </c>
      <c r="I284" s="3">
        <v>0</v>
      </c>
      <c r="J284" s="3">
        <v>0</v>
      </c>
    </row>
    <row r="285" spans="1:10" x14ac:dyDescent="0.25">
      <c r="A285" s="4">
        <v>61160.727195000072</v>
      </c>
      <c r="B285" s="3">
        <v>0</v>
      </c>
      <c r="C285" s="3">
        <v>0</v>
      </c>
      <c r="D285" s="3">
        <v>0</v>
      </c>
      <c r="E285" s="3">
        <v>0</v>
      </c>
      <c r="F285" s="3">
        <v>0</v>
      </c>
      <c r="G285" s="3">
        <v>75.846800000000002</v>
      </c>
      <c r="H285" s="3">
        <v>0</v>
      </c>
      <c r="I285" s="3">
        <v>0</v>
      </c>
      <c r="J285" s="3">
        <v>0</v>
      </c>
    </row>
    <row r="286" spans="1:10" x14ac:dyDescent="0.25">
      <c r="A286" s="4">
        <v>61160.727195000072</v>
      </c>
      <c r="B286" s="3">
        <v>0</v>
      </c>
      <c r="C286" s="3">
        <v>0</v>
      </c>
      <c r="D286" s="3">
        <v>0</v>
      </c>
      <c r="E286" s="3">
        <v>0</v>
      </c>
      <c r="F286" s="3">
        <v>0</v>
      </c>
      <c r="G286" s="3">
        <v>76.062899999999999</v>
      </c>
      <c r="H286" s="3">
        <v>0</v>
      </c>
      <c r="I286" s="3">
        <v>0</v>
      </c>
      <c r="J286" s="3">
        <v>0</v>
      </c>
    </row>
    <row r="287" spans="1:10" x14ac:dyDescent="0.25">
      <c r="A287" s="4">
        <v>61375.573195000077</v>
      </c>
      <c r="B287" s="3">
        <v>0</v>
      </c>
      <c r="C287" s="3">
        <v>0</v>
      </c>
      <c r="D287" s="3">
        <v>0</v>
      </c>
      <c r="E287" s="3">
        <v>0</v>
      </c>
      <c r="F287" s="3">
        <v>0</v>
      </c>
      <c r="G287" s="3">
        <v>76.062899999999999</v>
      </c>
      <c r="H287" s="3">
        <v>0</v>
      </c>
      <c r="I287" s="3">
        <v>0</v>
      </c>
      <c r="J287" s="3">
        <v>0</v>
      </c>
    </row>
    <row r="288" spans="1:10" x14ac:dyDescent="0.25">
      <c r="A288" s="4">
        <v>61375.573195000077</v>
      </c>
      <c r="B288" s="3">
        <v>0</v>
      </c>
      <c r="C288" s="3">
        <v>0</v>
      </c>
      <c r="D288" s="3">
        <v>0</v>
      </c>
      <c r="E288" s="3">
        <v>0</v>
      </c>
      <c r="F288" s="3">
        <v>0</v>
      </c>
      <c r="G288" s="3">
        <v>76.280299999999997</v>
      </c>
      <c r="H288" s="3">
        <v>0</v>
      </c>
      <c r="I288" s="3">
        <v>0</v>
      </c>
      <c r="J288" s="3">
        <v>0</v>
      </c>
    </row>
    <row r="289" spans="1:10" x14ac:dyDescent="0.25">
      <c r="A289" s="4">
        <v>61490.917195000082</v>
      </c>
      <c r="B289" s="3">
        <v>0</v>
      </c>
      <c r="C289" s="3">
        <v>0</v>
      </c>
      <c r="D289" s="3">
        <v>0</v>
      </c>
      <c r="E289" s="3">
        <v>0</v>
      </c>
      <c r="F289" s="3">
        <v>0</v>
      </c>
      <c r="G289" s="3">
        <v>76.280299999999997</v>
      </c>
      <c r="H289" s="3">
        <v>0</v>
      </c>
      <c r="I289" s="3">
        <v>0</v>
      </c>
      <c r="J289" s="3">
        <v>0</v>
      </c>
    </row>
    <row r="290" spans="1:10" x14ac:dyDescent="0.25">
      <c r="A290" s="4">
        <v>61490.917195000082</v>
      </c>
      <c r="B290" s="3">
        <v>0</v>
      </c>
      <c r="C290" s="3">
        <v>0</v>
      </c>
      <c r="D290" s="3">
        <v>0</v>
      </c>
      <c r="E290" s="3">
        <v>0</v>
      </c>
      <c r="F290" s="3">
        <v>0</v>
      </c>
      <c r="G290" s="3">
        <v>76.498900000000006</v>
      </c>
      <c r="H290" s="3">
        <v>0</v>
      </c>
      <c r="I290" s="3">
        <v>0</v>
      </c>
      <c r="J290" s="3">
        <v>0</v>
      </c>
    </row>
    <row r="291" spans="1:10" x14ac:dyDescent="0.25">
      <c r="A291" s="4">
        <v>61507.719505000081</v>
      </c>
      <c r="B291" s="3">
        <v>0</v>
      </c>
      <c r="C291" s="3">
        <v>0</v>
      </c>
      <c r="D291" s="3">
        <v>0</v>
      </c>
      <c r="E291" s="3">
        <v>0</v>
      </c>
      <c r="F291" s="3">
        <v>0</v>
      </c>
      <c r="G291" s="3">
        <v>76.498900000000006</v>
      </c>
      <c r="H291" s="3">
        <v>0</v>
      </c>
      <c r="I291" s="3">
        <v>0</v>
      </c>
      <c r="J291" s="3">
        <v>0</v>
      </c>
    </row>
    <row r="292" spans="1:10" x14ac:dyDescent="0.25">
      <c r="A292" s="4">
        <v>61507.719505000081</v>
      </c>
      <c r="B292" s="3">
        <v>0</v>
      </c>
      <c r="C292" s="3">
        <v>0</v>
      </c>
      <c r="D292" s="3">
        <v>0</v>
      </c>
      <c r="E292" s="3">
        <v>0</v>
      </c>
      <c r="F292" s="3">
        <v>0</v>
      </c>
      <c r="G292" s="3">
        <v>76.718900000000005</v>
      </c>
      <c r="H292" s="3">
        <v>0</v>
      </c>
      <c r="I292" s="3">
        <v>0</v>
      </c>
      <c r="J292" s="3">
        <v>0</v>
      </c>
    </row>
    <row r="293" spans="1:10" x14ac:dyDescent="0.25">
      <c r="A293" s="4">
        <v>61517.954505000082</v>
      </c>
      <c r="B293" s="3">
        <v>0</v>
      </c>
      <c r="C293" s="3">
        <v>0</v>
      </c>
      <c r="D293" s="3">
        <v>0</v>
      </c>
      <c r="E293" s="3">
        <v>0</v>
      </c>
      <c r="F293" s="3">
        <v>0</v>
      </c>
      <c r="G293" s="3">
        <v>76.718900000000005</v>
      </c>
      <c r="H293" s="3">
        <v>0</v>
      </c>
      <c r="I293" s="3">
        <v>0</v>
      </c>
      <c r="J293" s="3">
        <v>0</v>
      </c>
    </row>
    <row r="294" spans="1:10" x14ac:dyDescent="0.25">
      <c r="A294" s="4">
        <v>61517.954505000082</v>
      </c>
      <c r="B294" s="3">
        <v>0</v>
      </c>
      <c r="C294" s="3">
        <v>0</v>
      </c>
      <c r="D294" s="3">
        <v>0</v>
      </c>
      <c r="E294" s="3">
        <v>0</v>
      </c>
      <c r="F294" s="3">
        <v>0</v>
      </c>
      <c r="G294" s="3">
        <v>0</v>
      </c>
      <c r="H294" s="3">
        <v>76.804900000000004</v>
      </c>
      <c r="I294" s="3">
        <v>0</v>
      </c>
      <c r="J294" s="3">
        <v>0</v>
      </c>
    </row>
    <row r="295" spans="1:10" x14ac:dyDescent="0.25">
      <c r="A295" s="4">
        <v>61575.80450500008</v>
      </c>
      <c r="B295" s="3">
        <v>0</v>
      </c>
      <c r="C295" s="3">
        <v>0</v>
      </c>
      <c r="D295" s="3">
        <v>0</v>
      </c>
      <c r="E295" s="3">
        <v>0</v>
      </c>
      <c r="F295" s="3">
        <v>0</v>
      </c>
      <c r="G295" s="3">
        <v>0</v>
      </c>
      <c r="H295" s="3">
        <v>76.804900000000004</v>
      </c>
      <c r="I295" s="3">
        <v>0</v>
      </c>
      <c r="J295" s="3">
        <v>0</v>
      </c>
    </row>
    <row r="296" spans="1:10" x14ac:dyDescent="0.25">
      <c r="A296" s="4">
        <v>61575.80450500008</v>
      </c>
      <c r="B296" s="3">
        <v>0</v>
      </c>
      <c r="C296" s="3">
        <v>0</v>
      </c>
      <c r="D296" s="3">
        <v>0</v>
      </c>
      <c r="E296" s="3">
        <v>0</v>
      </c>
      <c r="F296" s="3">
        <v>0</v>
      </c>
      <c r="G296" s="3">
        <v>76.940100000000001</v>
      </c>
      <c r="H296" s="3">
        <v>0</v>
      </c>
      <c r="I296" s="3">
        <v>0</v>
      </c>
      <c r="J296" s="3">
        <v>0</v>
      </c>
    </row>
    <row r="297" spans="1:10" x14ac:dyDescent="0.25">
      <c r="A297" s="4">
        <v>61584.971505000081</v>
      </c>
      <c r="B297" s="3">
        <v>0</v>
      </c>
      <c r="C297" s="3">
        <v>0</v>
      </c>
      <c r="D297" s="3">
        <v>0</v>
      </c>
      <c r="E297" s="3">
        <v>0</v>
      </c>
      <c r="F297" s="3">
        <v>0</v>
      </c>
      <c r="G297" s="3">
        <v>76.940100000000001</v>
      </c>
      <c r="H297" s="3">
        <v>0</v>
      </c>
      <c r="I297" s="3">
        <v>0</v>
      </c>
      <c r="J297" s="3">
        <v>0</v>
      </c>
    </row>
    <row r="298" spans="1:10" x14ac:dyDescent="0.25">
      <c r="A298" s="4">
        <v>61584.971505000081</v>
      </c>
      <c r="B298" s="3">
        <v>0</v>
      </c>
      <c r="C298" s="3">
        <v>0</v>
      </c>
      <c r="D298" s="3">
        <v>0</v>
      </c>
      <c r="E298" s="3">
        <v>0</v>
      </c>
      <c r="F298" s="3">
        <v>0</v>
      </c>
      <c r="G298" s="3">
        <v>77.162599999999998</v>
      </c>
      <c r="H298" s="3">
        <v>0</v>
      </c>
      <c r="I298" s="3">
        <v>0</v>
      </c>
      <c r="J298" s="3">
        <v>0</v>
      </c>
    </row>
    <row r="299" spans="1:10" x14ac:dyDescent="0.25">
      <c r="A299" s="4">
        <v>61647.004505000084</v>
      </c>
      <c r="B299" s="3">
        <v>0</v>
      </c>
      <c r="C299" s="3">
        <v>0</v>
      </c>
      <c r="D299" s="3">
        <v>0</v>
      </c>
      <c r="E299" s="3">
        <v>0</v>
      </c>
      <c r="F299" s="3">
        <v>0</v>
      </c>
      <c r="G299" s="3">
        <v>77.162599999999998</v>
      </c>
      <c r="H299" s="3">
        <v>0</v>
      </c>
      <c r="I299" s="3">
        <v>0</v>
      </c>
      <c r="J299" s="3">
        <v>0</v>
      </c>
    </row>
    <row r="300" spans="1:10" x14ac:dyDescent="0.25">
      <c r="A300" s="4">
        <v>61647.004505000084</v>
      </c>
      <c r="B300" s="3">
        <v>0</v>
      </c>
      <c r="C300" s="3">
        <v>0</v>
      </c>
      <c r="D300" s="3">
        <v>0</v>
      </c>
      <c r="E300" s="3">
        <v>0</v>
      </c>
      <c r="F300" s="3">
        <v>0</v>
      </c>
      <c r="G300" s="3">
        <v>0</v>
      </c>
      <c r="H300" s="3">
        <v>77.338200000000001</v>
      </c>
      <c r="I300" s="3">
        <v>0</v>
      </c>
      <c r="J300" s="3">
        <v>0</v>
      </c>
    </row>
    <row r="301" spans="1:10" x14ac:dyDescent="0.25">
      <c r="A301" s="4">
        <v>61672.102505000083</v>
      </c>
      <c r="B301" s="3">
        <v>0</v>
      </c>
      <c r="C301" s="3">
        <v>0</v>
      </c>
      <c r="D301" s="3">
        <v>0</v>
      </c>
      <c r="E301" s="3">
        <v>0</v>
      </c>
      <c r="F301" s="3">
        <v>0</v>
      </c>
      <c r="G301" s="3">
        <v>0</v>
      </c>
      <c r="H301" s="3">
        <v>77.338200000000001</v>
      </c>
      <c r="I301" s="3">
        <v>0</v>
      </c>
      <c r="J301" s="3">
        <v>0</v>
      </c>
    </row>
    <row r="302" spans="1:10" x14ac:dyDescent="0.25">
      <c r="A302" s="4">
        <v>61672.102505000083</v>
      </c>
      <c r="B302" s="3">
        <v>0</v>
      </c>
      <c r="C302" s="3">
        <v>0</v>
      </c>
      <c r="D302" s="3">
        <v>0</v>
      </c>
      <c r="E302" s="3">
        <v>0</v>
      </c>
      <c r="F302" s="3">
        <v>0</v>
      </c>
      <c r="G302" s="3">
        <v>77.386499999999998</v>
      </c>
      <c r="H302" s="3">
        <v>0</v>
      </c>
      <c r="I302" s="3">
        <v>0</v>
      </c>
      <c r="J302" s="3">
        <v>0</v>
      </c>
    </row>
    <row r="303" spans="1:10" x14ac:dyDescent="0.25">
      <c r="A303" s="4">
        <v>61727.443595000084</v>
      </c>
      <c r="B303" s="3">
        <v>0</v>
      </c>
      <c r="C303" s="3">
        <v>0</v>
      </c>
      <c r="D303" s="3">
        <v>0</v>
      </c>
      <c r="E303" s="3">
        <v>0</v>
      </c>
      <c r="F303" s="3">
        <v>0</v>
      </c>
      <c r="G303" s="3">
        <v>77.386499999999998</v>
      </c>
      <c r="H303" s="3">
        <v>0</v>
      </c>
      <c r="I303" s="3">
        <v>0</v>
      </c>
      <c r="J303" s="3">
        <v>0</v>
      </c>
    </row>
    <row r="304" spans="1:10" x14ac:dyDescent="0.25">
      <c r="A304" s="4">
        <v>61727.443595000084</v>
      </c>
      <c r="B304" s="3">
        <v>0</v>
      </c>
      <c r="C304" s="3">
        <v>0</v>
      </c>
      <c r="D304" s="3">
        <v>0</v>
      </c>
      <c r="E304" s="3">
        <v>0</v>
      </c>
      <c r="F304" s="3">
        <v>0</v>
      </c>
      <c r="G304" s="3">
        <v>0</v>
      </c>
      <c r="H304" s="3">
        <v>77.879000000000005</v>
      </c>
      <c r="I304" s="3">
        <v>0</v>
      </c>
      <c r="J304" s="3">
        <v>0</v>
      </c>
    </row>
    <row r="305" spans="1:10" x14ac:dyDescent="0.25">
      <c r="A305" s="4">
        <v>61731.982595000081</v>
      </c>
      <c r="B305" s="3">
        <v>0</v>
      </c>
      <c r="C305" s="3">
        <v>0</v>
      </c>
      <c r="D305" s="3">
        <v>0</v>
      </c>
      <c r="E305" s="3">
        <v>0</v>
      </c>
      <c r="F305" s="3">
        <v>0</v>
      </c>
      <c r="G305" s="3">
        <v>0</v>
      </c>
      <c r="H305" s="3">
        <v>77.879000000000005</v>
      </c>
      <c r="I305" s="3">
        <v>0</v>
      </c>
      <c r="J305" s="3">
        <v>0</v>
      </c>
    </row>
    <row r="306" spans="1:10" x14ac:dyDescent="0.25">
      <c r="A306" s="4">
        <v>61731.982595000081</v>
      </c>
      <c r="B306" s="3">
        <v>0</v>
      </c>
      <c r="C306" s="3">
        <v>0</v>
      </c>
      <c r="D306" s="3">
        <v>0</v>
      </c>
      <c r="E306" s="3">
        <v>0</v>
      </c>
      <c r="F306" s="3">
        <v>0</v>
      </c>
      <c r="G306" s="3">
        <v>78.295299999999997</v>
      </c>
      <c r="H306" s="3">
        <v>0</v>
      </c>
      <c r="I306" s="3">
        <v>0</v>
      </c>
      <c r="J306" s="3">
        <v>0</v>
      </c>
    </row>
    <row r="307" spans="1:10" x14ac:dyDescent="0.25">
      <c r="A307" s="4">
        <v>61761.352595000084</v>
      </c>
      <c r="B307" s="3">
        <v>0</v>
      </c>
      <c r="C307" s="3">
        <v>0</v>
      </c>
      <c r="D307" s="3">
        <v>0</v>
      </c>
      <c r="E307" s="3">
        <v>0</v>
      </c>
      <c r="F307" s="3">
        <v>0</v>
      </c>
      <c r="G307" s="3">
        <v>78.295299999999997</v>
      </c>
      <c r="H307" s="3">
        <v>0</v>
      </c>
      <c r="I307" s="3">
        <v>0</v>
      </c>
      <c r="J307" s="3">
        <v>0</v>
      </c>
    </row>
    <row r="308" spans="1:10" x14ac:dyDescent="0.25">
      <c r="A308" s="4">
        <v>61761.352595000084</v>
      </c>
      <c r="B308" s="3">
        <v>0</v>
      </c>
      <c r="C308" s="3">
        <v>0</v>
      </c>
      <c r="D308" s="3">
        <v>0</v>
      </c>
      <c r="E308" s="3">
        <v>0</v>
      </c>
      <c r="F308" s="3">
        <v>0</v>
      </c>
      <c r="G308" s="3">
        <v>0</v>
      </c>
      <c r="H308" s="3">
        <v>78.427599999999998</v>
      </c>
      <c r="I308" s="3">
        <v>0</v>
      </c>
      <c r="J308" s="3">
        <v>0</v>
      </c>
    </row>
    <row r="309" spans="1:10" x14ac:dyDescent="0.25">
      <c r="A309" s="4">
        <v>61765.891595000081</v>
      </c>
      <c r="B309" s="3">
        <v>0</v>
      </c>
      <c r="C309" s="3">
        <v>0</v>
      </c>
      <c r="D309" s="3">
        <v>0</v>
      </c>
      <c r="E309" s="3">
        <v>0</v>
      </c>
      <c r="F309" s="3">
        <v>0</v>
      </c>
      <c r="G309" s="3">
        <v>0</v>
      </c>
      <c r="H309" s="3">
        <v>78.427599999999998</v>
      </c>
      <c r="I309" s="3">
        <v>0</v>
      </c>
      <c r="J309" s="3">
        <v>0</v>
      </c>
    </row>
    <row r="310" spans="1:10" x14ac:dyDescent="0.25">
      <c r="A310" s="4">
        <v>61765.891595000081</v>
      </c>
      <c r="B310" s="3">
        <v>0</v>
      </c>
      <c r="C310" s="3">
        <v>0</v>
      </c>
      <c r="D310" s="3">
        <v>0</v>
      </c>
      <c r="E310" s="3">
        <v>0</v>
      </c>
      <c r="F310" s="3">
        <v>0</v>
      </c>
      <c r="G310" s="3">
        <v>78.757900000000006</v>
      </c>
      <c r="H310" s="3">
        <v>0</v>
      </c>
      <c r="I310" s="3">
        <v>0</v>
      </c>
      <c r="J310" s="3">
        <v>0</v>
      </c>
    </row>
    <row r="311" spans="1:10" x14ac:dyDescent="0.25">
      <c r="A311" s="4">
        <v>61772.548795000082</v>
      </c>
      <c r="B311" s="3">
        <v>0</v>
      </c>
      <c r="C311" s="3">
        <v>0</v>
      </c>
      <c r="D311" s="3">
        <v>0</v>
      </c>
      <c r="E311" s="3">
        <v>0</v>
      </c>
      <c r="F311" s="3">
        <v>0</v>
      </c>
      <c r="G311" s="3">
        <v>78.757900000000006</v>
      </c>
      <c r="H311" s="3">
        <v>0</v>
      </c>
      <c r="I311" s="3">
        <v>0</v>
      </c>
      <c r="J311" s="3">
        <v>0</v>
      </c>
    </row>
    <row r="312" spans="1:10" x14ac:dyDescent="0.25">
      <c r="A312" s="4">
        <v>61772.548795000082</v>
      </c>
      <c r="B312" s="3">
        <v>0</v>
      </c>
      <c r="C312" s="3">
        <v>0</v>
      </c>
      <c r="D312" s="3">
        <v>0</v>
      </c>
      <c r="E312" s="3">
        <v>0</v>
      </c>
      <c r="F312" s="3">
        <v>0</v>
      </c>
      <c r="G312" s="3">
        <v>0</v>
      </c>
      <c r="H312" s="3">
        <v>78.983999999999995</v>
      </c>
      <c r="I312" s="3">
        <v>0</v>
      </c>
      <c r="J312" s="3">
        <v>0</v>
      </c>
    </row>
    <row r="313" spans="1:10" x14ac:dyDescent="0.25">
      <c r="A313" s="4">
        <v>61780.024795000078</v>
      </c>
      <c r="B313" s="3">
        <v>0</v>
      </c>
      <c r="C313" s="3">
        <v>0</v>
      </c>
      <c r="D313" s="3">
        <v>0</v>
      </c>
      <c r="E313" s="3">
        <v>0</v>
      </c>
      <c r="F313" s="3">
        <v>0</v>
      </c>
      <c r="G313" s="3">
        <v>0</v>
      </c>
      <c r="H313" s="3">
        <v>78.983999999999995</v>
      </c>
      <c r="I313" s="3">
        <v>0</v>
      </c>
      <c r="J313" s="3">
        <v>0</v>
      </c>
    </row>
    <row r="314" spans="1:10" x14ac:dyDescent="0.25">
      <c r="A314" s="4">
        <v>61780.024795000078</v>
      </c>
      <c r="B314" s="3">
        <v>0</v>
      </c>
      <c r="C314" s="3">
        <v>0</v>
      </c>
      <c r="D314" s="3">
        <v>0</v>
      </c>
      <c r="E314" s="3">
        <v>0</v>
      </c>
      <c r="F314" s="3">
        <v>0</v>
      </c>
      <c r="G314" s="3">
        <v>78.991299999999995</v>
      </c>
      <c r="H314" s="3">
        <v>0</v>
      </c>
      <c r="I314" s="3">
        <v>0</v>
      </c>
      <c r="J314" s="3">
        <v>0</v>
      </c>
    </row>
    <row r="315" spans="1:10" x14ac:dyDescent="0.25">
      <c r="A315" s="4">
        <v>61804.054795000076</v>
      </c>
      <c r="B315" s="3">
        <v>0</v>
      </c>
      <c r="C315" s="3">
        <v>0</v>
      </c>
      <c r="D315" s="3">
        <v>0</v>
      </c>
      <c r="E315" s="3">
        <v>0</v>
      </c>
      <c r="F315" s="3">
        <v>0</v>
      </c>
      <c r="G315" s="3">
        <v>78.991299999999995</v>
      </c>
      <c r="H315" s="3">
        <v>0</v>
      </c>
      <c r="I315" s="3">
        <v>0</v>
      </c>
      <c r="J315" s="3">
        <v>0</v>
      </c>
    </row>
    <row r="316" spans="1:10" x14ac:dyDescent="0.25">
      <c r="A316" s="4">
        <v>61804.054795000076</v>
      </c>
      <c r="B316" s="3">
        <v>0</v>
      </c>
      <c r="C316" s="3">
        <v>0</v>
      </c>
      <c r="D316" s="3">
        <v>0</v>
      </c>
      <c r="E316" s="3">
        <v>0</v>
      </c>
      <c r="F316" s="3">
        <v>0</v>
      </c>
      <c r="G316" s="3">
        <v>79.226200000000006</v>
      </c>
      <c r="H316" s="3">
        <v>0</v>
      </c>
      <c r="I316" s="3">
        <v>0</v>
      </c>
      <c r="J316" s="3">
        <v>0</v>
      </c>
    </row>
    <row r="317" spans="1:10" x14ac:dyDescent="0.25">
      <c r="A317" s="4">
        <v>61819.451795000074</v>
      </c>
      <c r="B317" s="3">
        <v>0</v>
      </c>
      <c r="C317" s="3">
        <v>0</v>
      </c>
      <c r="D317" s="3">
        <v>0</v>
      </c>
      <c r="E317" s="3">
        <v>0</v>
      </c>
      <c r="F317" s="3">
        <v>0</v>
      </c>
      <c r="G317" s="3">
        <v>79.226200000000006</v>
      </c>
      <c r="H317" s="3">
        <v>0</v>
      </c>
      <c r="I317" s="3">
        <v>0</v>
      </c>
      <c r="J317" s="3">
        <v>0</v>
      </c>
    </row>
    <row r="318" spans="1:10" x14ac:dyDescent="0.25">
      <c r="A318" s="4">
        <v>61819.451795000074</v>
      </c>
      <c r="B318" s="3">
        <v>0</v>
      </c>
      <c r="C318" s="3">
        <v>0</v>
      </c>
      <c r="D318" s="3">
        <v>0</v>
      </c>
      <c r="E318" s="3">
        <v>0</v>
      </c>
      <c r="F318" s="3">
        <v>0</v>
      </c>
      <c r="G318" s="3">
        <v>79.462400000000002</v>
      </c>
      <c r="H318" s="3">
        <v>0</v>
      </c>
      <c r="I318" s="3">
        <v>0</v>
      </c>
      <c r="J318" s="3">
        <v>0</v>
      </c>
    </row>
    <row r="319" spans="1:10" x14ac:dyDescent="0.25">
      <c r="A319" s="4">
        <v>61877.90699500007</v>
      </c>
      <c r="B319" s="3">
        <v>0</v>
      </c>
      <c r="C319" s="3">
        <v>0</v>
      </c>
      <c r="D319" s="3">
        <v>0</v>
      </c>
      <c r="E319" s="3">
        <v>0</v>
      </c>
      <c r="F319" s="3">
        <v>0</v>
      </c>
      <c r="G319" s="3">
        <v>79.462400000000002</v>
      </c>
      <c r="H319" s="3">
        <v>0</v>
      </c>
      <c r="I319" s="3">
        <v>0</v>
      </c>
      <c r="J319" s="3">
        <v>0</v>
      </c>
    </row>
    <row r="320" spans="1:10" x14ac:dyDescent="0.25">
      <c r="A320" s="4">
        <v>61877.90699500007</v>
      </c>
      <c r="B320" s="3">
        <v>0</v>
      </c>
      <c r="C320" s="3">
        <v>0</v>
      </c>
      <c r="D320" s="3">
        <v>0</v>
      </c>
      <c r="E320" s="3">
        <v>0</v>
      </c>
      <c r="F320" s="3">
        <v>0</v>
      </c>
      <c r="G320" s="3">
        <v>0</v>
      </c>
      <c r="H320" s="3">
        <v>79.548400000000001</v>
      </c>
      <c r="I320" s="3">
        <v>0</v>
      </c>
      <c r="J320" s="3">
        <v>0</v>
      </c>
    </row>
    <row r="321" spans="1:10" x14ac:dyDescent="0.25">
      <c r="A321" s="4">
        <v>61919.736995000072</v>
      </c>
      <c r="B321" s="3">
        <v>0</v>
      </c>
      <c r="C321" s="3">
        <v>0</v>
      </c>
      <c r="D321" s="3">
        <v>0</v>
      </c>
      <c r="E321" s="3">
        <v>0</v>
      </c>
      <c r="F321" s="3">
        <v>0</v>
      </c>
      <c r="G321" s="3">
        <v>0</v>
      </c>
      <c r="H321" s="3">
        <v>79.548400000000001</v>
      </c>
      <c r="I321" s="3">
        <v>0</v>
      </c>
      <c r="J321" s="3">
        <v>0</v>
      </c>
    </row>
    <row r="322" spans="1:10" x14ac:dyDescent="0.25">
      <c r="A322" s="4">
        <v>61919.736995000072</v>
      </c>
      <c r="B322" s="3">
        <v>0</v>
      </c>
      <c r="C322" s="3">
        <v>0</v>
      </c>
      <c r="D322" s="3">
        <v>0</v>
      </c>
      <c r="E322" s="3">
        <v>0</v>
      </c>
      <c r="F322" s="3">
        <v>0</v>
      </c>
      <c r="G322" s="3">
        <v>79.939300000000003</v>
      </c>
      <c r="H322" s="3">
        <v>0</v>
      </c>
      <c r="I322" s="3">
        <v>0</v>
      </c>
      <c r="J322" s="3">
        <v>0</v>
      </c>
    </row>
    <row r="323" spans="1:10" x14ac:dyDescent="0.25">
      <c r="A323" s="4">
        <v>61923.29699500007</v>
      </c>
      <c r="B323" s="3">
        <v>0</v>
      </c>
      <c r="C323" s="3">
        <v>0</v>
      </c>
      <c r="D323" s="3">
        <v>0</v>
      </c>
      <c r="E323" s="3">
        <v>0</v>
      </c>
      <c r="F323" s="3">
        <v>0</v>
      </c>
      <c r="G323" s="3">
        <v>79.939300000000003</v>
      </c>
      <c r="H323" s="3">
        <v>0</v>
      </c>
      <c r="I323" s="3">
        <v>0</v>
      </c>
      <c r="J323" s="3">
        <v>0</v>
      </c>
    </row>
    <row r="324" spans="1:10" x14ac:dyDescent="0.25">
      <c r="A324" s="4">
        <v>61923.29699500007</v>
      </c>
      <c r="B324" s="3">
        <v>0</v>
      </c>
      <c r="C324" s="3">
        <v>0</v>
      </c>
      <c r="D324" s="3">
        <v>0</v>
      </c>
      <c r="E324" s="3">
        <v>0</v>
      </c>
      <c r="F324" s="3">
        <v>0</v>
      </c>
      <c r="G324" s="3">
        <v>0</v>
      </c>
      <c r="H324" s="3">
        <v>80.121099999999998</v>
      </c>
      <c r="I324" s="3">
        <v>0</v>
      </c>
      <c r="J324" s="3">
        <v>0</v>
      </c>
    </row>
    <row r="325" spans="1:10" x14ac:dyDescent="0.25">
      <c r="A325" s="4">
        <v>61932.374995000071</v>
      </c>
      <c r="B325" s="3">
        <v>0</v>
      </c>
      <c r="C325" s="3">
        <v>0</v>
      </c>
      <c r="D325" s="3">
        <v>0</v>
      </c>
      <c r="E325" s="3">
        <v>0</v>
      </c>
      <c r="F325" s="3">
        <v>0</v>
      </c>
      <c r="G325" s="3">
        <v>0</v>
      </c>
      <c r="H325" s="3">
        <v>80.121099999999998</v>
      </c>
      <c r="I325" s="3">
        <v>0</v>
      </c>
      <c r="J325" s="3">
        <v>0</v>
      </c>
    </row>
    <row r="326" spans="1:10" x14ac:dyDescent="0.25">
      <c r="A326" s="4">
        <v>61932.374995000071</v>
      </c>
      <c r="B326" s="3">
        <v>0</v>
      </c>
      <c r="C326" s="3">
        <v>0</v>
      </c>
      <c r="D326" s="3">
        <v>0</v>
      </c>
      <c r="E326" s="3">
        <v>0</v>
      </c>
      <c r="F326" s="3">
        <v>0</v>
      </c>
      <c r="G326" s="3">
        <v>80.179900000000004</v>
      </c>
      <c r="H326" s="3">
        <v>0</v>
      </c>
      <c r="I326" s="3">
        <v>0</v>
      </c>
      <c r="J326" s="3">
        <v>0</v>
      </c>
    </row>
    <row r="327" spans="1:10" x14ac:dyDescent="0.25">
      <c r="A327" s="4">
        <v>61950.530995000074</v>
      </c>
      <c r="B327" s="3">
        <v>0</v>
      </c>
      <c r="C327" s="3">
        <v>0</v>
      </c>
      <c r="D327" s="3">
        <v>0</v>
      </c>
      <c r="E327" s="3">
        <v>0</v>
      </c>
      <c r="F327" s="3">
        <v>0</v>
      </c>
      <c r="G327" s="3">
        <v>80.179900000000004</v>
      </c>
      <c r="H327" s="3">
        <v>0</v>
      </c>
      <c r="I327" s="3">
        <v>0</v>
      </c>
      <c r="J327" s="3">
        <v>0</v>
      </c>
    </row>
    <row r="328" spans="1:10" x14ac:dyDescent="0.25">
      <c r="A328" s="4">
        <v>61950.530995000074</v>
      </c>
      <c r="B328" s="3">
        <v>0</v>
      </c>
      <c r="C328" s="3">
        <v>0</v>
      </c>
      <c r="D328" s="3">
        <v>0</v>
      </c>
      <c r="E328" s="3">
        <v>0</v>
      </c>
      <c r="F328" s="3">
        <v>0</v>
      </c>
      <c r="G328" s="3">
        <v>80.665499999999994</v>
      </c>
      <c r="H328" s="3">
        <v>0</v>
      </c>
      <c r="I328" s="3">
        <v>0</v>
      </c>
      <c r="J328" s="3">
        <v>0</v>
      </c>
    </row>
    <row r="329" spans="1:10" x14ac:dyDescent="0.25">
      <c r="A329" s="4">
        <v>61960.320995000075</v>
      </c>
      <c r="B329" s="3">
        <v>0</v>
      </c>
      <c r="C329" s="3">
        <v>0</v>
      </c>
      <c r="D329" s="3">
        <v>0</v>
      </c>
      <c r="E329" s="3">
        <v>0</v>
      </c>
      <c r="F329" s="3">
        <v>0</v>
      </c>
      <c r="G329" s="3">
        <v>80.665499999999994</v>
      </c>
      <c r="H329" s="3">
        <v>0</v>
      </c>
      <c r="I329" s="3">
        <v>0</v>
      </c>
      <c r="J329" s="3">
        <v>0</v>
      </c>
    </row>
    <row r="330" spans="1:10" x14ac:dyDescent="0.25">
      <c r="A330" s="4">
        <v>61960.320995000075</v>
      </c>
      <c r="B330" s="3">
        <v>0</v>
      </c>
      <c r="C330" s="3">
        <v>0</v>
      </c>
      <c r="D330" s="3">
        <v>0</v>
      </c>
      <c r="E330" s="3">
        <v>0</v>
      </c>
      <c r="F330" s="3">
        <v>0</v>
      </c>
      <c r="G330" s="3">
        <v>0</v>
      </c>
      <c r="H330" s="3">
        <v>80.702299999999994</v>
      </c>
      <c r="I330" s="3">
        <v>0</v>
      </c>
      <c r="J330" s="3">
        <v>0</v>
      </c>
    </row>
    <row r="331" spans="1:10" x14ac:dyDescent="0.25">
      <c r="A331" s="4">
        <v>64922.398354004661</v>
      </c>
      <c r="B331" s="3">
        <v>0</v>
      </c>
      <c r="C331" s="3">
        <v>0</v>
      </c>
      <c r="D331" s="3">
        <v>0</v>
      </c>
      <c r="E331" s="3">
        <v>0</v>
      </c>
      <c r="F331" s="3">
        <v>0</v>
      </c>
      <c r="G331" s="3">
        <v>0</v>
      </c>
      <c r="H331" s="3">
        <v>80.702299999999994</v>
      </c>
      <c r="I331" s="3">
        <v>0</v>
      </c>
      <c r="J331" s="3">
        <v>0</v>
      </c>
    </row>
    <row r="332" spans="1:10" x14ac:dyDescent="0.25">
      <c r="A332" s="4">
        <v>64922.398354004661</v>
      </c>
      <c r="B332" s="3">
        <v>0</v>
      </c>
      <c r="C332" s="3">
        <v>0</v>
      </c>
      <c r="D332" s="3">
        <v>0</v>
      </c>
      <c r="E332" s="3">
        <v>0</v>
      </c>
      <c r="F332" s="3">
        <v>0</v>
      </c>
      <c r="G332" s="3">
        <v>81.157300000000006</v>
      </c>
      <c r="H332" s="3">
        <v>0</v>
      </c>
      <c r="I332" s="3">
        <v>0</v>
      </c>
      <c r="J332" s="3">
        <v>0</v>
      </c>
    </row>
    <row r="333" spans="1:10" x14ac:dyDescent="0.25">
      <c r="A333" s="4">
        <v>64935.74835400466</v>
      </c>
      <c r="B333" s="3">
        <v>0</v>
      </c>
      <c r="C333" s="3">
        <v>0</v>
      </c>
      <c r="D333" s="3">
        <v>0</v>
      </c>
      <c r="E333" s="3">
        <v>0</v>
      </c>
      <c r="F333" s="3">
        <v>0</v>
      </c>
      <c r="G333" s="3">
        <v>81.157300000000006</v>
      </c>
      <c r="H333" s="3">
        <v>0</v>
      </c>
      <c r="I333" s="3">
        <v>0</v>
      </c>
      <c r="J333" s="3">
        <v>0</v>
      </c>
    </row>
    <row r="334" spans="1:10" x14ac:dyDescent="0.25">
      <c r="A334" s="4">
        <v>64935.74835400466</v>
      </c>
      <c r="B334" s="3">
        <v>0</v>
      </c>
      <c r="C334" s="3">
        <v>0</v>
      </c>
      <c r="D334" s="3">
        <v>0</v>
      </c>
      <c r="E334" s="3">
        <v>0</v>
      </c>
      <c r="F334" s="3">
        <v>0</v>
      </c>
      <c r="G334" s="3">
        <v>81.4054</v>
      </c>
      <c r="H334" s="3">
        <v>0</v>
      </c>
      <c r="I334" s="3">
        <v>0</v>
      </c>
      <c r="J334" s="3">
        <v>0</v>
      </c>
    </row>
    <row r="335" spans="1:10" x14ac:dyDescent="0.25">
      <c r="A335" s="4">
        <v>64956.307354004661</v>
      </c>
      <c r="B335" s="3">
        <v>0</v>
      </c>
      <c r="C335" s="3">
        <v>0</v>
      </c>
      <c r="D335" s="3">
        <v>0</v>
      </c>
      <c r="E335" s="3">
        <v>0</v>
      </c>
      <c r="F335" s="3">
        <v>0</v>
      </c>
      <c r="G335" s="3">
        <v>81.4054</v>
      </c>
      <c r="H335" s="3">
        <v>0</v>
      </c>
      <c r="I335" s="3">
        <v>0</v>
      </c>
      <c r="J335" s="3">
        <v>0</v>
      </c>
    </row>
    <row r="336" spans="1:10" x14ac:dyDescent="0.25">
      <c r="A336" s="4">
        <v>64956.307354004661</v>
      </c>
      <c r="B336" s="3">
        <v>0</v>
      </c>
      <c r="C336" s="3">
        <v>0</v>
      </c>
      <c r="D336" s="3">
        <v>0</v>
      </c>
      <c r="E336" s="3">
        <v>0</v>
      </c>
      <c r="F336" s="3">
        <v>0</v>
      </c>
      <c r="G336" s="3">
        <v>81.655100000000004</v>
      </c>
      <c r="H336" s="3">
        <v>0</v>
      </c>
      <c r="I336" s="3">
        <v>0</v>
      </c>
      <c r="J336" s="3">
        <v>0</v>
      </c>
    </row>
    <row r="337" spans="1:10" x14ac:dyDescent="0.25">
      <c r="A337" s="4">
        <v>65188.597354004662</v>
      </c>
      <c r="B337" s="3">
        <v>0</v>
      </c>
      <c r="C337" s="3">
        <v>0</v>
      </c>
      <c r="D337" s="3">
        <v>0</v>
      </c>
      <c r="E337" s="3">
        <v>0</v>
      </c>
      <c r="F337" s="3">
        <v>0</v>
      </c>
      <c r="G337" s="3">
        <v>81.655100000000004</v>
      </c>
      <c r="H337" s="3">
        <v>0</v>
      </c>
      <c r="I337" s="3">
        <v>0</v>
      </c>
      <c r="J337" s="3">
        <v>0</v>
      </c>
    </row>
    <row r="338" spans="1:10" x14ac:dyDescent="0.25">
      <c r="A338" s="4">
        <v>65188.597354004662</v>
      </c>
      <c r="B338" s="3">
        <v>0</v>
      </c>
      <c r="C338" s="3">
        <v>0</v>
      </c>
      <c r="D338" s="3">
        <v>0</v>
      </c>
      <c r="E338" s="3">
        <v>0</v>
      </c>
      <c r="F338" s="3">
        <v>0</v>
      </c>
      <c r="G338" s="3">
        <v>81.906400000000005</v>
      </c>
      <c r="H338" s="3">
        <v>0</v>
      </c>
      <c r="I338" s="3">
        <v>0</v>
      </c>
      <c r="J338" s="3">
        <v>0</v>
      </c>
    </row>
    <row r="339" spans="1:10" x14ac:dyDescent="0.25">
      <c r="A339" s="4">
        <v>65212.571907004662</v>
      </c>
      <c r="B339" s="3">
        <v>0</v>
      </c>
      <c r="C339" s="3">
        <v>0</v>
      </c>
      <c r="D339" s="3">
        <v>0</v>
      </c>
      <c r="E339" s="3">
        <v>0</v>
      </c>
      <c r="F339" s="3">
        <v>0</v>
      </c>
      <c r="G339" s="3">
        <v>81.906400000000005</v>
      </c>
      <c r="H339" s="3">
        <v>0</v>
      </c>
      <c r="I339" s="3">
        <v>0</v>
      </c>
      <c r="J339" s="3">
        <v>0</v>
      </c>
    </row>
    <row r="340" spans="1:10" x14ac:dyDescent="0.25">
      <c r="A340" s="4">
        <v>65212.571907004662</v>
      </c>
      <c r="B340" s="3">
        <v>0</v>
      </c>
      <c r="C340" s="3">
        <v>0</v>
      </c>
      <c r="D340" s="3">
        <v>0</v>
      </c>
      <c r="E340" s="3">
        <v>0</v>
      </c>
      <c r="F340" s="3">
        <v>0</v>
      </c>
      <c r="G340" s="3">
        <v>82.159199999999998</v>
      </c>
      <c r="H340" s="3">
        <v>0</v>
      </c>
      <c r="I340" s="3">
        <v>0</v>
      </c>
      <c r="J340" s="3">
        <v>0</v>
      </c>
    </row>
    <row r="341" spans="1:10" x14ac:dyDescent="0.25">
      <c r="A341" s="4">
        <v>65223.339839004657</v>
      </c>
      <c r="B341" s="3">
        <v>0</v>
      </c>
      <c r="C341" s="3">
        <v>0</v>
      </c>
      <c r="D341" s="3">
        <v>0</v>
      </c>
      <c r="E341" s="3">
        <v>0</v>
      </c>
      <c r="F341" s="3">
        <v>0</v>
      </c>
      <c r="G341" s="3">
        <v>82.159199999999998</v>
      </c>
      <c r="H341" s="3">
        <v>0</v>
      </c>
      <c r="I341" s="3">
        <v>0</v>
      </c>
      <c r="J341" s="3">
        <v>0</v>
      </c>
    </row>
    <row r="342" spans="1:10" x14ac:dyDescent="0.25">
      <c r="A342" s="4">
        <v>65223.339839004657</v>
      </c>
      <c r="B342" s="3">
        <v>0</v>
      </c>
      <c r="C342" s="3">
        <v>0</v>
      </c>
      <c r="D342" s="3">
        <v>0</v>
      </c>
      <c r="E342" s="3">
        <v>0</v>
      </c>
      <c r="F342" s="3">
        <v>0</v>
      </c>
      <c r="G342" s="3">
        <v>83.974699999999999</v>
      </c>
      <c r="H342" s="3">
        <v>0</v>
      </c>
      <c r="I342" s="3">
        <v>0</v>
      </c>
      <c r="J342" s="3">
        <v>0</v>
      </c>
    </row>
    <row r="343" spans="1:10" x14ac:dyDescent="0.25">
      <c r="A343" s="4">
        <v>65250.039839004654</v>
      </c>
      <c r="B343" s="3">
        <v>0</v>
      </c>
      <c r="C343" s="3">
        <v>0</v>
      </c>
      <c r="D343" s="3">
        <v>0</v>
      </c>
      <c r="E343" s="3">
        <v>0</v>
      </c>
      <c r="F343" s="3">
        <v>0</v>
      </c>
      <c r="G343" s="3">
        <v>83.974699999999999</v>
      </c>
      <c r="H343" s="3">
        <v>0</v>
      </c>
      <c r="I343" s="3">
        <v>0</v>
      </c>
      <c r="J343" s="3">
        <v>0</v>
      </c>
    </row>
    <row r="344" spans="1:10" x14ac:dyDescent="0.25">
      <c r="A344" s="4">
        <v>65250.039839004654</v>
      </c>
      <c r="B344" s="3">
        <v>0</v>
      </c>
      <c r="C344" s="3">
        <v>0</v>
      </c>
      <c r="D344" s="3">
        <v>0</v>
      </c>
      <c r="E344" s="3">
        <v>0</v>
      </c>
      <c r="F344" s="3">
        <v>0</v>
      </c>
      <c r="G344" s="3">
        <v>84.240799999999993</v>
      </c>
      <c r="H344" s="3">
        <v>0</v>
      </c>
      <c r="I344" s="3">
        <v>0</v>
      </c>
      <c r="J344" s="3">
        <v>0</v>
      </c>
    </row>
    <row r="345" spans="1:10" x14ac:dyDescent="0.25">
      <c r="A345" s="4">
        <v>65509.474839004659</v>
      </c>
      <c r="B345" s="3">
        <v>0</v>
      </c>
      <c r="C345" s="3">
        <v>0</v>
      </c>
      <c r="D345" s="3">
        <v>0</v>
      </c>
      <c r="E345" s="3">
        <v>0</v>
      </c>
      <c r="F345" s="3">
        <v>0</v>
      </c>
      <c r="G345" s="3">
        <v>84.240799999999993</v>
      </c>
      <c r="H345" s="3">
        <v>0</v>
      </c>
      <c r="I345" s="3">
        <v>0</v>
      </c>
      <c r="J345" s="3">
        <v>0</v>
      </c>
    </row>
    <row r="346" spans="1:10" x14ac:dyDescent="0.25">
      <c r="A346" s="4">
        <v>65509.474839004659</v>
      </c>
      <c r="B346" s="3">
        <v>0</v>
      </c>
      <c r="C346" s="3">
        <v>0</v>
      </c>
      <c r="D346" s="3">
        <v>0</v>
      </c>
      <c r="E346" s="3">
        <v>0</v>
      </c>
      <c r="F346" s="3">
        <v>0</v>
      </c>
      <c r="G346" s="3">
        <v>0</v>
      </c>
      <c r="H346" s="3">
        <v>84.376499999999993</v>
      </c>
      <c r="I346" s="3">
        <v>0</v>
      </c>
      <c r="J346" s="3">
        <v>0</v>
      </c>
    </row>
    <row r="347" spans="1:10" x14ac:dyDescent="0.25">
      <c r="A347" s="4">
        <v>65609.154839004652</v>
      </c>
      <c r="B347" s="3">
        <v>0</v>
      </c>
      <c r="C347" s="3">
        <v>0</v>
      </c>
      <c r="D347" s="3">
        <v>0</v>
      </c>
      <c r="E347" s="3">
        <v>0</v>
      </c>
      <c r="F347" s="3">
        <v>0</v>
      </c>
      <c r="G347" s="3">
        <v>0</v>
      </c>
      <c r="H347" s="3">
        <v>84.376499999999993</v>
      </c>
      <c r="I347" s="3">
        <v>0</v>
      </c>
      <c r="J347" s="3">
        <v>0</v>
      </c>
    </row>
    <row r="348" spans="1:10" x14ac:dyDescent="0.25">
      <c r="A348" s="4">
        <v>65609.154839004652</v>
      </c>
      <c r="B348" s="3">
        <v>0</v>
      </c>
      <c r="C348" s="3">
        <v>0</v>
      </c>
      <c r="D348" s="3">
        <v>0</v>
      </c>
      <c r="E348" s="3">
        <v>0</v>
      </c>
      <c r="F348" s="3">
        <v>0</v>
      </c>
      <c r="G348" s="3">
        <v>86.998800000000003</v>
      </c>
      <c r="H348" s="3">
        <v>0</v>
      </c>
      <c r="I348" s="3">
        <v>0</v>
      </c>
      <c r="J348" s="3">
        <v>0</v>
      </c>
    </row>
    <row r="349" spans="1:10" x14ac:dyDescent="0.25">
      <c r="A349" s="4">
        <v>65788.934839004651</v>
      </c>
      <c r="B349" s="3">
        <v>0</v>
      </c>
      <c r="C349" s="3">
        <v>0</v>
      </c>
      <c r="D349" s="3">
        <v>0</v>
      </c>
      <c r="E349" s="3">
        <v>0</v>
      </c>
      <c r="F349" s="3">
        <v>0</v>
      </c>
      <c r="G349" s="3">
        <v>86.998800000000003</v>
      </c>
      <c r="H349" s="3">
        <v>0</v>
      </c>
      <c r="I349" s="3">
        <v>0</v>
      </c>
      <c r="J349" s="3">
        <v>0</v>
      </c>
    </row>
    <row r="350" spans="1:10" x14ac:dyDescent="0.25">
      <c r="A350" s="4">
        <v>65788.934839004651</v>
      </c>
      <c r="B350" s="3">
        <v>0</v>
      </c>
      <c r="C350" s="3">
        <v>0</v>
      </c>
      <c r="D350" s="3">
        <v>0</v>
      </c>
      <c r="E350" s="3">
        <v>0</v>
      </c>
      <c r="F350" s="3">
        <v>0</v>
      </c>
      <c r="G350" s="3">
        <v>87.572599999999994</v>
      </c>
      <c r="H350" s="3">
        <v>0</v>
      </c>
      <c r="I350" s="3">
        <v>0</v>
      </c>
      <c r="J350" s="3">
        <v>0</v>
      </c>
    </row>
    <row r="351" spans="1:10" x14ac:dyDescent="0.25">
      <c r="A351" s="4">
        <v>65863.694839004645</v>
      </c>
      <c r="B351" s="3">
        <v>0</v>
      </c>
      <c r="C351" s="3">
        <v>0</v>
      </c>
      <c r="D351" s="3">
        <v>0</v>
      </c>
      <c r="E351" s="3">
        <v>0</v>
      </c>
      <c r="F351" s="3">
        <v>0</v>
      </c>
      <c r="G351" s="3">
        <v>87.572599999999994</v>
      </c>
      <c r="H351" s="3">
        <v>0</v>
      </c>
      <c r="I351" s="3">
        <v>0</v>
      </c>
      <c r="J351" s="3">
        <v>0</v>
      </c>
    </row>
    <row r="352" spans="1:10" x14ac:dyDescent="0.25">
      <c r="A352" s="4">
        <v>65863.694839004645</v>
      </c>
      <c r="B352" s="3">
        <v>0</v>
      </c>
      <c r="C352" s="3">
        <v>0</v>
      </c>
      <c r="D352" s="3">
        <v>0</v>
      </c>
      <c r="E352" s="3">
        <v>0</v>
      </c>
      <c r="F352" s="3">
        <v>0</v>
      </c>
      <c r="G352" s="3">
        <v>87.862399999999994</v>
      </c>
      <c r="H352" s="3">
        <v>0</v>
      </c>
      <c r="I352" s="3">
        <v>0</v>
      </c>
      <c r="J352" s="3">
        <v>0</v>
      </c>
    </row>
    <row r="353" spans="1:10" x14ac:dyDescent="0.25">
      <c r="A353" s="4">
        <v>65873.484839004639</v>
      </c>
      <c r="B353" s="3">
        <v>0</v>
      </c>
      <c r="C353" s="3">
        <v>0</v>
      </c>
      <c r="D353" s="3">
        <v>0</v>
      </c>
      <c r="E353" s="3">
        <v>0</v>
      </c>
      <c r="F353" s="3">
        <v>0</v>
      </c>
      <c r="G353" s="3">
        <v>87.862399999999994</v>
      </c>
      <c r="H353" s="3">
        <v>0</v>
      </c>
      <c r="I353" s="3">
        <v>0</v>
      </c>
      <c r="J353" s="3">
        <v>0</v>
      </c>
    </row>
    <row r="354" spans="1:10" x14ac:dyDescent="0.25">
      <c r="A354" s="4">
        <v>65873.484839004639</v>
      </c>
      <c r="B354" s="3">
        <v>0</v>
      </c>
      <c r="C354" s="3">
        <v>0</v>
      </c>
      <c r="D354" s="3">
        <v>0</v>
      </c>
      <c r="E354" s="3">
        <v>0</v>
      </c>
      <c r="F354" s="3">
        <v>0</v>
      </c>
      <c r="G354" s="3">
        <v>89.947000000000003</v>
      </c>
      <c r="H354" s="3">
        <v>0</v>
      </c>
      <c r="I354" s="3">
        <v>0</v>
      </c>
      <c r="J354" s="3">
        <v>0</v>
      </c>
    </row>
    <row r="355" spans="1:10" x14ac:dyDescent="0.25">
      <c r="A355" s="4">
        <v>65885.944839004645</v>
      </c>
      <c r="B355" s="3">
        <v>0</v>
      </c>
      <c r="C355" s="3">
        <v>0</v>
      </c>
      <c r="D355" s="3">
        <v>0</v>
      </c>
      <c r="E355" s="3">
        <v>0</v>
      </c>
      <c r="F355" s="3">
        <v>0</v>
      </c>
      <c r="G355" s="3">
        <v>89.947000000000003</v>
      </c>
      <c r="H355" s="3">
        <v>0</v>
      </c>
      <c r="I355" s="3">
        <v>0</v>
      </c>
      <c r="J355" s="3">
        <v>0</v>
      </c>
    </row>
    <row r="356" spans="1:10" x14ac:dyDescent="0.25">
      <c r="A356" s="4">
        <v>65885.944839004645</v>
      </c>
      <c r="B356" s="3">
        <v>0</v>
      </c>
      <c r="C356" s="3">
        <v>0</v>
      </c>
      <c r="D356" s="3">
        <v>0</v>
      </c>
      <c r="E356" s="3">
        <v>0</v>
      </c>
      <c r="F356" s="3">
        <v>0</v>
      </c>
      <c r="G356" s="3">
        <v>0</v>
      </c>
      <c r="H356" s="3">
        <v>90.5702</v>
      </c>
      <c r="I356" s="3">
        <v>0</v>
      </c>
      <c r="J356" s="3">
        <v>0</v>
      </c>
    </row>
    <row r="357" spans="1:10" x14ac:dyDescent="0.25">
      <c r="A357" s="4">
        <v>66015.617839004641</v>
      </c>
      <c r="B357" s="3">
        <v>0</v>
      </c>
      <c r="C357" s="3">
        <v>0</v>
      </c>
      <c r="D357" s="3">
        <v>0</v>
      </c>
      <c r="E357" s="3">
        <v>0</v>
      </c>
      <c r="F357" s="3">
        <v>0</v>
      </c>
      <c r="G357" s="3">
        <v>0</v>
      </c>
      <c r="H357" s="3">
        <v>90.5702</v>
      </c>
      <c r="I357" s="3">
        <v>0</v>
      </c>
      <c r="J357" s="3">
        <v>0</v>
      </c>
    </row>
    <row r="358" spans="1:10" x14ac:dyDescent="0.25">
      <c r="A358" s="4">
        <v>66015.617839004641</v>
      </c>
      <c r="B358" s="3">
        <v>0</v>
      </c>
      <c r="C358" s="3">
        <v>0</v>
      </c>
      <c r="D358" s="3">
        <v>0</v>
      </c>
      <c r="E358" s="3">
        <v>0</v>
      </c>
      <c r="F358" s="3">
        <v>90.849199999999996</v>
      </c>
      <c r="G358" s="3">
        <v>0</v>
      </c>
      <c r="H358" s="3">
        <v>0</v>
      </c>
      <c r="I358" s="3">
        <v>0</v>
      </c>
      <c r="J358" s="3">
        <v>0</v>
      </c>
    </row>
    <row r="359" spans="1:10" x14ac:dyDescent="0.25">
      <c r="A359" s="4">
        <v>66030.625039004633</v>
      </c>
      <c r="B359" s="3">
        <v>0</v>
      </c>
      <c r="C359" s="3">
        <v>0</v>
      </c>
      <c r="D359" s="3">
        <v>0</v>
      </c>
      <c r="E359" s="3">
        <v>0</v>
      </c>
      <c r="F359" s="3">
        <v>90.849199999999996</v>
      </c>
      <c r="G359" s="3">
        <v>0</v>
      </c>
      <c r="H359" s="3">
        <v>0</v>
      </c>
      <c r="I359" s="3">
        <v>0</v>
      </c>
      <c r="J359" s="3">
        <v>0</v>
      </c>
    </row>
    <row r="360" spans="1:10" x14ac:dyDescent="0.25">
      <c r="A360" s="4">
        <v>66030.625039004633</v>
      </c>
      <c r="B360" s="3">
        <v>0</v>
      </c>
      <c r="C360" s="3">
        <v>0</v>
      </c>
      <c r="D360" s="3">
        <v>0</v>
      </c>
      <c r="E360" s="3">
        <v>0</v>
      </c>
      <c r="F360" s="3">
        <v>0</v>
      </c>
      <c r="G360" s="3">
        <v>91.183999999999997</v>
      </c>
      <c r="H360" s="3">
        <v>0</v>
      </c>
      <c r="I360" s="3">
        <v>0</v>
      </c>
      <c r="J360" s="3">
        <v>0</v>
      </c>
    </row>
    <row r="361" spans="1:10" x14ac:dyDescent="0.25">
      <c r="A361" s="4">
        <v>66054.21003900464</v>
      </c>
      <c r="B361" s="3">
        <v>0</v>
      </c>
      <c r="C361" s="3">
        <v>0</v>
      </c>
      <c r="D361" s="3">
        <v>0</v>
      </c>
      <c r="E361" s="3">
        <v>0</v>
      </c>
      <c r="F361" s="3">
        <v>0</v>
      </c>
      <c r="G361" s="3">
        <v>91.183999999999997</v>
      </c>
      <c r="H361" s="3">
        <v>0</v>
      </c>
      <c r="I361" s="3">
        <v>0</v>
      </c>
      <c r="J361" s="3">
        <v>0</v>
      </c>
    </row>
    <row r="362" spans="1:10" x14ac:dyDescent="0.25">
      <c r="A362" s="4">
        <v>66054.21003900464</v>
      </c>
      <c r="B362" s="3">
        <v>0</v>
      </c>
      <c r="C362" s="3">
        <v>0</v>
      </c>
      <c r="D362" s="3">
        <v>0</v>
      </c>
      <c r="E362" s="3">
        <v>0</v>
      </c>
      <c r="F362" s="3">
        <v>0</v>
      </c>
      <c r="G362" s="3">
        <v>0</v>
      </c>
      <c r="H362" s="3">
        <v>91.315600000000003</v>
      </c>
      <c r="I362" s="3">
        <v>0</v>
      </c>
      <c r="J362" s="3">
        <v>0</v>
      </c>
    </row>
    <row r="363" spans="1:10" x14ac:dyDescent="0.25">
      <c r="A363" s="4">
        <v>66113.573039004637</v>
      </c>
      <c r="B363" s="3">
        <v>0</v>
      </c>
      <c r="C363" s="3">
        <v>0</v>
      </c>
      <c r="D363" s="3">
        <v>0</v>
      </c>
      <c r="E363" s="3">
        <v>0</v>
      </c>
      <c r="F363" s="3">
        <v>0</v>
      </c>
      <c r="G363" s="3">
        <v>0</v>
      </c>
      <c r="H363" s="3">
        <v>91.315600000000003</v>
      </c>
      <c r="I363" s="3">
        <v>0</v>
      </c>
      <c r="J363" s="3">
        <v>0</v>
      </c>
    </row>
    <row r="364" spans="1:10" x14ac:dyDescent="0.25">
      <c r="A364" s="4">
        <v>66113.573039004637</v>
      </c>
      <c r="B364" s="3">
        <v>0</v>
      </c>
      <c r="C364" s="3">
        <v>0</v>
      </c>
      <c r="D364" s="3">
        <v>0</v>
      </c>
      <c r="E364" s="3">
        <v>0</v>
      </c>
      <c r="F364" s="3">
        <v>0</v>
      </c>
      <c r="G364" s="3">
        <v>0</v>
      </c>
      <c r="H364" s="3">
        <v>92.073599999999999</v>
      </c>
      <c r="I364" s="3">
        <v>0</v>
      </c>
      <c r="J364" s="3">
        <v>0</v>
      </c>
    </row>
    <row r="365" spans="1:10" x14ac:dyDescent="0.25">
      <c r="A365" s="4">
        <v>66309.373039004626</v>
      </c>
      <c r="B365" s="3">
        <v>0</v>
      </c>
      <c r="C365" s="3">
        <v>0</v>
      </c>
      <c r="D365" s="3">
        <v>0</v>
      </c>
      <c r="E365" s="3">
        <v>0</v>
      </c>
      <c r="F365" s="3">
        <v>0</v>
      </c>
      <c r="G365" s="3">
        <v>0</v>
      </c>
      <c r="H365" s="3">
        <v>92.073599999999999</v>
      </c>
      <c r="I365" s="3">
        <v>0</v>
      </c>
      <c r="J365" s="3">
        <v>0</v>
      </c>
    </row>
    <row r="366" spans="1:10" x14ac:dyDescent="0.25">
      <c r="A366" s="4">
        <v>66309.373039004626</v>
      </c>
      <c r="B366" s="3">
        <v>0</v>
      </c>
      <c r="C366" s="3">
        <v>0</v>
      </c>
      <c r="D366" s="3">
        <v>0</v>
      </c>
      <c r="E366" s="3">
        <v>0</v>
      </c>
      <c r="F366" s="3">
        <v>0</v>
      </c>
      <c r="G366" s="3">
        <v>0</v>
      </c>
      <c r="H366" s="3">
        <v>93.628399999999999</v>
      </c>
      <c r="I366" s="3">
        <v>0</v>
      </c>
      <c r="J366" s="3">
        <v>0</v>
      </c>
    </row>
    <row r="367" spans="1:10" x14ac:dyDescent="0.25">
      <c r="A367" s="4">
        <v>66353.873039004626</v>
      </c>
      <c r="B367" s="3">
        <v>0</v>
      </c>
      <c r="C367" s="3">
        <v>0</v>
      </c>
      <c r="D367" s="3">
        <v>0</v>
      </c>
      <c r="E367" s="3">
        <v>0</v>
      </c>
      <c r="F367" s="3">
        <v>0</v>
      </c>
      <c r="G367" s="3">
        <v>0</v>
      </c>
      <c r="H367" s="3">
        <v>93.628399999999999</v>
      </c>
      <c r="I367" s="3">
        <v>0</v>
      </c>
      <c r="J367" s="3">
        <v>0</v>
      </c>
    </row>
    <row r="368" spans="1:10" x14ac:dyDescent="0.25">
      <c r="A368" s="4">
        <v>66353.873039004626</v>
      </c>
      <c r="B368" s="3">
        <v>0</v>
      </c>
      <c r="C368" s="3">
        <v>0</v>
      </c>
      <c r="D368" s="3">
        <v>0</v>
      </c>
      <c r="E368" s="3">
        <v>0</v>
      </c>
      <c r="F368" s="3">
        <v>0</v>
      </c>
      <c r="G368" s="3">
        <v>0</v>
      </c>
      <c r="H368" s="3">
        <v>98.628399999999999</v>
      </c>
      <c r="I368" s="3">
        <v>0</v>
      </c>
      <c r="J368" s="3">
        <v>0</v>
      </c>
    </row>
    <row r="369" spans="1:10" x14ac:dyDescent="0.25">
      <c r="A369" s="4">
        <v>66376.123039004626</v>
      </c>
      <c r="B369" s="3">
        <v>0</v>
      </c>
      <c r="C369" s="3">
        <v>0</v>
      </c>
      <c r="D369" s="3">
        <v>0</v>
      </c>
      <c r="E369" s="3">
        <v>0</v>
      </c>
      <c r="F369" s="3">
        <v>0</v>
      </c>
      <c r="G369" s="3">
        <v>0</v>
      </c>
      <c r="H369" s="3">
        <v>98.628399999999999</v>
      </c>
      <c r="I369" s="3">
        <v>0</v>
      </c>
      <c r="J369" s="3">
        <v>0</v>
      </c>
    </row>
    <row r="370" spans="1:10" x14ac:dyDescent="0.25">
      <c r="A370" s="4">
        <v>66376.123039004626</v>
      </c>
      <c r="B370" s="3">
        <v>0</v>
      </c>
      <c r="C370" s="3">
        <v>0</v>
      </c>
      <c r="D370" s="3">
        <v>0</v>
      </c>
      <c r="E370" s="3">
        <v>0</v>
      </c>
      <c r="F370" s="3">
        <v>0</v>
      </c>
      <c r="G370" s="3">
        <v>0</v>
      </c>
      <c r="H370" s="3">
        <v>0</v>
      </c>
      <c r="I370" s="3">
        <v>102.0119</v>
      </c>
      <c r="J370" s="3">
        <v>0</v>
      </c>
    </row>
    <row r="371" spans="1:10" x14ac:dyDescent="0.25">
      <c r="A371" s="4">
        <v>66447.361539004618</v>
      </c>
      <c r="B371" s="3">
        <v>0</v>
      </c>
      <c r="C371" s="3">
        <v>0</v>
      </c>
      <c r="D371" s="3">
        <v>0</v>
      </c>
      <c r="E371" s="3">
        <v>0</v>
      </c>
      <c r="F371" s="3">
        <v>0</v>
      </c>
      <c r="G371" s="3">
        <v>0</v>
      </c>
      <c r="H371" s="3">
        <v>0</v>
      </c>
      <c r="I371" s="3">
        <v>102.0119</v>
      </c>
      <c r="J371" s="3">
        <v>0</v>
      </c>
    </row>
    <row r="372" spans="1:10" x14ac:dyDescent="0.25">
      <c r="A372" s="4">
        <v>66447.361539004618</v>
      </c>
      <c r="B372" s="3">
        <v>0</v>
      </c>
      <c r="C372" s="3">
        <v>0</v>
      </c>
      <c r="D372" s="3">
        <v>0</v>
      </c>
      <c r="E372" s="3">
        <v>0</v>
      </c>
      <c r="F372" s="3">
        <v>0</v>
      </c>
      <c r="G372" s="3">
        <v>0</v>
      </c>
      <c r="H372" s="3">
        <v>103.2268</v>
      </c>
      <c r="I372" s="3">
        <v>0</v>
      </c>
      <c r="J372" s="3">
        <v>0</v>
      </c>
    </row>
    <row r="373" spans="1:10" x14ac:dyDescent="0.25">
      <c r="A373" s="4">
        <v>66531.199539004607</v>
      </c>
      <c r="B373" s="3">
        <v>0</v>
      </c>
      <c r="C373" s="3">
        <v>0</v>
      </c>
      <c r="D373" s="3">
        <v>0</v>
      </c>
      <c r="E373" s="3">
        <v>0</v>
      </c>
      <c r="F373" s="3">
        <v>0</v>
      </c>
      <c r="G373" s="3">
        <v>0</v>
      </c>
      <c r="H373" s="3">
        <v>103.2268</v>
      </c>
      <c r="I373" s="3">
        <v>0</v>
      </c>
      <c r="J373" s="3">
        <v>0</v>
      </c>
    </row>
    <row r="374" spans="1:10" x14ac:dyDescent="0.25">
      <c r="A374" s="4">
        <v>66531.199539004607</v>
      </c>
      <c r="B374" s="3">
        <v>0</v>
      </c>
      <c r="C374" s="3">
        <v>0</v>
      </c>
      <c r="D374" s="3">
        <v>0</v>
      </c>
      <c r="E374" s="3">
        <v>0</v>
      </c>
      <c r="F374" s="3">
        <v>0</v>
      </c>
      <c r="G374" s="3">
        <v>0</v>
      </c>
      <c r="H374" s="3">
        <v>0</v>
      </c>
      <c r="I374" s="3">
        <v>105.7854</v>
      </c>
      <c r="J374" s="3">
        <v>0</v>
      </c>
    </row>
    <row r="375" spans="1:10" x14ac:dyDescent="0.25">
      <c r="A375" s="4">
        <v>66711.399539004618</v>
      </c>
      <c r="B375" s="3">
        <v>0</v>
      </c>
      <c r="C375" s="3">
        <v>0</v>
      </c>
      <c r="D375" s="3">
        <v>0</v>
      </c>
      <c r="E375" s="3">
        <v>0</v>
      </c>
      <c r="F375" s="3">
        <v>0</v>
      </c>
      <c r="G375" s="3">
        <v>0</v>
      </c>
      <c r="H375" s="3">
        <v>0</v>
      </c>
      <c r="I375" s="3">
        <v>105.7854</v>
      </c>
      <c r="J375" s="3">
        <v>0</v>
      </c>
    </row>
    <row r="376" spans="1:10" x14ac:dyDescent="0.25">
      <c r="A376" s="4">
        <v>66711.399539004618</v>
      </c>
      <c r="B376" s="3">
        <v>0</v>
      </c>
      <c r="C376" s="3">
        <v>0</v>
      </c>
      <c r="D376" s="3">
        <v>0</v>
      </c>
      <c r="E376" s="3">
        <v>0</v>
      </c>
      <c r="F376" s="3">
        <v>0</v>
      </c>
      <c r="G376" s="3">
        <v>0</v>
      </c>
      <c r="H376" s="3">
        <v>0</v>
      </c>
      <c r="I376" s="3">
        <v>106.0873</v>
      </c>
      <c r="J376" s="3">
        <v>0</v>
      </c>
    </row>
    <row r="377" spans="1:10" x14ac:dyDescent="0.25">
      <c r="A377" s="4">
        <v>66715.47953900462</v>
      </c>
      <c r="B377" s="3">
        <v>0</v>
      </c>
      <c r="C377" s="3">
        <v>0</v>
      </c>
      <c r="D377" s="3">
        <v>0</v>
      </c>
      <c r="E377" s="3">
        <v>0</v>
      </c>
      <c r="F377" s="3">
        <v>0</v>
      </c>
      <c r="G377" s="3">
        <v>0</v>
      </c>
      <c r="H377" s="3">
        <v>0</v>
      </c>
      <c r="I377" s="3">
        <v>106.0873</v>
      </c>
      <c r="J377" s="3">
        <v>0</v>
      </c>
    </row>
    <row r="378" spans="1:10" x14ac:dyDescent="0.25">
      <c r="A378" s="4">
        <v>66715.47953900462</v>
      </c>
      <c r="B378" s="3">
        <v>0</v>
      </c>
      <c r="C378" s="3">
        <v>0</v>
      </c>
      <c r="D378" s="3">
        <v>0</v>
      </c>
      <c r="E378" s="3">
        <v>0</v>
      </c>
      <c r="F378" s="3">
        <v>0</v>
      </c>
      <c r="G378" s="3">
        <v>0</v>
      </c>
      <c r="H378" s="3">
        <v>0</v>
      </c>
      <c r="I378" s="3">
        <v>106.5575</v>
      </c>
      <c r="J378" s="3">
        <v>0</v>
      </c>
    </row>
    <row r="379" spans="1:10" x14ac:dyDescent="0.25">
      <c r="A379" s="4">
        <v>66998.699539004621</v>
      </c>
      <c r="B379" s="3">
        <v>0</v>
      </c>
      <c r="C379" s="3">
        <v>0</v>
      </c>
      <c r="D379" s="3">
        <v>0</v>
      </c>
      <c r="E379" s="3">
        <v>0</v>
      </c>
      <c r="F379" s="3">
        <v>0</v>
      </c>
      <c r="G379" s="3">
        <v>0</v>
      </c>
      <c r="H379" s="3">
        <v>0</v>
      </c>
      <c r="I379" s="3">
        <v>106.5575</v>
      </c>
      <c r="J379" s="3">
        <v>0</v>
      </c>
    </row>
    <row r="380" spans="1:10" x14ac:dyDescent="0.25">
      <c r="A380" s="4">
        <v>66998.699539004621</v>
      </c>
      <c r="B380" s="3">
        <v>0</v>
      </c>
      <c r="C380" s="3">
        <v>0</v>
      </c>
      <c r="D380" s="3">
        <v>0</v>
      </c>
      <c r="E380" s="3">
        <v>0</v>
      </c>
      <c r="F380" s="3">
        <v>0</v>
      </c>
      <c r="G380" s="3">
        <v>0</v>
      </c>
      <c r="H380" s="3">
        <v>0</v>
      </c>
      <c r="I380" s="3">
        <v>106.6965</v>
      </c>
      <c r="J380" s="3">
        <v>0</v>
      </c>
    </row>
    <row r="381" spans="1:10" x14ac:dyDescent="0.25">
      <c r="A381" s="4">
        <v>67073.295539004612</v>
      </c>
      <c r="B381" s="3">
        <v>0</v>
      </c>
      <c r="C381" s="3">
        <v>0</v>
      </c>
      <c r="D381" s="3">
        <v>0</v>
      </c>
      <c r="E381" s="3">
        <v>0</v>
      </c>
      <c r="F381" s="3">
        <v>0</v>
      </c>
      <c r="G381" s="3">
        <v>0</v>
      </c>
      <c r="H381" s="3">
        <v>0</v>
      </c>
      <c r="I381" s="3">
        <v>106.6965</v>
      </c>
      <c r="J381" s="3">
        <v>0</v>
      </c>
    </row>
    <row r="382" spans="1:10" x14ac:dyDescent="0.25">
      <c r="A382" s="4">
        <v>67073.295539004612</v>
      </c>
      <c r="B382" s="3">
        <v>0</v>
      </c>
      <c r="C382" s="3">
        <v>0</v>
      </c>
      <c r="D382" s="3">
        <v>0</v>
      </c>
      <c r="E382" s="3">
        <v>0</v>
      </c>
      <c r="F382" s="3">
        <v>0</v>
      </c>
      <c r="G382" s="3">
        <v>0</v>
      </c>
      <c r="H382" s="3">
        <v>0</v>
      </c>
      <c r="I382" s="3">
        <v>107.0038</v>
      </c>
      <c r="J382" s="3">
        <v>0</v>
      </c>
    </row>
    <row r="383" spans="1:10" x14ac:dyDescent="0.25">
      <c r="A383" s="4">
        <v>67102.620539004609</v>
      </c>
      <c r="B383" s="3">
        <v>0</v>
      </c>
      <c r="C383" s="3">
        <v>0</v>
      </c>
      <c r="D383" s="3">
        <v>0</v>
      </c>
      <c r="E383" s="3">
        <v>0</v>
      </c>
      <c r="F383" s="3">
        <v>0</v>
      </c>
      <c r="G383" s="3">
        <v>0</v>
      </c>
      <c r="H383" s="3">
        <v>0</v>
      </c>
      <c r="I383" s="3">
        <v>107.0038</v>
      </c>
      <c r="J383" s="3">
        <v>0</v>
      </c>
    </row>
    <row r="384" spans="1:10" x14ac:dyDescent="0.25">
      <c r="A384" s="4">
        <v>67102.620539004609</v>
      </c>
      <c r="B384" s="3">
        <v>0</v>
      </c>
      <c r="C384" s="3">
        <v>0</v>
      </c>
      <c r="D384" s="3">
        <v>0</v>
      </c>
      <c r="E384" s="3">
        <v>0</v>
      </c>
      <c r="F384" s="3">
        <v>0</v>
      </c>
      <c r="G384" s="3">
        <v>0</v>
      </c>
      <c r="H384" s="3">
        <v>0</v>
      </c>
      <c r="I384" s="3">
        <v>107.93640000000001</v>
      </c>
      <c r="J384" s="3">
        <v>0</v>
      </c>
    </row>
    <row r="385" spans="1:10" x14ac:dyDescent="0.25">
      <c r="A385" s="4">
        <v>67103.062539004604</v>
      </c>
      <c r="B385" s="3">
        <v>0</v>
      </c>
      <c r="C385" s="3">
        <v>0</v>
      </c>
      <c r="D385" s="3">
        <v>0</v>
      </c>
      <c r="E385" s="3">
        <v>0</v>
      </c>
      <c r="F385" s="3">
        <v>0</v>
      </c>
      <c r="G385" s="3">
        <v>0</v>
      </c>
      <c r="H385" s="3">
        <v>0</v>
      </c>
      <c r="I385" s="3">
        <v>107.93640000000001</v>
      </c>
      <c r="J385" s="3">
        <v>0</v>
      </c>
    </row>
    <row r="386" spans="1:10" x14ac:dyDescent="0.25">
      <c r="A386" s="4">
        <v>67103.062539004604</v>
      </c>
      <c r="B386" s="3">
        <v>0</v>
      </c>
      <c r="C386" s="3">
        <v>0</v>
      </c>
      <c r="D386" s="3">
        <v>0</v>
      </c>
      <c r="E386" s="3">
        <v>0</v>
      </c>
      <c r="F386" s="3">
        <v>0</v>
      </c>
      <c r="G386" s="3">
        <v>0</v>
      </c>
      <c r="H386" s="3">
        <v>0</v>
      </c>
      <c r="I386" s="3">
        <v>108.2509</v>
      </c>
      <c r="J386" s="3">
        <v>0</v>
      </c>
    </row>
    <row r="387" spans="1:10" x14ac:dyDescent="0.25">
      <c r="A387" s="4">
        <v>67449.487965364824</v>
      </c>
      <c r="B387" s="3">
        <v>0</v>
      </c>
      <c r="C387" s="3">
        <v>0</v>
      </c>
      <c r="D387" s="3">
        <v>0</v>
      </c>
      <c r="E387" s="3">
        <v>0</v>
      </c>
      <c r="F387" s="3">
        <v>0</v>
      </c>
      <c r="G387" s="3">
        <v>0</v>
      </c>
      <c r="H387" s="3">
        <v>0</v>
      </c>
      <c r="I387" s="3">
        <v>108.2509</v>
      </c>
      <c r="J387" s="3">
        <v>0</v>
      </c>
    </row>
    <row r="388" spans="1:10" x14ac:dyDescent="0.25">
      <c r="A388" s="4">
        <v>67449.487965364824</v>
      </c>
      <c r="B388" s="3">
        <v>0</v>
      </c>
      <c r="C388" s="3">
        <v>0</v>
      </c>
      <c r="D388" s="3">
        <v>0</v>
      </c>
      <c r="E388" s="3">
        <v>0</v>
      </c>
      <c r="F388" s="3">
        <v>0</v>
      </c>
      <c r="G388" s="3">
        <v>0</v>
      </c>
      <c r="H388" s="3">
        <v>0</v>
      </c>
      <c r="I388" s="3">
        <v>108.88549999999999</v>
      </c>
      <c r="J388" s="3">
        <v>0</v>
      </c>
    </row>
    <row r="389" spans="1:10" x14ac:dyDescent="0.25">
      <c r="A389" s="4">
        <v>67459.177965364826</v>
      </c>
      <c r="B389" s="3">
        <v>0</v>
      </c>
      <c r="C389" s="3">
        <v>0</v>
      </c>
      <c r="D389" s="3">
        <v>0</v>
      </c>
      <c r="E389" s="3">
        <v>0</v>
      </c>
      <c r="F389" s="3">
        <v>0</v>
      </c>
      <c r="G389" s="3">
        <v>0</v>
      </c>
      <c r="H389" s="3">
        <v>0</v>
      </c>
      <c r="I389" s="3">
        <v>108.88549999999999</v>
      </c>
      <c r="J389" s="3">
        <v>0</v>
      </c>
    </row>
    <row r="390" spans="1:10" x14ac:dyDescent="0.25">
      <c r="A390" s="4">
        <v>67459.177965364826</v>
      </c>
      <c r="B390" s="3">
        <v>0</v>
      </c>
      <c r="C390" s="3">
        <v>0</v>
      </c>
      <c r="D390" s="3">
        <v>0</v>
      </c>
      <c r="E390" s="3">
        <v>0</v>
      </c>
      <c r="F390" s="3">
        <v>0</v>
      </c>
      <c r="G390" s="3">
        <v>0</v>
      </c>
      <c r="H390" s="3">
        <v>0</v>
      </c>
      <c r="I390" s="3">
        <v>111.07640000000001</v>
      </c>
      <c r="J390" s="3">
        <v>0</v>
      </c>
    </row>
    <row r="391" spans="1:10" x14ac:dyDescent="0.25">
      <c r="A391" s="4">
        <v>67561.177965364826</v>
      </c>
      <c r="B391" s="3">
        <v>0</v>
      </c>
      <c r="C391" s="3">
        <v>0</v>
      </c>
      <c r="D391" s="3">
        <v>0</v>
      </c>
      <c r="E391" s="3">
        <v>0</v>
      </c>
      <c r="F391" s="3">
        <v>0</v>
      </c>
      <c r="G391" s="3">
        <v>0</v>
      </c>
      <c r="H391" s="3">
        <v>0</v>
      </c>
      <c r="I391" s="3">
        <v>111.07640000000001</v>
      </c>
      <c r="J391" s="3">
        <v>0</v>
      </c>
    </row>
    <row r="392" spans="1:10" x14ac:dyDescent="0.25">
      <c r="A392" s="4">
        <v>67561.177965364826</v>
      </c>
      <c r="B392" s="3">
        <v>0</v>
      </c>
      <c r="C392" s="3">
        <v>0</v>
      </c>
      <c r="D392" s="3">
        <v>0</v>
      </c>
      <c r="E392" s="3">
        <v>0</v>
      </c>
      <c r="F392" s="3">
        <v>0</v>
      </c>
      <c r="G392" s="3">
        <v>0</v>
      </c>
      <c r="H392" s="3">
        <v>0</v>
      </c>
      <c r="I392" s="3">
        <v>112.1747</v>
      </c>
      <c r="J392" s="3">
        <v>0</v>
      </c>
    </row>
    <row r="393" spans="1:10" x14ac:dyDescent="0.25">
      <c r="A393" s="4">
        <v>67579.792965364832</v>
      </c>
      <c r="B393" s="3">
        <v>0</v>
      </c>
      <c r="C393" s="3">
        <v>0</v>
      </c>
      <c r="D393" s="3">
        <v>0</v>
      </c>
      <c r="E393" s="3">
        <v>0</v>
      </c>
      <c r="F393" s="3">
        <v>0</v>
      </c>
      <c r="G393" s="3">
        <v>0</v>
      </c>
      <c r="H393" s="3">
        <v>0</v>
      </c>
      <c r="I393" s="3">
        <v>112.1747</v>
      </c>
      <c r="J393" s="3">
        <v>0</v>
      </c>
    </row>
    <row r="394" spans="1:10" x14ac:dyDescent="0.25">
      <c r="A394" s="4">
        <v>67579.792965364832</v>
      </c>
      <c r="B394" s="3">
        <v>0</v>
      </c>
      <c r="C394" s="3">
        <v>0</v>
      </c>
      <c r="D394" s="3">
        <v>0</v>
      </c>
      <c r="E394" s="3">
        <v>0</v>
      </c>
      <c r="F394" s="3">
        <v>0</v>
      </c>
      <c r="G394" s="3">
        <v>0</v>
      </c>
      <c r="H394" s="3">
        <v>0</v>
      </c>
      <c r="I394" s="3">
        <v>112.5147</v>
      </c>
      <c r="J394" s="3">
        <v>0</v>
      </c>
    </row>
    <row r="395" spans="1:10" x14ac:dyDescent="0.25">
      <c r="A395" s="4">
        <v>67736.192965364826</v>
      </c>
      <c r="B395" s="3">
        <v>0</v>
      </c>
      <c r="C395" s="3">
        <v>0</v>
      </c>
      <c r="D395" s="3">
        <v>0</v>
      </c>
      <c r="E395" s="3">
        <v>0</v>
      </c>
      <c r="F395" s="3">
        <v>0</v>
      </c>
      <c r="G395" s="3">
        <v>0</v>
      </c>
      <c r="H395" s="3">
        <v>0</v>
      </c>
      <c r="I395" s="3">
        <v>112.5147</v>
      </c>
      <c r="J395" s="3">
        <v>0</v>
      </c>
    </row>
    <row r="396" spans="1:10" x14ac:dyDescent="0.25">
      <c r="A396" s="4">
        <v>67736.192965364826</v>
      </c>
      <c r="B396" s="3">
        <v>0</v>
      </c>
      <c r="C396" s="3">
        <v>0</v>
      </c>
      <c r="D396" s="3">
        <v>0</v>
      </c>
      <c r="E396" s="3">
        <v>0</v>
      </c>
      <c r="F396" s="3">
        <v>0</v>
      </c>
      <c r="G396" s="3">
        <v>0</v>
      </c>
      <c r="H396" s="3">
        <v>0</v>
      </c>
      <c r="I396" s="3">
        <v>113.89570000000001</v>
      </c>
      <c r="J396" s="3">
        <v>0</v>
      </c>
    </row>
    <row r="397" spans="1:10" x14ac:dyDescent="0.25">
      <c r="A397" s="4">
        <v>67810.142965364823</v>
      </c>
      <c r="B397" s="3">
        <v>0</v>
      </c>
      <c r="C397" s="3">
        <v>0</v>
      </c>
      <c r="D397" s="3">
        <v>0</v>
      </c>
      <c r="E397" s="3">
        <v>0</v>
      </c>
      <c r="F397" s="3">
        <v>0</v>
      </c>
      <c r="G397" s="3">
        <v>0</v>
      </c>
      <c r="H397" s="3">
        <v>0</v>
      </c>
      <c r="I397" s="3">
        <v>113.89570000000001</v>
      </c>
      <c r="J397" s="3">
        <v>0</v>
      </c>
    </row>
    <row r="398" spans="1:10" x14ac:dyDescent="0.25">
      <c r="A398" s="4">
        <v>67810.142965364823</v>
      </c>
      <c r="B398" s="3">
        <v>0</v>
      </c>
      <c r="C398" s="3">
        <v>0</v>
      </c>
      <c r="D398" s="3">
        <v>0</v>
      </c>
      <c r="E398" s="3">
        <v>0</v>
      </c>
      <c r="F398" s="3">
        <v>0</v>
      </c>
      <c r="G398" s="3">
        <v>0</v>
      </c>
      <c r="H398" s="3">
        <v>0</v>
      </c>
      <c r="I398" s="3">
        <v>114.24630000000001</v>
      </c>
      <c r="J398" s="3">
        <v>0</v>
      </c>
    </row>
    <row r="399" spans="1:10" x14ac:dyDescent="0.25">
      <c r="A399" s="4">
        <v>67908.742965364829</v>
      </c>
      <c r="B399" s="3">
        <v>0</v>
      </c>
      <c r="C399" s="3">
        <v>0</v>
      </c>
      <c r="D399" s="3">
        <v>0</v>
      </c>
      <c r="E399" s="3">
        <v>0</v>
      </c>
      <c r="F399" s="3">
        <v>0</v>
      </c>
      <c r="G399" s="3">
        <v>0</v>
      </c>
      <c r="H399" s="3">
        <v>0</v>
      </c>
      <c r="I399" s="3">
        <v>114.24630000000001</v>
      </c>
      <c r="J399" s="3">
        <v>0</v>
      </c>
    </row>
    <row r="400" spans="1:10" x14ac:dyDescent="0.25">
      <c r="A400" s="4">
        <v>67908.742965364829</v>
      </c>
      <c r="B400" s="3">
        <v>0</v>
      </c>
      <c r="C400" s="3">
        <v>0</v>
      </c>
      <c r="D400" s="3">
        <v>0</v>
      </c>
      <c r="E400" s="3">
        <v>0</v>
      </c>
      <c r="F400" s="3">
        <v>0</v>
      </c>
      <c r="G400" s="3">
        <v>0</v>
      </c>
      <c r="H400" s="3">
        <v>0</v>
      </c>
      <c r="I400" s="3">
        <v>115.9995</v>
      </c>
      <c r="J400" s="3">
        <v>0</v>
      </c>
    </row>
    <row r="401" spans="1:10" x14ac:dyDescent="0.25">
      <c r="A401" s="4">
        <v>67929.142965364823</v>
      </c>
      <c r="B401" s="3">
        <v>0</v>
      </c>
      <c r="C401" s="3">
        <v>0</v>
      </c>
      <c r="D401" s="3">
        <v>0</v>
      </c>
      <c r="E401" s="3">
        <v>0</v>
      </c>
      <c r="F401" s="3">
        <v>0</v>
      </c>
      <c r="G401" s="3">
        <v>0</v>
      </c>
      <c r="H401" s="3">
        <v>0</v>
      </c>
      <c r="I401" s="3">
        <v>115.9995</v>
      </c>
      <c r="J401" s="3">
        <v>0</v>
      </c>
    </row>
    <row r="402" spans="1:10" x14ac:dyDescent="0.25">
      <c r="A402" s="4">
        <v>67929.142965364823</v>
      </c>
      <c r="B402" s="3">
        <v>0</v>
      </c>
      <c r="C402" s="3">
        <v>0</v>
      </c>
      <c r="D402" s="3">
        <v>0</v>
      </c>
      <c r="E402" s="3">
        <v>0</v>
      </c>
      <c r="F402" s="3">
        <v>0</v>
      </c>
      <c r="G402" s="3">
        <v>0</v>
      </c>
      <c r="H402" s="3">
        <v>0</v>
      </c>
      <c r="I402" s="3">
        <v>0</v>
      </c>
      <c r="J402" s="3">
        <v>116.72190000000001</v>
      </c>
    </row>
    <row r="403" spans="1:10" x14ac:dyDescent="0.25">
      <c r="A403" s="4">
        <v>68352.17374486482</v>
      </c>
      <c r="B403" s="3">
        <v>0</v>
      </c>
      <c r="C403" s="3">
        <v>0</v>
      </c>
      <c r="D403" s="3">
        <v>0</v>
      </c>
      <c r="E403" s="3">
        <v>0</v>
      </c>
      <c r="F403" s="3">
        <v>0</v>
      </c>
      <c r="G403" s="3">
        <v>0</v>
      </c>
      <c r="H403" s="3">
        <v>0</v>
      </c>
      <c r="I403" s="3">
        <v>0</v>
      </c>
      <c r="J403" s="3">
        <v>116.72190000000001</v>
      </c>
    </row>
    <row r="404" spans="1:10" x14ac:dyDescent="0.25">
      <c r="A404" s="4">
        <v>68352.17374486482</v>
      </c>
      <c r="B404" s="3">
        <v>0</v>
      </c>
      <c r="C404" s="3">
        <v>0</v>
      </c>
      <c r="D404" s="3">
        <v>0</v>
      </c>
      <c r="E404" s="3">
        <v>0</v>
      </c>
      <c r="F404" s="3">
        <v>0</v>
      </c>
      <c r="G404" s="3">
        <v>0</v>
      </c>
      <c r="H404" s="3">
        <v>0</v>
      </c>
      <c r="I404" s="3">
        <v>117.876</v>
      </c>
      <c r="J404" s="3">
        <v>0</v>
      </c>
    </row>
    <row r="405" spans="1:10" x14ac:dyDescent="0.25">
      <c r="A405" s="4">
        <v>68389.998744864817</v>
      </c>
      <c r="B405" s="3">
        <v>0</v>
      </c>
      <c r="C405" s="3">
        <v>0</v>
      </c>
      <c r="D405" s="3">
        <v>0</v>
      </c>
      <c r="E405" s="3">
        <v>0</v>
      </c>
      <c r="F405" s="3">
        <v>0</v>
      </c>
      <c r="G405" s="3">
        <v>0</v>
      </c>
      <c r="H405" s="3">
        <v>0</v>
      </c>
      <c r="I405" s="3">
        <v>117.876</v>
      </c>
      <c r="J405" s="3">
        <v>0</v>
      </c>
    </row>
    <row r="406" spans="1:10" x14ac:dyDescent="0.25">
      <c r="A406" s="4">
        <v>68389.998744864817</v>
      </c>
      <c r="B406" s="3">
        <v>0</v>
      </c>
      <c r="C406" s="3">
        <v>0</v>
      </c>
      <c r="D406" s="3">
        <v>0</v>
      </c>
      <c r="E406" s="3">
        <v>0</v>
      </c>
      <c r="F406" s="3">
        <v>0</v>
      </c>
      <c r="G406" s="3">
        <v>0</v>
      </c>
      <c r="H406" s="3">
        <v>0</v>
      </c>
      <c r="I406" s="3">
        <v>121.3837</v>
      </c>
      <c r="J406" s="3">
        <v>0</v>
      </c>
    </row>
    <row r="407" spans="1:10" x14ac:dyDescent="0.25">
      <c r="A407" s="4">
        <v>68468.878744864822</v>
      </c>
      <c r="B407" s="3">
        <v>0</v>
      </c>
      <c r="C407" s="3">
        <v>0</v>
      </c>
      <c r="D407" s="3">
        <v>0</v>
      </c>
      <c r="E407" s="3">
        <v>0</v>
      </c>
      <c r="F407" s="3">
        <v>0</v>
      </c>
      <c r="G407" s="3">
        <v>0</v>
      </c>
      <c r="H407" s="3">
        <v>0</v>
      </c>
      <c r="I407" s="3">
        <v>121.3837</v>
      </c>
      <c r="J407" s="3">
        <v>0</v>
      </c>
    </row>
    <row r="408" spans="1:10" x14ac:dyDescent="0.25">
      <c r="A408" s="4">
        <v>68468.878744864822</v>
      </c>
      <c r="B408" s="3">
        <v>0</v>
      </c>
      <c r="C408" s="3">
        <v>0</v>
      </c>
      <c r="D408" s="3">
        <v>0</v>
      </c>
      <c r="E408" s="3">
        <v>0</v>
      </c>
      <c r="F408" s="3">
        <v>0</v>
      </c>
      <c r="G408" s="3">
        <v>0</v>
      </c>
      <c r="H408" s="3">
        <v>0</v>
      </c>
      <c r="I408" s="3">
        <v>122.3304</v>
      </c>
      <c r="J408" s="3">
        <v>0</v>
      </c>
    </row>
    <row r="409" spans="1:10" x14ac:dyDescent="0.25">
      <c r="A409" s="4">
        <v>68584.478744864828</v>
      </c>
      <c r="B409" s="3">
        <v>0</v>
      </c>
      <c r="C409" s="3">
        <v>0</v>
      </c>
      <c r="D409" s="3">
        <v>0</v>
      </c>
      <c r="E409" s="3">
        <v>0</v>
      </c>
      <c r="F409" s="3">
        <v>0</v>
      </c>
      <c r="G409" s="3">
        <v>0</v>
      </c>
      <c r="H409" s="3">
        <v>0</v>
      </c>
      <c r="I409" s="3">
        <v>122.3304</v>
      </c>
      <c r="J409" s="3">
        <v>0</v>
      </c>
    </row>
    <row r="410" spans="1:10" x14ac:dyDescent="0.25">
      <c r="A410" s="4">
        <v>68584.478744864828</v>
      </c>
      <c r="B410" s="3">
        <v>0</v>
      </c>
      <c r="C410" s="3">
        <v>0</v>
      </c>
      <c r="D410" s="3">
        <v>0</v>
      </c>
      <c r="E410" s="3">
        <v>0</v>
      </c>
      <c r="F410" s="3">
        <v>0</v>
      </c>
      <c r="G410" s="3">
        <v>0</v>
      </c>
      <c r="H410" s="3">
        <v>0</v>
      </c>
      <c r="I410" s="3">
        <v>127.2967</v>
      </c>
      <c r="J410" s="3">
        <v>0</v>
      </c>
    </row>
    <row r="411" spans="1:10" x14ac:dyDescent="0.25">
      <c r="A411" s="4">
        <v>68623.578744864833</v>
      </c>
      <c r="B411" s="3">
        <v>0</v>
      </c>
      <c r="C411" s="3">
        <v>0</v>
      </c>
      <c r="D411" s="3">
        <v>0</v>
      </c>
      <c r="E411" s="3">
        <v>0</v>
      </c>
      <c r="F411" s="3">
        <v>0</v>
      </c>
      <c r="G411" s="3">
        <v>0</v>
      </c>
      <c r="H411" s="3">
        <v>0</v>
      </c>
      <c r="I411" s="3">
        <v>127.2967</v>
      </c>
      <c r="J411" s="3">
        <v>0</v>
      </c>
    </row>
    <row r="412" spans="1:10" x14ac:dyDescent="0.25">
      <c r="A412" s="4">
        <v>68623.578744864833</v>
      </c>
      <c r="B412" s="3">
        <v>0</v>
      </c>
      <c r="C412" s="3">
        <v>0</v>
      </c>
      <c r="D412" s="3">
        <v>0</v>
      </c>
      <c r="E412" s="3">
        <v>0</v>
      </c>
      <c r="F412" s="3">
        <v>0</v>
      </c>
      <c r="G412" s="3">
        <v>0</v>
      </c>
      <c r="H412" s="3">
        <v>0</v>
      </c>
      <c r="I412" s="3">
        <v>128.33920000000001</v>
      </c>
      <c r="J412" s="3">
        <v>0</v>
      </c>
    </row>
    <row r="413" spans="1:10" x14ac:dyDescent="0.25">
      <c r="A413" s="4">
        <v>68696.678744864839</v>
      </c>
      <c r="B413" s="3">
        <v>0</v>
      </c>
      <c r="C413" s="3">
        <v>0</v>
      </c>
      <c r="D413" s="3">
        <v>0</v>
      </c>
      <c r="E413" s="3">
        <v>0</v>
      </c>
      <c r="F413" s="3">
        <v>0</v>
      </c>
      <c r="G413" s="3">
        <v>0</v>
      </c>
      <c r="H413" s="3">
        <v>0</v>
      </c>
      <c r="I413" s="3">
        <v>128.33920000000001</v>
      </c>
      <c r="J413" s="3">
        <v>0</v>
      </c>
    </row>
    <row r="414" spans="1:10" x14ac:dyDescent="0.25">
      <c r="A414" s="4">
        <v>68696.678744864839</v>
      </c>
      <c r="B414" s="3">
        <v>0</v>
      </c>
      <c r="C414" s="3">
        <v>0</v>
      </c>
      <c r="D414" s="3">
        <v>0</v>
      </c>
      <c r="E414" s="3">
        <v>0</v>
      </c>
      <c r="F414" s="3">
        <v>0</v>
      </c>
      <c r="G414" s="3">
        <v>0</v>
      </c>
      <c r="H414" s="3">
        <v>0</v>
      </c>
      <c r="I414" s="3">
        <v>129.399</v>
      </c>
      <c r="J414" s="3">
        <v>0</v>
      </c>
    </row>
    <row r="415" spans="1:10" x14ac:dyDescent="0.25">
      <c r="A415" s="4">
        <v>68756.093744864818</v>
      </c>
      <c r="B415" s="3">
        <v>0</v>
      </c>
      <c r="C415" s="3">
        <v>0</v>
      </c>
      <c r="D415" s="3">
        <v>0</v>
      </c>
      <c r="E415" s="3">
        <v>0</v>
      </c>
      <c r="F415" s="3">
        <v>0</v>
      </c>
      <c r="G415" s="3">
        <v>0</v>
      </c>
      <c r="H415" s="3">
        <v>0</v>
      </c>
      <c r="I415" s="3">
        <v>129.399</v>
      </c>
      <c r="J415" s="3">
        <v>0</v>
      </c>
    </row>
    <row r="416" spans="1:10" x14ac:dyDescent="0.25">
      <c r="A416" s="4">
        <v>68756.093744864818</v>
      </c>
      <c r="B416" s="3">
        <v>0</v>
      </c>
      <c r="C416" s="3">
        <v>0</v>
      </c>
      <c r="D416" s="3">
        <v>0</v>
      </c>
      <c r="E416" s="3">
        <v>0</v>
      </c>
      <c r="F416" s="3">
        <v>0</v>
      </c>
      <c r="G416" s="3">
        <v>0</v>
      </c>
      <c r="H416" s="3">
        <v>0</v>
      </c>
      <c r="I416" s="3">
        <v>130.47649999999999</v>
      </c>
      <c r="J416" s="3">
        <v>0</v>
      </c>
    </row>
    <row r="417" spans="1:10" x14ac:dyDescent="0.25">
      <c r="A417" s="4">
        <v>68803.693744864824</v>
      </c>
      <c r="B417" s="3">
        <v>0</v>
      </c>
      <c r="C417" s="3">
        <v>0</v>
      </c>
      <c r="D417" s="3">
        <v>0</v>
      </c>
      <c r="E417" s="3">
        <v>0</v>
      </c>
      <c r="F417" s="3">
        <v>0</v>
      </c>
      <c r="G417" s="3">
        <v>0</v>
      </c>
      <c r="H417" s="3">
        <v>0</v>
      </c>
      <c r="I417" s="3">
        <v>130.47649999999999</v>
      </c>
      <c r="J417" s="3">
        <v>0</v>
      </c>
    </row>
    <row r="418" spans="1:10" x14ac:dyDescent="0.25">
      <c r="A418" s="4">
        <v>68803.693744864824</v>
      </c>
      <c r="B418" s="3">
        <v>0</v>
      </c>
      <c r="C418" s="3">
        <v>0</v>
      </c>
      <c r="D418" s="3">
        <v>0</v>
      </c>
      <c r="E418" s="3">
        <v>0</v>
      </c>
      <c r="F418" s="3">
        <v>0</v>
      </c>
      <c r="G418" s="3">
        <v>0</v>
      </c>
      <c r="H418" s="3">
        <v>0</v>
      </c>
      <c r="I418" s="3">
        <v>131.57239999999999</v>
      </c>
      <c r="J418" s="3">
        <v>0</v>
      </c>
    </row>
    <row r="419" spans="1:10" x14ac:dyDescent="0.25">
      <c r="A419" s="4">
        <v>68962.813744864834</v>
      </c>
      <c r="B419" s="3">
        <v>0</v>
      </c>
      <c r="C419" s="3">
        <v>0</v>
      </c>
      <c r="D419" s="3">
        <v>0</v>
      </c>
      <c r="E419" s="3">
        <v>0</v>
      </c>
      <c r="F419" s="3">
        <v>0</v>
      </c>
      <c r="G419" s="3">
        <v>0</v>
      </c>
      <c r="H419" s="3">
        <v>0</v>
      </c>
      <c r="I419" s="3">
        <v>131.57239999999999</v>
      </c>
      <c r="J419" s="3">
        <v>0</v>
      </c>
    </row>
    <row r="420" spans="1:10" x14ac:dyDescent="0.25">
      <c r="A420" s="4">
        <v>68962.813744864834</v>
      </c>
      <c r="B420" s="3">
        <v>0</v>
      </c>
      <c r="C420" s="3">
        <v>0</v>
      </c>
      <c r="D420" s="3">
        <v>0</v>
      </c>
      <c r="E420" s="3">
        <v>0</v>
      </c>
      <c r="F420" s="3">
        <v>0</v>
      </c>
      <c r="G420" s="3">
        <v>0</v>
      </c>
      <c r="H420" s="3">
        <v>0</v>
      </c>
      <c r="I420" s="3">
        <v>132.68690000000001</v>
      </c>
      <c r="J420" s="3">
        <v>0</v>
      </c>
    </row>
    <row r="421" spans="1:10" x14ac:dyDescent="0.25">
      <c r="A421" s="4">
        <v>68991.713744864828</v>
      </c>
      <c r="B421" s="3">
        <v>0</v>
      </c>
      <c r="C421" s="3">
        <v>0</v>
      </c>
      <c r="D421" s="3">
        <v>0</v>
      </c>
      <c r="E421" s="3">
        <v>0</v>
      </c>
      <c r="F421" s="3">
        <v>0</v>
      </c>
      <c r="G421" s="3">
        <v>0</v>
      </c>
      <c r="H421" s="3">
        <v>0</v>
      </c>
      <c r="I421" s="3">
        <v>132.68690000000001</v>
      </c>
      <c r="J421" s="3">
        <v>0</v>
      </c>
    </row>
    <row r="422" spans="1:10" x14ac:dyDescent="0.25">
      <c r="A422" s="4">
        <v>68991.713744864828</v>
      </c>
      <c r="B422" s="3">
        <v>0</v>
      </c>
      <c r="C422" s="3">
        <v>0</v>
      </c>
      <c r="D422" s="3">
        <v>0</v>
      </c>
      <c r="E422" s="3">
        <v>0</v>
      </c>
      <c r="F422" s="3">
        <v>0</v>
      </c>
      <c r="G422" s="3">
        <v>0</v>
      </c>
      <c r="H422" s="3">
        <v>0</v>
      </c>
      <c r="I422" s="3">
        <v>0</v>
      </c>
      <c r="J422" s="3">
        <v>142.43790000000001</v>
      </c>
    </row>
    <row r="423" spans="1:10" x14ac:dyDescent="0.25">
      <c r="A423" s="4">
        <v>69135.635744864834</v>
      </c>
      <c r="B423" s="3">
        <v>0</v>
      </c>
      <c r="C423" s="3">
        <v>0</v>
      </c>
      <c r="D423" s="3">
        <v>0</v>
      </c>
      <c r="E423" s="3">
        <v>0</v>
      </c>
      <c r="F423" s="3">
        <v>0</v>
      </c>
      <c r="G423" s="3">
        <v>0</v>
      </c>
      <c r="H423" s="3">
        <v>0</v>
      </c>
      <c r="I423" s="3">
        <v>0</v>
      </c>
      <c r="J423" s="3">
        <v>142.43790000000001</v>
      </c>
    </row>
    <row r="424" spans="1:10" x14ac:dyDescent="0.25">
      <c r="A424" s="4">
        <v>69135.635744864834</v>
      </c>
      <c r="B424" s="3">
        <v>0</v>
      </c>
      <c r="C424" s="3">
        <v>0</v>
      </c>
      <c r="D424" s="3">
        <v>0</v>
      </c>
      <c r="E424" s="3">
        <v>0</v>
      </c>
      <c r="F424" s="3">
        <v>0</v>
      </c>
      <c r="G424" s="3">
        <v>158.24780000000001</v>
      </c>
      <c r="H424" s="3">
        <v>0</v>
      </c>
      <c r="I424" s="3">
        <v>0</v>
      </c>
      <c r="J424" s="3">
        <v>0</v>
      </c>
    </row>
    <row r="425" spans="1:10" x14ac:dyDescent="0.25">
      <c r="A425" s="4">
        <v>69167.675744864828</v>
      </c>
      <c r="B425" s="3">
        <v>0</v>
      </c>
      <c r="C425" s="3">
        <v>0</v>
      </c>
      <c r="D425" s="3">
        <v>0</v>
      </c>
      <c r="E425" s="3">
        <v>0</v>
      </c>
      <c r="F425" s="3">
        <v>0</v>
      </c>
      <c r="G425" s="3">
        <v>158.24780000000001</v>
      </c>
      <c r="H425" s="3">
        <v>0</v>
      </c>
      <c r="I425" s="3">
        <v>0</v>
      </c>
      <c r="J425" s="3">
        <v>0</v>
      </c>
    </row>
    <row r="426" spans="1:10" x14ac:dyDescent="0.25">
      <c r="A426" s="4"/>
    </row>
    <row r="427" spans="1:10" x14ac:dyDescent="0.25">
      <c r="A427" s="4"/>
    </row>
    <row r="428" spans="1:10" x14ac:dyDescent="0.25">
      <c r="A428" s="4"/>
    </row>
    <row r="429" spans="1:10" x14ac:dyDescent="0.25">
      <c r="A429" s="4"/>
    </row>
    <row r="430" spans="1:10" x14ac:dyDescent="0.25">
      <c r="A430" s="4"/>
    </row>
    <row r="431" spans="1:10" x14ac:dyDescent="0.25">
      <c r="A431" s="4"/>
    </row>
    <row r="432" spans="1:10" x14ac:dyDescent="0.25">
      <c r="A432" s="4"/>
    </row>
    <row r="433" spans="1:1" x14ac:dyDescent="0.25">
      <c r="A433" s="4"/>
    </row>
    <row r="434" spans="1:1" x14ac:dyDescent="0.25">
      <c r="A434" s="4"/>
    </row>
    <row r="435" spans="1:1" x14ac:dyDescent="0.25">
      <c r="A435" s="4"/>
    </row>
    <row r="436" spans="1:1" x14ac:dyDescent="0.25">
      <c r="A436" s="4"/>
    </row>
    <row r="437" spans="1:1" x14ac:dyDescent="0.25">
      <c r="A437" s="4"/>
    </row>
    <row r="438" spans="1:1" x14ac:dyDescent="0.25">
      <c r="A438" s="4"/>
    </row>
    <row r="439" spans="1:1" x14ac:dyDescent="0.25">
      <c r="A439" s="4"/>
    </row>
    <row r="440" spans="1:1" x14ac:dyDescent="0.25">
      <c r="A440" s="4"/>
    </row>
    <row r="441" spans="1:1" x14ac:dyDescent="0.25">
      <c r="A441" s="4"/>
    </row>
    <row r="442" spans="1:1" x14ac:dyDescent="0.25">
      <c r="A442" s="4"/>
    </row>
    <row r="443" spans="1:1" x14ac:dyDescent="0.25">
      <c r="A443" s="4"/>
    </row>
    <row r="444" spans="1:1" x14ac:dyDescent="0.25">
      <c r="A444" s="4"/>
    </row>
    <row r="445" spans="1:1" x14ac:dyDescent="0.25">
      <c r="A445" s="4"/>
    </row>
    <row r="446" spans="1:1" x14ac:dyDescent="0.25">
      <c r="A446" s="4"/>
    </row>
    <row r="447" spans="1:1" x14ac:dyDescent="0.25">
      <c r="A447" s="4"/>
    </row>
    <row r="448" spans="1:1" x14ac:dyDescent="0.25">
      <c r="A448" s="4"/>
    </row>
    <row r="449" spans="1:1" x14ac:dyDescent="0.25">
      <c r="A449" s="4"/>
    </row>
    <row r="450" spans="1:1" x14ac:dyDescent="0.25">
      <c r="A450" s="4"/>
    </row>
    <row r="451" spans="1:1" x14ac:dyDescent="0.25">
      <c r="A451" s="4"/>
    </row>
    <row r="452" spans="1:1" x14ac:dyDescent="0.25">
      <c r="A452" s="4"/>
    </row>
    <row r="453" spans="1:1" x14ac:dyDescent="0.25">
      <c r="A453" s="4"/>
    </row>
    <row r="454" spans="1:1" x14ac:dyDescent="0.25">
      <c r="A454" s="4"/>
    </row>
    <row r="455" spans="1:1" x14ac:dyDescent="0.25">
      <c r="A455" s="4"/>
    </row>
    <row r="456" spans="1:1" x14ac:dyDescent="0.25">
      <c r="A456" s="4"/>
    </row>
    <row r="457" spans="1:1" x14ac:dyDescent="0.25">
      <c r="A457" s="4"/>
    </row>
    <row r="458" spans="1:1" x14ac:dyDescent="0.25">
      <c r="A458" s="4"/>
    </row>
    <row r="459" spans="1:1" x14ac:dyDescent="0.25">
      <c r="A459" s="4"/>
    </row>
    <row r="460" spans="1:1" x14ac:dyDescent="0.25">
      <c r="A460" s="4"/>
    </row>
    <row r="461" spans="1:1" x14ac:dyDescent="0.25">
      <c r="A461" s="4"/>
    </row>
    <row r="462" spans="1:1" x14ac:dyDescent="0.25">
      <c r="A462" s="4"/>
    </row>
    <row r="463" spans="1:1" x14ac:dyDescent="0.25">
      <c r="A463" s="4"/>
    </row>
    <row r="1001" spans="1:10" x14ac:dyDescent="0.25">
      <c r="A1001" s="2">
        <v>213.88529999999969</v>
      </c>
      <c r="B1001" s="3">
        <v>0</v>
      </c>
      <c r="C1001" s="3">
        <v>0</v>
      </c>
      <c r="D1001" s="3">
        <v>0</v>
      </c>
      <c r="E1001" s="3">
        <v>0</v>
      </c>
      <c r="F1001" s="3">
        <v>0</v>
      </c>
      <c r="G1001" s="3">
        <v>0</v>
      </c>
      <c r="H1001" s="3">
        <v>0</v>
      </c>
      <c r="I1001" s="3">
        <v>0</v>
      </c>
      <c r="J1001" s="3">
        <v>34</v>
      </c>
    </row>
    <row r="1002" spans="1:10" x14ac:dyDescent="0.25">
      <c r="A1002" s="2">
        <v>213.88529999999969</v>
      </c>
      <c r="B1002" s="3">
        <v>0</v>
      </c>
      <c r="C1002" s="3">
        <v>0</v>
      </c>
      <c r="D1002" s="3">
        <v>0</v>
      </c>
      <c r="E1002" s="3">
        <v>0</v>
      </c>
      <c r="F1002" s="3">
        <v>0</v>
      </c>
      <c r="G1002" s="3">
        <v>0</v>
      </c>
      <c r="H1002" s="3">
        <v>0</v>
      </c>
      <c r="I1002" s="3">
        <v>0</v>
      </c>
      <c r="J1002" s="3">
        <v>169.32</v>
      </c>
    </row>
    <row r="1003" spans="1:10" x14ac:dyDescent="0.25">
      <c r="A1003" s="2">
        <v>214.1552999999997</v>
      </c>
      <c r="B1003" s="3">
        <v>0</v>
      </c>
      <c r="C1003" s="3">
        <v>0</v>
      </c>
      <c r="D1003" s="3">
        <v>0</v>
      </c>
      <c r="E1003" s="3">
        <v>0</v>
      </c>
      <c r="F1003" s="3">
        <v>0</v>
      </c>
      <c r="G1003" s="3">
        <v>0</v>
      </c>
      <c r="H1003" s="3">
        <v>0</v>
      </c>
      <c r="I1003" s="3">
        <v>0</v>
      </c>
      <c r="J1003" s="3">
        <v>169.32</v>
      </c>
    </row>
    <row r="1004" spans="1:10" x14ac:dyDescent="0.25">
      <c r="A1004" s="2">
        <v>214.1552999999997</v>
      </c>
      <c r="B1004" s="3">
        <v>0</v>
      </c>
      <c r="C1004" s="3">
        <v>0</v>
      </c>
      <c r="D1004" s="3">
        <v>0</v>
      </c>
      <c r="E1004" s="3">
        <v>0</v>
      </c>
      <c r="F1004" s="3">
        <v>0</v>
      </c>
      <c r="G1004" s="3">
        <v>0</v>
      </c>
      <c r="H1004" s="3">
        <v>0</v>
      </c>
      <c r="I1004" s="3">
        <v>0</v>
      </c>
      <c r="J1004" s="3">
        <v>36</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5">
    <tabColor theme="0" tint="-0.34998626667073579"/>
  </sheetPr>
  <dimension ref="A1:N560"/>
  <sheetViews>
    <sheetView zoomScale="80" zoomScaleNormal="80" workbookViewId="0">
      <selection activeCell="C11" sqref="C11:L559"/>
    </sheetView>
  </sheetViews>
  <sheetFormatPr defaultColWidth="11.42578125" defaultRowHeight="15" x14ac:dyDescent="0.25"/>
  <cols>
    <col min="1" max="1" width="3" style="44" customWidth="1"/>
    <col min="2" max="2" width="2.85546875" style="44" customWidth="1"/>
    <col min="3" max="3" width="13.85546875" style="45" customWidth="1"/>
    <col min="4" max="4" width="27.5703125" style="45" customWidth="1"/>
    <col min="5" max="5" width="44.85546875" style="45" customWidth="1"/>
    <col min="6" max="6" width="25" style="45" customWidth="1"/>
    <col min="7" max="7" width="31.42578125" style="58" customWidth="1"/>
    <col min="8" max="8" width="19.28515625" style="45" customWidth="1"/>
    <col min="9" max="9" width="21.7109375" style="45" customWidth="1"/>
    <col min="10" max="10" width="15.140625" style="45" customWidth="1"/>
    <col min="11" max="11" width="29.28515625" style="45" customWidth="1"/>
    <col min="12" max="12" width="16.28515625" style="44" customWidth="1"/>
    <col min="13" max="13" width="3" style="44" customWidth="1"/>
    <col min="14" max="16384" width="11.42578125" style="1"/>
  </cols>
  <sheetData>
    <row r="1" spans="1:14" s="150" customFormat="1" ht="17.25" customHeight="1" thickBot="1" x14ac:dyDescent="0.3">
      <c r="A1" s="149"/>
      <c r="B1" s="149"/>
      <c r="C1" s="149"/>
      <c r="D1" s="149"/>
      <c r="E1" s="149"/>
      <c r="F1" s="149"/>
      <c r="G1" s="149"/>
      <c r="H1" s="149"/>
      <c r="I1" s="149"/>
      <c r="J1" s="149"/>
      <c r="K1" s="149"/>
      <c r="L1" s="149"/>
      <c r="M1" s="149"/>
      <c r="N1" s="149"/>
    </row>
    <row r="2" spans="1:14" s="150" customFormat="1" ht="14.25" customHeight="1" x14ac:dyDescent="0.3">
      <c r="A2" s="149"/>
      <c r="B2" s="151"/>
      <c r="C2" s="152"/>
      <c r="D2" s="153"/>
      <c r="E2" s="152"/>
      <c r="F2" s="152"/>
      <c r="G2" s="152"/>
      <c r="H2" s="152"/>
      <c r="I2" s="152"/>
      <c r="J2" s="152"/>
      <c r="K2" s="152"/>
      <c r="L2" s="152"/>
      <c r="M2" s="154"/>
      <c r="N2" s="149"/>
    </row>
    <row r="3" spans="1:14" s="150" customFormat="1" ht="75" customHeight="1" x14ac:dyDescent="0.3">
      <c r="A3" s="149"/>
      <c r="B3" s="155"/>
      <c r="C3" s="11" t="s">
        <v>2489</v>
      </c>
      <c r="D3" s="156"/>
      <c r="E3" s="157"/>
      <c r="F3" s="157"/>
      <c r="G3" s="157"/>
      <c r="H3" s="157"/>
      <c r="I3" s="157"/>
      <c r="J3" s="157"/>
      <c r="K3" s="157"/>
      <c r="L3" s="158"/>
      <c r="M3" s="159"/>
      <c r="N3" s="149"/>
    </row>
    <row r="4" spans="1:14" s="150" customFormat="1" ht="7.5" customHeight="1" x14ac:dyDescent="0.3">
      <c r="A4" s="149"/>
      <c r="B4" s="155"/>
      <c r="C4" s="160"/>
      <c r="D4" s="161"/>
      <c r="E4" s="160"/>
      <c r="F4" s="160"/>
      <c r="G4" s="160"/>
      <c r="H4" s="160"/>
      <c r="I4" s="160"/>
      <c r="J4" s="160"/>
      <c r="K4" s="160"/>
      <c r="L4" s="160"/>
      <c r="M4" s="159"/>
      <c r="N4" s="162"/>
    </row>
    <row r="5" spans="1:14" s="150" customFormat="1" ht="18" x14ac:dyDescent="0.35">
      <c r="A5" s="149"/>
      <c r="B5" s="155"/>
      <c r="C5" s="163" t="s">
        <v>2481</v>
      </c>
      <c r="D5" s="156"/>
      <c r="E5" s="156"/>
      <c r="F5" s="156"/>
      <c r="G5" s="156"/>
      <c r="H5" s="156"/>
      <c r="I5" s="156"/>
      <c r="J5" s="156"/>
      <c r="K5" s="156"/>
      <c r="L5" s="164" t="str">
        <f>Impressum!F5</f>
        <v xml:space="preserve">Version 2019.1.4 </v>
      </c>
      <c r="M5" s="159"/>
      <c r="N5" s="162"/>
    </row>
    <row r="6" spans="1:14" s="150" customFormat="1" ht="7.5" customHeight="1" x14ac:dyDescent="0.3">
      <c r="A6" s="149"/>
      <c r="B6" s="155"/>
      <c r="C6" s="160"/>
      <c r="D6" s="161"/>
      <c r="E6" s="160"/>
      <c r="F6" s="160"/>
      <c r="G6" s="160"/>
      <c r="H6" s="160"/>
      <c r="I6" s="160"/>
      <c r="J6" s="160"/>
      <c r="K6" s="160"/>
      <c r="L6" s="160"/>
      <c r="M6" s="159"/>
      <c r="N6" s="162"/>
    </row>
    <row r="7" spans="1:14" s="150" customFormat="1" ht="18" x14ac:dyDescent="0.35">
      <c r="A7" s="162"/>
      <c r="B7" s="155"/>
      <c r="C7" s="165" t="s">
        <v>2422</v>
      </c>
      <c r="D7" s="156"/>
      <c r="E7" s="166"/>
      <c r="F7" s="160"/>
      <c r="G7" s="160"/>
      <c r="H7" s="160"/>
      <c r="I7" s="160"/>
      <c r="J7" s="160"/>
      <c r="K7" s="160"/>
      <c r="L7" s="160"/>
      <c r="M7" s="159"/>
      <c r="N7" s="162"/>
    </row>
    <row r="8" spans="1:14" s="150" customFormat="1" ht="17.25" thickBot="1" x14ac:dyDescent="0.35">
      <c r="A8" s="162"/>
      <c r="B8" s="155"/>
      <c r="C8" s="160"/>
      <c r="D8" s="161"/>
      <c r="E8" s="160"/>
      <c r="F8" s="160"/>
      <c r="G8" s="160"/>
      <c r="H8" s="160"/>
      <c r="I8" s="160"/>
      <c r="J8" s="160"/>
      <c r="K8" s="160"/>
      <c r="L8" s="160"/>
      <c r="M8" s="159"/>
      <c r="N8" s="162"/>
    </row>
    <row r="9" spans="1:14" ht="16.5" x14ac:dyDescent="0.3">
      <c r="B9" s="10"/>
      <c r="C9" s="46"/>
      <c r="D9" s="105"/>
      <c r="E9" s="47"/>
      <c r="F9" s="48"/>
      <c r="G9" s="48"/>
      <c r="H9" s="48"/>
      <c r="I9" s="48"/>
      <c r="J9" s="48"/>
      <c r="K9" s="48"/>
      <c r="L9" s="49"/>
      <c r="M9" s="15"/>
      <c r="N9" s="44"/>
    </row>
    <row r="10" spans="1:14" ht="64.5" customHeight="1" thickBot="1" x14ac:dyDescent="0.35">
      <c r="B10" s="10"/>
      <c r="C10" s="104" t="s">
        <v>2484</v>
      </c>
      <c r="D10" s="53" t="s">
        <v>9</v>
      </c>
      <c r="E10" s="52" t="s">
        <v>10</v>
      </c>
      <c r="F10" s="53" t="s">
        <v>11</v>
      </c>
      <c r="G10" s="50" t="s">
        <v>15</v>
      </c>
      <c r="H10" s="50" t="s">
        <v>2432</v>
      </c>
      <c r="I10" s="51" t="s">
        <v>2438</v>
      </c>
      <c r="J10" s="51" t="s">
        <v>2388</v>
      </c>
      <c r="K10" s="51" t="s">
        <v>2436</v>
      </c>
      <c r="L10" s="54" t="s">
        <v>2471</v>
      </c>
      <c r="M10" s="15"/>
      <c r="N10" s="44"/>
    </row>
    <row r="11" spans="1:14" ht="18.75" customHeight="1" x14ac:dyDescent="0.3">
      <c r="B11" s="10"/>
      <c r="C11" s="181" t="s">
        <v>21</v>
      </c>
      <c r="D11" s="118" t="s">
        <v>2528</v>
      </c>
      <c r="E11" s="107" t="s">
        <v>2528</v>
      </c>
      <c r="F11" s="107" t="s">
        <v>2528</v>
      </c>
      <c r="G11" s="110" t="s">
        <v>2528</v>
      </c>
      <c r="H11" s="108" t="s">
        <v>2528</v>
      </c>
      <c r="I11" s="107" t="s">
        <v>2530</v>
      </c>
      <c r="J11" s="110" t="s">
        <v>2530</v>
      </c>
      <c r="K11" s="111">
        <v>0</v>
      </c>
      <c r="L11" s="112">
        <v>0</v>
      </c>
      <c r="M11" s="15"/>
      <c r="N11" s="44"/>
    </row>
    <row r="12" spans="1:14" ht="18.75" customHeight="1" x14ac:dyDescent="0.3">
      <c r="B12" s="10"/>
      <c r="C12" s="182" t="s">
        <v>21</v>
      </c>
      <c r="D12" s="118" t="s">
        <v>2528</v>
      </c>
      <c r="E12" s="107" t="s">
        <v>2528</v>
      </c>
      <c r="F12" s="107" t="s">
        <v>2528</v>
      </c>
      <c r="G12" s="110" t="s">
        <v>2528</v>
      </c>
      <c r="H12" s="108" t="s">
        <v>2528</v>
      </c>
      <c r="I12" s="107" t="s">
        <v>2530</v>
      </c>
      <c r="J12" s="110" t="s">
        <v>2530</v>
      </c>
      <c r="K12" s="111">
        <v>0</v>
      </c>
      <c r="L12" s="112">
        <v>0</v>
      </c>
      <c r="M12" s="15"/>
      <c r="N12" s="44"/>
    </row>
    <row r="13" spans="1:14" ht="18.75" customHeight="1" x14ac:dyDescent="0.3">
      <c r="B13" s="10"/>
      <c r="C13" s="182" t="s">
        <v>21</v>
      </c>
      <c r="D13" s="118" t="s">
        <v>2528</v>
      </c>
      <c r="E13" s="107" t="s">
        <v>2528</v>
      </c>
      <c r="F13" s="107" t="s">
        <v>2528</v>
      </c>
      <c r="G13" s="110" t="s">
        <v>2528</v>
      </c>
      <c r="H13" s="108" t="s">
        <v>2528</v>
      </c>
      <c r="I13" s="107" t="s">
        <v>2530</v>
      </c>
      <c r="J13" s="110" t="s">
        <v>2530</v>
      </c>
      <c r="K13" s="111">
        <v>0</v>
      </c>
      <c r="L13" s="112">
        <v>0</v>
      </c>
      <c r="M13" s="15"/>
      <c r="N13" s="44"/>
    </row>
    <row r="14" spans="1:14" ht="18.75" customHeight="1" x14ac:dyDescent="0.3">
      <c r="B14" s="10"/>
      <c r="C14" s="182" t="s">
        <v>21</v>
      </c>
      <c r="D14" s="118" t="s">
        <v>2528</v>
      </c>
      <c r="E14" s="107" t="s">
        <v>2528</v>
      </c>
      <c r="F14" s="107" t="s">
        <v>2528</v>
      </c>
      <c r="G14" s="110" t="s">
        <v>2528</v>
      </c>
      <c r="H14" s="108" t="s">
        <v>2528</v>
      </c>
      <c r="I14" s="107" t="s">
        <v>2530</v>
      </c>
      <c r="J14" s="110" t="s">
        <v>2530</v>
      </c>
      <c r="K14" s="111">
        <v>0</v>
      </c>
      <c r="L14" s="112">
        <v>0</v>
      </c>
      <c r="M14" s="15"/>
      <c r="N14" s="44"/>
    </row>
    <row r="15" spans="1:14" ht="18.75" customHeight="1" x14ac:dyDescent="0.3">
      <c r="B15" s="10"/>
      <c r="C15" s="182" t="s">
        <v>21</v>
      </c>
      <c r="D15" s="118" t="s">
        <v>2528</v>
      </c>
      <c r="E15" s="107" t="s">
        <v>2528</v>
      </c>
      <c r="F15" s="107" t="s">
        <v>2528</v>
      </c>
      <c r="G15" s="110" t="s">
        <v>2528</v>
      </c>
      <c r="H15" s="108" t="s">
        <v>2528</v>
      </c>
      <c r="I15" s="107" t="s">
        <v>2530</v>
      </c>
      <c r="J15" s="110" t="s">
        <v>2530</v>
      </c>
      <c r="K15" s="111">
        <v>0</v>
      </c>
      <c r="L15" s="112">
        <v>0</v>
      </c>
      <c r="M15" s="15"/>
      <c r="N15" s="44"/>
    </row>
    <row r="16" spans="1:14" ht="18.75" customHeight="1" x14ac:dyDescent="0.3">
      <c r="B16" s="10"/>
      <c r="C16" s="182" t="s">
        <v>21</v>
      </c>
      <c r="D16" s="118" t="s">
        <v>2528</v>
      </c>
      <c r="E16" s="107" t="s">
        <v>2528</v>
      </c>
      <c r="F16" s="107" t="s">
        <v>2528</v>
      </c>
      <c r="G16" s="110" t="s">
        <v>2528</v>
      </c>
      <c r="H16" s="108" t="s">
        <v>2528</v>
      </c>
      <c r="I16" s="107" t="s">
        <v>2530</v>
      </c>
      <c r="J16" s="110" t="s">
        <v>2530</v>
      </c>
      <c r="K16" s="111">
        <v>0</v>
      </c>
      <c r="L16" s="112">
        <v>0</v>
      </c>
      <c r="M16" s="15"/>
      <c r="N16" s="44"/>
    </row>
    <row r="17" spans="2:14" ht="18.75" customHeight="1" x14ac:dyDescent="0.3">
      <c r="B17" s="10"/>
      <c r="C17" s="182" t="s">
        <v>21</v>
      </c>
      <c r="D17" s="118" t="s">
        <v>2528</v>
      </c>
      <c r="E17" s="107" t="s">
        <v>2528</v>
      </c>
      <c r="F17" s="107" t="s">
        <v>2528</v>
      </c>
      <c r="G17" s="110" t="s">
        <v>2528</v>
      </c>
      <c r="H17" s="108" t="s">
        <v>2528</v>
      </c>
      <c r="I17" s="107" t="s">
        <v>2530</v>
      </c>
      <c r="J17" s="110" t="s">
        <v>2530</v>
      </c>
      <c r="K17" s="111">
        <v>0</v>
      </c>
      <c r="L17" s="112">
        <v>0</v>
      </c>
      <c r="M17" s="15"/>
      <c r="N17" s="44"/>
    </row>
    <row r="18" spans="2:14" ht="18.75" customHeight="1" x14ac:dyDescent="0.3">
      <c r="B18" s="10"/>
      <c r="C18" s="182" t="s">
        <v>21</v>
      </c>
      <c r="D18" s="118" t="s">
        <v>2528</v>
      </c>
      <c r="E18" s="107" t="s">
        <v>2528</v>
      </c>
      <c r="F18" s="107" t="s">
        <v>2528</v>
      </c>
      <c r="G18" s="110" t="s">
        <v>2528</v>
      </c>
      <c r="H18" s="108" t="s">
        <v>2528</v>
      </c>
      <c r="I18" s="107" t="s">
        <v>2530</v>
      </c>
      <c r="J18" s="110" t="s">
        <v>2530</v>
      </c>
      <c r="K18" s="111">
        <v>0</v>
      </c>
      <c r="L18" s="112">
        <v>0</v>
      </c>
      <c r="M18" s="15"/>
      <c r="N18" s="44"/>
    </row>
    <row r="19" spans="2:14" ht="18.75" customHeight="1" x14ac:dyDescent="0.3">
      <c r="B19" s="10"/>
      <c r="C19" s="182" t="s">
        <v>21</v>
      </c>
      <c r="D19" s="118" t="s">
        <v>2528</v>
      </c>
      <c r="E19" s="107" t="s">
        <v>2528</v>
      </c>
      <c r="F19" s="107" t="s">
        <v>2528</v>
      </c>
      <c r="G19" s="110" t="s">
        <v>2528</v>
      </c>
      <c r="H19" s="108" t="s">
        <v>2528</v>
      </c>
      <c r="I19" s="107" t="s">
        <v>2530</v>
      </c>
      <c r="J19" s="110" t="s">
        <v>2530</v>
      </c>
      <c r="K19" s="111">
        <v>0</v>
      </c>
      <c r="L19" s="112">
        <v>0</v>
      </c>
      <c r="M19" s="15"/>
      <c r="N19" s="44"/>
    </row>
    <row r="20" spans="2:14" ht="18.75" customHeight="1" x14ac:dyDescent="0.3">
      <c r="B20" s="10"/>
      <c r="C20" s="182" t="s">
        <v>21</v>
      </c>
      <c r="D20" s="118" t="s">
        <v>2528</v>
      </c>
      <c r="E20" s="117" t="s">
        <v>2528</v>
      </c>
      <c r="F20" s="110" t="s">
        <v>2528</v>
      </c>
      <c r="G20" s="110" t="s">
        <v>2528</v>
      </c>
      <c r="H20" s="108" t="s">
        <v>2528</v>
      </c>
      <c r="I20" s="107" t="s">
        <v>2530</v>
      </c>
      <c r="J20" s="110" t="s">
        <v>2530</v>
      </c>
      <c r="K20" s="111">
        <v>0</v>
      </c>
      <c r="L20" s="112">
        <v>0</v>
      </c>
      <c r="M20" s="15"/>
      <c r="N20" s="44"/>
    </row>
    <row r="21" spans="2:14" ht="18.75" customHeight="1" x14ac:dyDescent="0.3">
      <c r="B21" s="10"/>
      <c r="C21" s="182" t="s">
        <v>2485</v>
      </c>
      <c r="D21" s="118" t="s">
        <v>162</v>
      </c>
      <c r="E21" s="107" t="s">
        <v>163</v>
      </c>
      <c r="F21" s="107" t="s">
        <v>164</v>
      </c>
      <c r="G21" s="120" t="s">
        <v>167</v>
      </c>
      <c r="H21" s="108" t="s">
        <v>2333</v>
      </c>
      <c r="I21" s="107" t="s">
        <v>6</v>
      </c>
      <c r="J21" s="110">
        <v>0.33</v>
      </c>
      <c r="K21" s="111">
        <v>30.599999999999998</v>
      </c>
      <c r="L21" s="112">
        <v>1</v>
      </c>
      <c r="M21" s="15"/>
      <c r="N21" s="44"/>
    </row>
    <row r="22" spans="2:14" ht="18.75" customHeight="1" x14ac:dyDescent="0.3">
      <c r="B22" s="10"/>
      <c r="C22" s="182" t="s">
        <v>2485</v>
      </c>
      <c r="D22" s="118" t="s">
        <v>207</v>
      </c>
      <c r="E22" s="107" t="s">
        <v>208</v>
      </c>
      <c r="F22" s="107" t="s">
        <v>209</v>
      </c>
      <c r="G22" s="120"/>
      <c r="H22" s="108" t="s">
        <v>2334</v>
      </c>
      <c r="I22" s="107" t="s">
        <v>6</v>
      </c>
      <c r="J22" s="110">
        <v>0.33</v>
      </c>
      <c r="K22" s="111">
        <v>29.75</v>
      </c>
      <c r="L22" s="112">
        <v>1</v>
      </c>
      <c r="M22" s="15"/>
      <c r="N22" s="44"/>
    </row>
    <row r="23" spans="2:14" ht="18.75" customHeight="1" x14ac:dyDescent="0.3">
      <c r="B23" s="10"/>
      <c r="C23" s="182" t="s">
        <v>2485</v>
      </c>
      <c r="D23" s="106" t="s">
        <v>215</v>
      </c>
      <c r="E23" s="120" t="s">
        <v>216</v>
      </c>
      <c r="F23" s="107" t="s">
        <v>217</v>
      </c>
      <c r="G23" s="120" t="s">
        <v>220</v>
      </c>
      <c r="H23" s="108" t="s">
        <v>2335</v>
      </c>
      <c r="I23" s="107" t="s">
        <v>6</v>
      </c>
      <c r="J23" s="110">
        <v>0.33</v>
      </c>
      <c r="K23" s="111">
        <v>28.9</v>
      </c>
      <c r="L23" s="112">
        <v>1</v>
      </c>
      <c r="M23" s="15"/>
      <c r="N23" s="44"/>
    </row>
    <row r="24" spans="2:14" ht="18.75" customHeight="1" x14ac:dyDescent="0.3">
      <c r="B24" s="10"/>
      <c r="C24" s="182" t="s">
        <v>2485</v>
      </c>
      <c r="D24" s="118" t="s">
        <v>260</v>
      </c>
      <c r="E24" s="107" t="s">
        <v>261</v>
      </c>
      <c r="F24" s="107" t="s">
        <v>262</v>
      </c>
      <c r="G24" s="120" t="s">
        <v>262</v>
      </c>
      <c r="H24" s="108" t="s">
        <v>2337</v>
      </c>
      <c r="I24" s="107" t="s">
        <v>6</v>
      </c>
      <c r="J24" s="110">
        <v>0.33</v>
      </c>
      <c r="K24" s="111">
        <v>10.199999999999999</v>
      </c>
      <c r="L24" s="112">
        <v>1</v>
      </c>
      <c r="M24" s="15"/>
      <c r="N24" s="44"/>
    </row>
    <row r="25" spans="2:14" ht="18.75" customHeight="1" x14ac:dyDescent="0.3">
      <c r="B25" s="10"/>
      <c r="C25" s="182" t="s">
        <v>2485</v>
      </c>
      <c r="D25" s="106" t="s">
        <v>293</v>
      </c>
      <c r="E25" s="107" t="s">
        <v>294</v>
      </c>
      <c r="F25" s="107" t="s">
        <v>295</v>
      </c>
      <c r="G25" s="107" t="s">
        <v>298</v>
      </c>
      <c r="H25" s="108">
        <v>2009</v>
      </c>
      <c r="I25" s="107" t="s">
        <v>6</v>
      </c>
      <c r="J25" s="110">
        <v>0.33</v>
      </c>
      <c r="K25" s="111">
        <v>28.05</v>
      </c>
      <c r="L25" s="112">
        <v>1</v>
      </c>
      <c r="M25" s="15"/>
      <c r="N25" s="44"/>
    </row>
    <row r="26" spans="2:14" ht="18.75" customHeight="1" x14ac:dyDescent="0.3">
      <c r="B26" s="10"/>
      <c r="C26" s="182" t="s">
        <v>2485</v>
      </c>
      <c r="D26" s="118" t="s">
        <v>497</v>
      </c>
      <c r="E26" s="120" t="s">
        <v>493</v>
      </c>
      <c r="F26" s="107" t="s">
        <v>494</v>
      </c>
      <c r="G26" s="107" t="s">
        <v>498</v>
      </c>
      <c r="H26" s="108" t="s">
        <v>2340</v>
      </c>
      <c r="I26" s="107" t="s">
        <v>6</v>
      </c>
      <c r="J26" s="110">
        <v>0.33</v>
      </c>
      <c r="K26" s="111">
        <v>45.645000000000003</v>
      </c>
      <c r="L26" s="112">
        <v>1</v>
      </c>
      <c r="M26" s="15"/>
      <c r="N26" s="44"/>
    </row>
    <row r="27" spans="2:14" ht="18.75" customHeight="1" x14ac:dyDescent="0.3">
      <c r="B27" s="10"/>
      <c r="C27" s="182" t="s">
        <v>2485</v>
      </c>
      <c r="D27" s="118" t="s">
        <v>536</v>
      </c>
      <c r="E27" s="120" t="s">
        <v>537</v>
      </c>
      <c r="F27" s="110" t="s">
        <v>538</v>
      </c>
      <c r="G27" s="110"/>
      <c r="H27" s="108" t="s">
        <v>2316</v>
      </c>
      <c r="I27" s="107" t="s">
        <v>6</v>
      </c>
      <c r="J27" s="110">
        <v>0.33</v>
      </c>
      <c r="K27" s="111">
        <v>19.974999999999998</v>
      </c>
      <c r="L27" s="112">
        <v>1</v>
      </c>
      <c r="M27" s="15"/>
      <c r="N27" s="44"/>
    </row>
    <row r="28" spans="2:14" ht="18.75" customHeight="1" x14ac:dyDescent="0.3">
      <c r="B28" s="10"/>
      <c r="C28" s="182" t="s">
        <v>2485</v>
      </c>
      <c r="D28" s="118" t="s">
        <v>642</v>
      </c>
      <c r="E28" s="107" t="s">
        <v>519</v>
      </c>
      <c r="F28" s="107" t="s">
        <v>643</v>
      </c>
      <c r="G28" s="107" t="s">
        <v>646</v>
      </c>
      <c r="H28" s="108" t="s">
        <v>1992</v>
      </c>
      <c r="I28" s="107" t="s">
        <v>6</v>
      </c>
      <c r="J28" s="110">
        <v>0.33</v>
      </c>
      <c r="K28" s="111">
        <v>22.099999999999998</v>
      </c>
      <c r="L28" s="112">
        <v>1</v>
      </c>
      <c r="M28" s="15"/>
      <c r="N28" s="44"/>
    </row>
    <row r="29" spans="2:14" ht="18.75" customHeight="1" x14ac:dyDescent="0.3">
      <c r="B29" s="10"/>
      <c r="C29" s="182" t="s">
        <v>2485</v>
      </c>
      <c r="D29" s="106" t="s">
        <v>647</v>
      </c>
      <c r="E29" s="120" t="s">
        <v>519</v>
      </c>
      <c r="F29" s="107" t="s">
        <v>643</v>
      </c>
      <c r="G29" s="107" t="s">
        <v>649</v>
      </c>
      <c r="H29" s="108" t="s">
        <v>2190</v>
      </c>
      <c r="I29" s="107" t="s">
        <v>6</v>
      </c>
      <c r="J29" s="110">
        <v>0.33</v>
      </c>
      <c r="K29" s="111">
        <v>39.524999999999999</v>
      </c>
      <c r="L29" s="112">
        <v>1</v>
      </c>
      <c r="M29" s="15"/>
      <c r="N29" s="44"/>
    </row>
    <row r="30" spans="2:14" ht="18.75" customHeight="1" x14ac:dyDescent="0.3">
      <c r="B30" s="10"/>
      <c r="C30" s="182" t="s">
        <v>2485</v>
      </c>
      <c r="D30" s="118" t="s">
        <v>751</v>
      </c>
      <c r="E30" s="107" t="s">
        <v>752</v>
      </c>
      <c r="F30" s="107" t="s">
        <v>753</v>
      </c>
      <c r="G30" s="107"/>
      <c r="H30" s="108" t="s">
        <v>2345</v>
      </c>
      <c r="I30" s="107" t="s">
        <v>6</v>
      </c>
      <c r="J30" s="110">
        <v>0.33</v>
      </c>
      <c r="K30" s="111">
        <v>19.805</v>
      </c>
      <c r="L30" s="112">
        <v>1</v>
      </c>
      <c r="M30" s="15"/>
      <c r="N30" s="44"/>
    </row>
    <row r="31" spans="2:14" ht="18.75" customHeight="1" x14ac:dyDescent="0.3">
      <c r="B31" s="10"/>
      <c r="C31" s="182" t="s">
        <v>2485</v>
      </c>
      <c r="D31" s="118" t="s">
        <v>780</v>
      </c>
      <c r="E31" s="107" t="s">
        <v>781</v>
      </c>
      <c r="F31" s="107" t="s">
        <v>781</v>
      </c>
      <c r="G31" s="107"/>
      <c r="H31" s="108" t="s">
        <v>2346</v>
      </c>
      <c r="I31" s="107" t="s">
        <v>6</v>
      </c>
      <c r="J31" s="110">
        <v>0.33</v>
      </c>
      <c r="K31" s="111">
        <v>20.399999999999999</v>
      </c>
      <c r="L31" s="112">
        <v>1</v>
      </c>
      <c r="M31" s="15"/>
      <c r="N31" s="44"/>
    </row>
    <row r="32" spans="2:14" ht="18.75" customHeight="1" x14ac:dyDescent="0.3">
      <c r="B32" s="10"/>
      <c r="C32" s="182" t="s">
        <v>2485</v>
      </c>
      <c r="D32" s="106" t="s">
        <v>800</v>
      </c>
      <c r="E32" s="107" t="s">
        <v>801</v>
      </c>
      <c r="F32" s="107" t="s">
        <v>802</v>
      </c>
      <c r="G32" s="120" t="s">
        <v>804</v>
      </c>
      <c r="H32" s="108" t="s">
        <v>2347</v>
      </c>
      <c r="I32" s="107" t="s">
        <v>6</v>
      </c>
      <c r="J32" s="110">
        <v>0.33</v>
      </c>
      <c r="K32" s="111">
        <v>11.219999999999999</v>
      </c>
      <c r="L32" s="112">
        <v>1</v>
      </c>
      <c r="M32" s="15"/>
      <c r="N32" s="44"/>
    </row>
    <row r="33" spans="2:14" ht="18.75" customHeight="1" x14ac:dyDescent="0.3">
      <c r="B33" s="10"/>
      <c r="C33" s="182" t="s">
        <v>2485</v>
      </c>
      <c r="D33" s="106" t="s">
        <v>820</v>
      </c>
      <c r="E33" s="107" t="s">
        <v>821</v>
      </c>
      <c r="F33" s="107" t="s">
        <v>821</v>
      </c>
      <c r="G33" s="107" t="s">
        <v>822</v>
      </c>
      <c r="H33" s="108" t="s">
        <v>2253</v>
      </c>
      <c r="I33" s="107" t="s">
        <v>6</v>
      </c>
      <c r="J33" s="110">
        <v>0.33</v>
      </c>
      <c r="K33" s="111">
        <v>19.125</v>
      </c>
      <c r="L33" s="112">
        <v>1</v>
      </c>
      <c r="M33" s="15"/>
      <c r="N33" s="44"/>
    </row>
    <row r="34" spans="2:14" ht="18.75" customHeight="1" x14ac:dyDescent="0.3">
      <c r="B34" s="10"/>
      <c r="C34" s="182" t="s">
        <v>2485</v>
      </c>
      <c r="D34" s="106" t="s">
        <v>858</v>
      </c>
      <c r="E34" s="107" t="s">
        <v>859</v>
      </c>
      <c r="F34" s="107" t="s">
        <v>860</v>
      </c>
      <c r="G34" s="120" t="s">
        <v>862</v>
      </c>
      <c r="H34" s="108" t="s">
        <v>2349</v>
      </c>
      <c r="I34" s="107" t="s">
        <v>6</v>
      </c>
      <c r="J34" s="110">
        <v>0.33</v>
      </c>
      <c r="K34" s="111">
        <v>31.875</v>
      </c>
      <c r="L34" s="112">
        <v>1</v>
      </c>
      <c r="M34" s="15"/>
      <c r="N34" s="44"/>
    </row>
    <row r="35" spans="2:14" ht="18.75" customHeight="1" x14ac:dyDescent="0.3">
      <c r="B35" s="10"/>
      <c r="C35" s="182" t="s">
        <v>2485</v>
      </c>
      <c r="D35" s="118" t="s">
        <v>614</v>
      </c>
      <c r="E35" s="107" t="s">
        <v>160</v>
      </c>
      <c r="F35" s="107" t="s">
        <v>615</v>
      </c>
      <c r="G35" s="120" t="s">
        <v>139</v>
      </c>
      <c r="H35" s="108" t="s">
        <v>2342</v>
      </c>
      <c r="I35" s="107" t="s">
        <v>6</v>
      </c>
      <c r="J35" s="110">
        <v>0.33</v>
      </c>
      <c r="K35" s="111">
        <v>32.299999999999997</v>
      </c>
      <c r="L35" s="112">
        <v>1</v>
      </c>
      <c r="M35" s="15"/>
      <c r="N35" s="44"/>
    </row>
    <row r="36" spans="2:14" ht="18.75" customHeight="1" x14ac:dyDescent="0.3">
      <c r="B36" s="10"/>
      <c r="C36" s="182" t="s">
        <v>2485</v>
      </c>
      <c r="D36" s="118" t="s">
        <v>1128</v>
      </c>
      <c r="E36" s="117" t="s">
        <v>641</v>
      </c>
      <c r="F36" s="119" t="s">
        <v>1129</v>
      </c>
      <c r="G36" s="124" t="s">
        <v>1132</v>
      </c>
      <c r="H36" s="108" t="s">
        <v>2358</v>
      </c>
      <c r="I36" s="107" t="s">
        <v>6</v>
      </c>
      <c r="J36" s="110">
        <v>0.33</v>
      </c>
      <c r="K36" s="111">
        <v>13.8125</v>
      </c>
      <c r="L36" s="112">
        <v>1</v>
      </c>
      <c r="M36" s="15"/>
      <c r="N36" s="44"/>
    </row>
    <row r="37" spans="2:14" ht="18.75" customHeight="1" x14ac:dyDescent="0.3">
      <c r="B37" s="10"/>
      <c r="C37" s="182" t="s">
        <v>2485</v>
      </c>
      <c r="D37" s="106" t="s">
        <v>1134</v>
      </c>
      <c r="E37" s="107" t="s">
        <v>641</v>
      </c>
      <c r="F37" s="107" t="s">
        <v>1129</v>
      </c>
      <c r="G37" s="120" t="s">
        <v>1135</v>
      </c>
      <c r="H37" s="108" t="s">
        <v>2359</v>
      </c>
      <c r="I37" s="107" t="s">
        <v>6</v>
      </c>
      <c r="J37" s="110">
        <v>0.33</v>
      </c>
      <c r="K37" s="111">
        <v>13.8125</v>
      </c>
      <c r="L37" s="112">
        <v>1</v>
      </c>
      <c r="M37" s="15"/>
      <c r="N37" s="44"/>
    </row>
    <row r="38" spans="2:14" ht="18.75" customHeight="1" x14ac:dyDescent="0.3">
      <c r="B38" s="10"/>
      <c r="C38" s="182" t="s">
        <v>2485</v>
      </c>
      <c r="D38" s="118" t="s">
        <v>1154</v>
      </c>
      <c r="E38" s="107" t="s">
        <v>1155</v>
      </c>
      <c r="F38" s="107"/>
      <c r="G38" s="120" t="s">
        <v>155</v>
      </c>
      <c r="H38" s="108" t="s">
        <v>2441</v>
      </c>
      <c r="I38" s="107" t="s">
        <v>6</v>
      </c>
      <c r="J38" s="110">
        <v>0.33</v>
      </c>
      <c r="K38" s="111">
        <v>9.86</v>
      </c>
      <c r="L38" s="112">
        <v>1</v>
      </c>
      <c r="M38" s="15"/>
      <c r="N38" s="44"/>
    </row>
    <row r="39" spans="2:14" ht="18.75" customHeight="1" x14ac:dyDescent="0.3">
      <c r="B39" s="10"/>
      <c r="C39" s="182" t="s">
        <v>2485</v>
      </c>
      <c r="D39" s="118" t="s">
        <v>1226</v>
      </c>
      <c r="E39" s="107" t="s">
        <v>1227</v>
      </c>
      <c r="F39" s="107" t="s">
        <v>1228</v>
      </c>
      <c r="G39" s="120" t="s">
        <v>653</v>
      </c>
      <c r="H39" s="108" t="s">
        <v>2362</v>
      </c>
      <c r="I39" s="107" t="s">
        <v>6</v>
      </c>
      <c r="J39" s="110">
        <v>0.33</v>
      </c>
      <c r="K39" s="111">
        <v>24.82</v>
      </c>
      <c r="L39" s="112">
        <v>1</v>
      </c>
      <c r="M39" s="15"/>
      <c r="N39" s="44"/>
    </row>
    <row r="40" spans="2:14" ht="18.75" customHeight="1" x14ac:dyDescent="0.3">
      <c r="B40" s="10"/>
      <c r="C40" s="182" t="s">
        <v>2485</v>
      </c>
      <c r="D40" s="106" t="s">
        <v>1230</v>
      </c>
      <c r="E40" s="107" t="s">
        <v>1227</v>
      </c>
      <c r="F40" s="107" t="s">
        <v>1228</v>
      </c>
      <c r="G40" s="120" t="s">
        <v>469</v>
      </c>
      <c r="H40" s="108" t="s">
        <v>2363</v>
      </c>
      <c r="I40" s="107" t="s">
        <v>6</v>
      </c>
      <c r="J40" s="110">
        <v>0.33</v>
      </c>
      <c r="K40" s="111">
        <v>24.82</v>
      </c>
      <c r="L40" s="112">
        <v>1</v>
      </c>
      <c r="M40" s="15"/>
      <c r="N40" s="44"/>
    </row>
    <row r="41" spans="2:14" ht="18.75" customHeight="1" x14ac:dyDescent="0.3">
      <c r="B41" s="10"/>
      <c r="C41" s="182" t="s">
        <v>2485</v>
      </c>
      <c r="D41" s="118" t="s">
        <v>1240</v>
      </c>
      <c r="E41" s="120" t="s">
        <v>641</v>
      </c>
      <c r="F41" s="107" t="s">
        <v>1241</v>
      </c>
      <c r="G41" s="107" t="s">
        <v>1061</v>
      </c>
      <c r="H41" s="108" t="s">
        <v>2365</v>
      </c>
      <c r="I41" s="107" t="s">
        <v>6</v>
      </c>
      <c r="J41" s="110">
        <v>0.33</v>
      </c>
      <c r="K41" s="111">
        <v>7.3525</v>
      </c>
      <c r="L41" s="112">
        <v>1</v>
      </c>
      <c r="M41" s="15"/>
      <c r="N41" s="44"/>
    </row>
    <row r="42" spans="2:14" ht="18.75" customHeight="1" x14ac:dyDescent="0.3">
      <c r="B42" s="10"/>
      <c r="C42" s="182" t="s">
        <v>2485</v>
      </c>
      <c r="D42" s="118" t="s">
        <v>1244</v>
      </c>
      <c r="E42" s="107" t="s">
        <v>641</v>
      </c>
      <c r="F42" s="107" t="s">
        <v>1241</v>
      </c>
      <c r="G42" s="107" t="s">
        <v>1245</v>
      </c>
      <c r="H42" s="108" t="s">
        <v>2366</v>
      </c>
      <c r="I42" s="107" t="s">
        <v>6</v>
      </c>
      <c r="J42" s="110">
        <v>0.33</v>
      </c>
      <c r="K42" s="111">
        <v>18.785</v>
      </c>
      <c r="L42" s="112">
        <v>1</v>
      </c>
      <c r="M42" s="15"/>
      <c r="N42" s="44"/>
    </row>
    <row r="43" spans="2:14" ht="18.75" customHeight="1" x14ac:dyDescent="0.3">
      <c r="B43" s="10"/>
      <c r="C43" s="182" t="s">
        <v>2485</v>
      </c>
      <c r="D43" s="118" t="s">
        <v>1247</v>
      </c>
      <c r="E43" s="107" t="s">
        <v>641</v>
      </c>
      <c r="F43" s="107" t="s">
        <v>1241</v>
      </c>
      <c r="G43" s="120" t="s">
        <v>1248</v>
      </c>
      <c r="H43" s="108" t="s">
        <v>2367</v>
      </c>
      <c r="I43" s="107" t="s">
        <v>6</v>
      </c>
      <c r="J43" s="110">
        <v>0.33</v>
      </c>
      <c r="K43" s="111">
        <v>6.8849999999999998</v>
      </c>
      <c r="L43" s="112">
        <v>1</v>
      </c>
      <c r="M43" s="15"/>
      <c r="N43" s="44"/>
    </row>
    <row r="44" spans="2:14" ht="18.75" customHeight="1" x14ac:dyDescent="0.3">
      <c r="B44" s="10"/>
      <c r="C44" s="182" t="s">
        <v>2485</v>
      </c>
      <c r="D44" s="118" t="s">
        <v>1249</v>
      </c>
      <c r="E44" s="120" t="s">
        <v>641</v>
      </c>
      <c r="F44" s="107" t="s">
        <v>1241</v>
      </c>
      <c r="G44" s="119" t="s">
        <v>1250</v>
      </c>
      <c r="H44" s="108" t="s">
        <v>2368</v>
      </c>
      <c r="I44" s="107" t="s">
        <v>6</v>
      </c>
      <c r="J44" s="110">
        <v>0.33</v>
      </c>
      <c r="K44" s="111">
        <v>4.93</v>
      </c>
      <c r="L44" s="112">
        <v>1</v>
      </c>
      <c r="M44" s="15"/>
      <c r="N44" s="44"/>
    </row>
    <row r="45" spans="2:14" ht="18.75" customHeight="1" x14ac:dyDescent="0.3">
      <c r="B45" s="10"/>
      <c r="C45" s="182" t="s">
        <v>2485</v>
      </c>
      <c r="D45" s="106" t="s">
        <v>1347</v>
      </c>
      <c r="E45" s="107" t="s">
        <v>1348</v>
      </c>
      <c r="F45" s="120" t="s">
        <v>1349</v>
      </c>
      <c r="G45" s="120"/>
      <c r="H45" s="108" t="s">
        <v>2325</v>
      </c>
      <c r="I45" s="107" t="s">
        <v>6</v>
      </c>
      <c r="J45" s="110">
        <v>0.33</v>
      </c>
      <c r="K45" s="111">
        <v>45.56</v>
      </c>
      <c r="L45" s="112">
        <v>1</v>
      </c>
      <c r="M45" s="15"/>
      <c r="N45" s="44"/>
    </row>
    <row r="46" spans="2:14" ht="18.75" customHeight="1" x14ac:dyDescent="0.3">
      <c r="B46" s="10"/>
      <c r="C46" s="182" t="s">
        <v>2485</v>
      </c>
      <c r="D46" s="106" t="s">
        <v>1369</v>
      </c>
      <c r="E46" s="107" t="s">
        <v>1370</v>
      </c>
      <c r="F46" s="107" t="s">
        <v>1371</v>
      </c>
      <c r="G46" s="120"/>
      <c r="H46" s="108" t="s">
        <v>2370</v>
      </c>
      <c r="I46" s="107" t="s">
        <v>6</v>
      </c>
      <c r="J46" s="110">
        <v>0.33</v>
      </c>
      <c r="K46" s="111">
        <v>15.299999999999999</v>
      </c>
      <c r="L46" s="112">
        <v>1</v>
      </c>
      <c r="M46" s="15"/>
      <c r="N46" s="44"/>
    </row>
    <row r="47" spans="2:14" ht="18.75" customHeight="1" x14ac:dyDescent="0.3">
      <c r="B47" s="10"/>
      <c r="C47" s="182" t="s">
        <v>2485</v>
      </c>
      <c r="D47" s="118" t="s">
        <v>1392</v>
      </c>
      <c r="E47" s="117" t="s">
        <v>1393</v>
      </c>
      <c r="F47" s="119" t="s">
        <v>1394</v>
      </c>
      <c r="G47" s="119" t="s">
        <v>1397</v>
      </c>
      <c r="H47" s="108" t="s">
        <v>2371</v>
      </c>
      <c r="I47" s="107" t="s">
        <v>6</v>
      </c>
      <c r="J47" s="110">
        <v>0.33</v>
      </c>
      <c r="K47" s="111">
        <v>34.339999999999996</v>
      </c>
      <c r="L47" s="112">
        <v>1</v>
      </c>
      <c r="M47" s="15"/>
      <c r="N47" s="44"/>
    </row>
    <row r="48" spans="2:14" ht="18.75" customHeight="1" x14ac:dyDescent="0.3">
      <c r="B48" s="10"/>
      <c r="C48" s="182" t="s">
        <v>2485</v>
      </c>
      <c r="D48" s="106" t="s">
        <v>1398</v>
      </c>
      <c r="E48" s="107" t="s">
        <v>1393</v>
      </c>
      <c r="F48" s="107" t="s">
        <v>1394</v>
      </c>
      <c r="G48" s="121" t="s">
        <v>1399</v>
      </c>
      <c r="H48" s="108" t="s">
        <v>2372</v>
      </c>
      <c r="I48" s="107" t="s">
        <v>6</v>
      </c>
      <c r="J48" s="110">
        <v>0.33</v>
      </c>
      <c r="K48" s="111">
        <v>17.935000000000002</v>
      </c>
      <c r="L48" s="112">
        <v>1</v>
      </c>
      <c r="M48" s="15"/>
      <c r="N48" s="44"/>
    </row>
    <row r="49" spans="2:14" ht="18.75" customHeight="1" x14ac:dyDescent="0.3">
      <c r="B49" s="10"/>
      <c r="C49" s="182" t="s">
        <v>2485</v>
      </c>
      <c r="D49" s="118" t="s">
        <v>1543</v>
      </c>
      <c r="E49" s="120" t="s">
        <v>1544</v>
      </c>
      <c r="F49" s="107" t="s">
        <v>1545</v>
      </c>
      <c r="G49" s="107" t="s">
        <v>1547</v>
      </c>
      <c r="H49" s="108" t="s">
        <v>2006</v>
      </c>
      <c r="I49" s="107" t="s">
        <v>6</v>
      </c>
      <c r="J49" s="110">
        <v>0.33</v>
      </c>
      <c r="K49" s="111">
        <v>7.6499999999999995</v>
      </c>
      <c r="L49" s="112">
        <v>1</v>
      </c>
      <c r="M49" s="15"/>
      <c r="N49" s="44"/>
    </row>
    <row r="50" spans="2:14" ht="18.75" customHeight="1" x14ac:dyDescent="0.3">
      <c r="B50" s="10"/>
      <c r="C50" s="182" t="s">
        <v>2485</v>
      </c>
      <c r="D50" s="118" t="s">
        <v>1569</v>
      </c>
      <c r="E50" s="120" t="s">
        <v>458</v>
      </c>
      <c r="F50" s="119" t="s">
        <v>1570</v>
      </c>
      <c r="G50" s="124"/>
      <c r="H50" s="108" t="s">
        <v>2375</v>
      </c>
      <c r="I50" s="107" t="s">
        <v>6</v>
      </c>
      <c r="J50" s="123">
        <v>0.33</v>
      </c>
      <c r="K50" s="111">
        <v>25.5</v>
      </c>
      <c r="L50" s="112">
        <v>1</v>
      </c>
      <c r="M50" s="15"/>
      <c r="N50" s="44"/>
    </row>
    <row r="51" spans="2:14" ht="18.75" customHeight="1" x14ac:dyDescent="0.3">
      <c r="B51" s="10"/>
      <c r="C51" s="182" t="s">
        <v>2485</v>
      </c>
      <c r="D51" s="118" t="s">
        <v>1640</v>
      </c>
      <c r="E51" s="107" t="s">
        <v>1641</v>
      </c>
      <c r="F51" s="107" t="s">
        <v>1642</v>
      </c>
      <c r="G51" s="107" t="s">
        <v>155</v>
      </c>
      <c r="H51" s="108" t="s">
        <v>2379</v>
      </c>
      <c r="I51" s="107" t="s">
        <v>6</v>
      </c>
      <c r="J51" s="110">
        <v>0.33</v>
      </c>
      <c r="K51" s="111">
        <v>20.74</v>
      </c>
      <c r="L51" s="112">
        <v>1</v>
      </c>
      <c r="M51" s="15"/>
      <c r="N51" s="44"/>
    </row>
    <row r="52" spans="2:14" ht="18.75" customHeight="1" x14ac:dyDescent="0.3">
      <c r="B52" s="10"/>
      <c r="C52" s="182" t="s">
        <v>2485</v>
      </c>
      <c r="D52" s="118" t="s">
        <v>1719</v>
      </c>
      <c r="E52" s="120" t="s">
        <v>40</v>
      </c>
      <c r="F52" s="107" t="s">
        <v>1720</v>
      </c>
      <c r="G52" s="357" t="s">
        <v>1723</v>
      </c>
      <c r="H52" s="108" t="s">
        <v>2042</v>
      </c>
      <c r="I52" s="110" t="s">
        <v>6</v>
      </c>
      <c r="J52" s="110">
        <v>0.33</v>
      </c>
      <c r="K52" s="111">
        <v>16.574999999999999</v>
      </c>
      <c r="L52" s="112">
        <v>1</v>
      </c>
      <c r="M52" s="15"/>
      <c r="N52" s="44"/>
    </row>
    <row r="53" spans="2:14" ht="18.75" customHeight="1" x14ac:dyDescent="0.3">
      <c r="B53" s="10"/>
      <c r="C53" s="182" t="s">
        <v>2485</v>
      </c>
      <c r="D53" s="106" t="s">
        <v>1771</v>
      </c>
      <c r="E53" s="107" t="s">
        <v>1313</v>
      </c>
      <c r="F53" s="107" t="s">
        <v>1772</v>
      </c>
      <c r="G53" s="120">
        <v>1</v>
      </c>
      <c r="H53" s="108" t="s">
        <v>2381</v>
      </c>
      <c r="I53" s="107" t="s">
        <v>6</v>
      </c>
      <c r="J53" s="110">
        <v>0.33</v>
      </c>
      <c r="K53" s="111">
        <v>15.299999999999999</v>
      </c>
      <c r="L53" s="112">
        <v>1</v>
      </c>
      <c r="M53" s="15"/>
      <c r="N53" s="44"/>
    </row>
    <row r="54" spans="2:14" ht="18.75" customHeight="1" x14ac:dyDescent="0.3">
      <c r="B54" s="10"/>
      <c r="C54" s="182" t="s">
        <v>2485</v>
      </c>
      <c r="D54" s="106" t="s">
        <v>1775</v>
      </c>
      <c r="E54" s="130" t="s">
        <v>1313</v>
      </c>
      <c r="F54" s="107" t="s">
        <v>1776</v>
      </c>
      <c r="G54" s="120">
        <v>3</v>
      </c>
      <c r="H54" s="108" t="s">
        <v>2382</v>
      </c>
      <c r="I54" s="107" t="s">
        <v>6</v>
      </c>
      <c r="J54" s="110">
        <v>0.33</v>
      </c>
      <c r="K54" s="111">
        <v>18.7</v>
      </c>
      <c r="L54" s="112">
        <v>1</v>
      </c>
      <c r="M54" s="15"/>
      <c r="N54" s="44"/>
    </row>
    <row r="55" spans="2:14" ht="18.75" customHeight="1" x14ac:dyDescent="0.3">
      <c r="B55" s="10"/>
      <c r="C55" s="182" t="s">
        <v>2485</v>
      </c>
      <c r="D55" s="106" t="s">
        <v>1824</v>
      </c>
      <c r="E55" s="107" t="s">
        <v>128</v>
      </c>
      <c r="F55" s="107" t="s">
        <v>1825</v>
      </c>
      <c r="G55" s="107" t="s">
        <v>956</v>
      </c>
      <c r="H55" s="108" t="s">
        <v>2383</v>
      </c>
      <c r="I55" s="107" t="s">
        <v>6</v>
      </c>
      <c r="J55" s="110">
        <v>0.33</v>
      </c>
      <c r="K55" s="111">
        <v>22.95</v>
      </c>
      <c r="L55" s="112">
        <v>1</v>
      </c>
      <c r="M55" s="15"/>
      <c r="N55" s="44"/>
    </row>
    <row r="56" spans="2:14" ht="18.75" customHeight="1" x14ac:dyDescent="0.3">
      <c r="B56" s="10"/>
      <c r="C56" s="182" t="s">
        <v>2485</v>
      </c>
      <c r="D56" s="106" t="s">
        <v>232</v>
      </c>
      <c r="E56" s="107" t="s">
        <v>233</v>
      </c>
      <c r="F56" s="107" t="s">
        <v>233</v>
      </c>
      <c r="G56" s="107"/>
      <c r="H56" s="108" t="s">
        <v>2271</v>
      </c>
      <c r="I56" s="107" t="s">
        <v>6</v>
      </c>
      <c r="J56" s="110">
        <v>0.33</v>
      </c>
      <c r="K56" s="111">
        <v>8.4150000000000009</v>
      </c>
      <c r="L56" s="112">
        <v>1</v>
      </c>
      <c r="M56" s="15"/>
      <c r="N56" s="44"/>
    </row>
    <row r="57" spans="2:14" ht="18.75" customHeight="1" x14ac:dyDescent="0.3">
      <c r="B57" s="10"/>
      <c r="C57" s="182" t="s">
        <v>2485</v>
      </c>
      <c r="D57" s="106" t="s">
        <v>237</v>
      </c>
      <c r="E57" s="107" t="s">
        <v>238</v>
      </c>
      <c r="F57" s="107" t="s">
        <v>239</v>
      </c>
      <c r="G57" s="107" t="s">
        <v>242</v>
      </c>
      <c r="H57" s="108" t="s">
        <v>2336</v>
      </c>
      <c r="I57" s="107" t="s">
        <v>6</v>
      </c>
      <c r="J57" s="110">
        <v>0.33</v>
      </c>
      <c r="K57" s="111">
        <v>8.0749999999999993</v>
      </c>
      <c r="L57" s="112">
        <v>1</v>
      </c>
      <c r="M57" s="15"/>
      <c r="N57" s="44"/>
    </row>
    <row r="58" spans="2:14" ht="18.75" customHeight="1" x14ac:dyDescent="0.3">
      <c r="B58" s="10"/>
      <c r="C58" s="182" t="s">
        <v>2485</v>
      </c>
      <c r="D58" s="118" t="s">
        <v>299</v>
      </c>
      <c r="E58" s="107" t="s">
        <v>294</v>
      </c>
      <c r="F58" s="107" t="s">
        <v>300</v>
      </c>
      <c r="G58" s="107" t="s">
        <v>300</v>
      </c>
      <c r="H58" s="108" t="s">
        <v>302</v>
      </c>
      <c r="I58" s="107" t="s">
        <v>6</v>
      </c>
      <c r="J58" s="110">
        <v>0.33</v>
      </c>
      <c r="K58" s="111">
        <v>37.4</v>
      </c>
      <c r="L58" s="112">
        <v>1</v>
      </c>
      <c r="M58" s="15"/>
      <c r="N58" s="44"/>
    </row>
    <row r="59" spans="2:14" ht="18.75" customHeight="1" x14ac:dyDescent="0.3">
      <c r="B59" s="10"/>
      <c r="C59" s="182" t="s">
        <v>2485</v>
      </c>
      <c r="D59" s="118" t="s">
        <v>333</v>
      </c>
      <c r="E59" s="107" t="s">
        <v>334</v>
      </c>
      <c r="F59" s="107" t="s">
        <v>335</v>
      </c>
      <c r="G59" s="124"/>
      <c r="H59" s="108" t="s">
        <v>2338</v>
      </c>
      <c r="I59" s="107" t="s">
        <v>6</v>
      </c>
      <c r="J59" s="110">
        <v>0.33</v>
      </c>
      <c r="K59" s="111">
        <v>11.9</v>
      </c>
      <c r="L59" s="112">
        <v>1</v>
      </c>
      <c r="M59" s="15"/>
      <c r="N59" s="44"/>
    </row>
    <row r="60" spans="2:14" ht="18.75" customHeight="1" x14ac:dyDescent="0.3">
      <c r="B60" s="10"/>
      <c r="C60" s="182" t="s">
        <v>2485</v>
      </c>
      <c r="D60" s="118" t="s">
        <v>363</v>
      </c>
      <c r="E60" s="107" t="s">
        <v>364</v>
      </c>
      <c r="F60" s="107" t="s">
        <v>365</v>
      </c>
      <c r="G60" s="120"/>
      <c r="H60" s="108" t="s">
        <v>2339</v>
      </c>
      <c r="I60" s="107" t="s">
        <v>6</v>
      </c>
      <c r="J60" s="110">
        <v>0.33</v>
      </c>
      <c r="K60" s="111">
        <v>10.625</v>
      </c>
      <c r="L60" s="112">
        <v>1</v>
      </c>
      <c r="M60" s="15"/>
      <c r="N60" s="44"/>
    </row>
    <row r="61" spans="2:14" ht="18.75" customHeight="1" x14ac:dyDescent="0.3">
      <c r="B61" s="10"/>
      <c r="C61" s="182" t="s">
        <v>2485</v>
      </c>
      <c r="D61" s="106" t="s">
        <v>596</v>
      </c>
      <c r="E61" s="120" t="s">
        <v>597</v>
      </c>
      <c r="F61" s="107" t="s">
        <v>598</v>
      </c>
      <c r="G61" s="107"/>
      <c r="H61" s="108" t="s">
        <v>2341</v>
      </c>
      <c r="I61" s="107" t="s">
        <v>6</v>
      </c>
      <c r="J61" s="110">
        <v>0.33</v>
      </c>
      <c r="K61" s="111">
        <v>11.559999999999999</v>
      </c>
      <c r="L61" s="112">
        <v>1</v>
      </c>
      <c r="M61" s="15"/>
      <c r="N61" s="44"/>
    </row>
    <row r="62" spans="2:14" ht="18.75" customHeight="1" x14ac:dyDescent="0.3">
      <c r="B62" s="10"/>
      <c r="C62" s="182" t="s">
        <v>2485</v>
      </c>
      <c r="D62" s="106" t="s">
        <v>707</v>
      </c>
      <c r="E62" s="107" t="s">
        <v>708</v>
      </c>
      <c r="F62" s="120" t="s">
        <v>709</v>
      </c>
      <c r="G62" s="107" t="s">
        <v>711</v>
      </c>
      <c r="H62" s="108" t="s">
        <v>2344</v>
      </c>
      <c r="I62" s="107" t="s">
        <v>6</v>
      </c>
      <c r="J62" s="110">
        <v>0.33</v>
      </c>
      <c r="K62" s="111">
        <v>9.35</v>
      </c>
      <c r="L62" s="112">
        <v>1</v>
      </c>
      <c r="M62" s="15"/>
      <c r="N62" s="44"/>
    </row>
    <row r="63" spans="2:14" ht="18.75" customHeight="1" x14ac:dyDescent="0.3">
      <c r="B63" s="10"/>
      <c r="C63" s="182" t="s">
        <v>2485</v>
      </c>
      <c r="D63" s="118" t="s">
        <v>806</v>
      </c>
      <c r="E63" s="107" t="s">
        <v>807</v>
      </c>
      <c r="F63" s="107" t="s">
        <v>808</v>
      </c>
      <c r="G63" s="120"/>
      <c r="H63" s="108" t="s">
        <v>2348</v>
      </c>
      <c r="I63" s="107" t="s">
        <v>6</v>
      </c>
      <c r="J63" s="110">
        <v>0.33</v>
      </c>
      <c r="K63" s="111">
        <v>12.392999999999999</v>
      </c>
      <c r="L63" s="112">
        <v>1</v>
      </c>
      <c r="M63" s="15"/>
      <c r="N63" s="44"/>
    </row>
    <row r="64" spans="2:14" ht="18.75" customHeight="1" x14ac:dyDescent="0.3">
      <c r="B64" s="10"/>
      <c r="C64" s="182" t="s">
        <v>2485</v>
      </c>
      <c r="D64" s="106" t="s">
        <v>884</v>
      </c>
      <c r="E64" s="107" t="s">
        <v>885</v>
      </c>
      <c r="F64" s="120" t="s">
        <v>886</v>
      </c>
      <c r="G64" s="120" t="s">
        <v>889</v>
      </c>
      <c r="H64" s="108" t="s">
        <v>2350</v>
      </c>
      <c r="I64" s="107" t="s">
        <v>6</v>
      </c>
      <c r="J64" s="110">
        <v>0.33</v>
      </c>
      <c r="K64" s="111">
        <v>13.174999999999999</v>
      </c>
      <c r="L64" s="112">
        <v>1</v>
      </c>
      <c r="M64" s="15"/>
      <c r="N64" s="44"/>
    </row>
    <row r="65" spans="2:14" ht="18.75" customHeight="1" x14ac:dyDescent="0.3">
      <c r="B65" s="10"/>
      <c r="C65" s="182" t="s">
        <v>2485</v>
      </c>
      <c r="D65" s="118" t="s">
        <v>890</v>
      </c>
      <c r="E65" s="107" t="s">
        <v>885</v>
      </c>
      <c r="F65" s="107" t="s">
        <v>891</v>
      </c>
      <c r="G65" s="120" t="s">
        <v>892</v>
      </c>
      <c r="H65" s="108" t="s">
        <v>2351</v>
      </c>
      <c r="I65" s="107" t="s">
        <v>6</v>
      </c>
      <c r="J65" s="110">
        <v>0.33</v>
      </c>
      <c r="K65" s="111">
        <v>16.574999999999999</v>
      </c>
      <c r="L65" s="112">
        <v>1</v>
      </c>
      <c r="M65" s="15"/>
      <c r="N65" s="44"/>
    </row>
    <row r="66" spans="2:14" ht="18.75" customHeight="1" x14ac:dyDescent="0.3">
      <c r="B66" s="10"/>
      <c r="C66" s="182" t="s">
        <v>2485</v>
      </c>
      <c r="D66" s="118" t="s">
        <v>923</v>
      </c>
      <c r="E66" s="107" t="s">
        <v>924</v>
      </c>
      <c r="F66" s="107" t="s">
        <v>925</v>
      </c>
      <c r="G66" s="107" t="s">
        <v>927</v>
      </c>
      <c r="H66" s="108" t="s">
        <v>2352</v>
      </c>
      <c r="I66" s="107" t="s">
        <v>6</v>
      </c>
      <c r="J66" s="110">
        <v>0.33</v>
      </c>
      <c r="K66" s="111">
        <v>21.675000000000001</v>
      </c>
      <c r="L66" s="112">
        <v>1</v>
      </c>
      <c r="M66" s="15"/>
      <c r="N66" s="44"/>
    </row>
    <row r="67" spans="2:14" ht="18.75" customHeight="1" x14ac:dyDescent="0.3">
      <c r="B67" s="10"/>
      <c r="C67" s="182" t="s">
        <v>2485</v>
      </c>
      <c r="D67" s="106" t="s">
        <v>951</v>
      </c>
      <c r="E67" s="107" t="s">
        <v>952</v>
      </c>
      <c r="F67" s="120" t="s">
        <v>953</v>
      </c>
      <c r="G67" s="120" t="s">
        <v>956</v>
      </c>
      <c r="H67" s="108" t="s">
        <v>2297</v>
      </c>
      <c r="I67" s="107" t="s">
        <v>6</v>
      </c>
      <c r="J67" s="110">
        <v>0.33</v>
      </c>
      <c r="K67" s="111">
        <v>13.6</v>
      </c>
      <c r="L67" s="112">
        <v>1</v>
      </c>
      <c r="M67" s="15"/>
      <c r="N67" s="44"/>
    </row>
    <row r="68" spans="2:14" ht="18.75" customHeight="1" x14ac:dyDescent="0.3">
      <c r="B68" s="10"/>
      <c r="C68" s="182" t="s">
        <v>2485</v>
      </c>
      <c r="D68" s="118" t="s">
        <v>975</v>
      </c>
      <c r="E68" s="120" t="s">
        <v>976</v>
      </c>
      <c r="F68" s="107" t="s">
        <v>977</v>
      </c>
      <c r="G68" s="107"/>
      <c r="H68" s="108" t="s">
        <v>2354</v>
      </c>
      <c r="I68" s="107" t="s">
        <v>6</v>
      </c>
      <c r="J68" s="110">
        <v>0.33</v>
      </c>
      <c r="K68" s="111">
        <v>12.494999999999999</v>
      </c>
      <c r="L68" s="112">
        <v>1</v>
      </c>
      <c r="M68" s="15"/>
      <c r="N68" s="44"/>
    </row>
    <row r="69" spans="2:14" ht="18.75" customHeight="1" x14ac:dyDescent="0.3">
      <c r="B69" s="10"/>
      <c r="C69" s="182" t="s">
        <v>2485</v>
      </c>
      <c r="D69" s="106" t="s">
        <v>1002</v>
      </c>
      <c r="E69" s="107" t="s">
        <v>1003</v>
      </c>
      <c r="F69" s="107" t="s">
        <v>1004</v>
      </c>
      <c r="G69" s="120" t="s">
        <v>1004</v>
      </c>
      <c r="H69" s="108" t="s">
        <v>2355</v>
      </c>
      <c r="I69" s="107" t="s">
        <v>6</v>
      </c>
      <c r="J69" s="110">
        <v>0.33</v>
      </c>
      <c r="K69" s="111">
        <v>38.335000000000001</v>
      </c>
      <c r="L69" s="112">
        <v>1</v>
      </c>
      <c r="M69" s="15"/>
      <c r="N69" s="44"/>
    </row>
    <row r="70" spans="2:14" ht="18.75" customHeight="1" x14ac:dyDescent="0.3">
      <c r="B70" s="10"/>
      <c r="C70" s="182" t="s">
        <v>2485</v>
      </c>
      <c r="D70" s="106" t="s">
        <v>1062</v>
      </c>
      <c r="E70" s="107" t="s">
        <v>1057</v>
      </c>
      <c r="F70" s="107" t="s">
        <v>1058</v>
      </c>
      <c r="G70" s="120" t="s">
        <v>1063</v>
      </c>
      <c r="H70" s="108" t="s">
        <v>2152</v>
      </c>
      <c r="I70" s="107" t="s">
        <v>6</v>
      </c>
      <c r="J70" s="110">
        <v>0.33</v>
      </c>
      <c r="K70" s="111">
        <v>11.73</v>
      </c>
      <c r="L70" s="112">
        <v>1</v>
      </c>
      <c r="M70" s="15"/>
      <c r="N70" s="44"/>
    </row>
    <row r="71" spans="2:14" ht="18.75" customHeight="1" x14ac:dyDescent="0.3">
      <c r="B71" s="10"/>
      <c r="C71" s="182" t="s">
        <v>2485</v>
      </c>
      <c r="D71" s="118" t="s">
        <v>1064</v>
      </c>
      <c r="E71" s="107" t="s">
        <v>1057</v>
      </c>
      <c r="F71" s="107" t="s">
        <v>1058</v>
      </c>
      <c r="G71" s="120" t="s">
        <v>1065</v>
      </c>
      <c r="H71" s="108" t="s">
        <v>2053</v>
      </c>
      <c r="I71" s="107" t="s">
        <v>6</v>
      </c>
      <c r="J71" s="110">
        <v>0.33</v>
      </c>
      <c r="K71" s="111">
        <v>1.2749999999999999</v>
      </c>
      <c r="L71" s="112">
        <v>1</v>
      </c>
      <c r="M71" s="15"/>
      <c r="N71" s="44"/>
    </row>
    <row r="72" spans="2:14" ht="18.75" customHeight="1" x14ac:dyDescent="0.3">
      <c r="B72" s="10"/>
      <c r="C72" s="182" t="s">
        <v>2485</v>
      </c>
      <c r="D72" s="106" t="s">
        <v>1066</v>
      </c>
      <c r="E72" s="107" t="s">
        <v>1057</v>
      </c>
      <c r="F72" s="107" t="s">
        <v>1058</v>
      </c>
      <c r="G72" s="107" t="s">
        <v>33</v>
      </c>
      <c r="H72" s="108" t="s">
        <v>1988</v>
      </c>
      <c r="I72" s="107" t="s">
        <v>6</v>
      </c>
      <c r="J72" s="110">
        <v>0.33</v>
      </c>
      <c r="K72" s="111">
        <v>2.38</v>
      </c>
      <c r="L72" s="112">
        <v>1</v>
      </c>
      <c r="M72" s="15"/>
      <c r="N72" s="44"/>
    </row>
    <row r="73" spans="2:14" ht="18.75" customHeight="1" x14ac:dyDescent="0.3">
      <c r="B73" s="10"/>
      <c r="C73" s="182" t="s">
        <v>2485</v>
      </c>
      <c r="D73" s="106" t="s">
        <v>1067</v>
      </c>
      <c r="E73" s="107" t="s">
        <v>1057</v>
      </c>
      <c r="F73" s="107" t="s">
        <v>1058</v>
      </c>
      <c r="G73" s="120" t="s">
        <v>1068</v>
      </c>
      <c r="H73" s="108" t="s">
        <v>2053</v>
      </c>
      <c r="I73" s="107" t="s">
        <v>6</v>
      </c>
      <c r="J73" s="110">
        <v>0.33</v>
      </c>
      <c r="K73" s="111">
        <v>1.2749999999999999</v>
      </c>
      <c r="L73" s="112">
        <v>1</v>
      </c>
      <c r="M73" s="15"/>
      <c r="N73" s="44"/>
    </row>
    <row r="74" spans="2:14" ht="18.75" customHeight="1" x14ac:dyDescent="0.3">
      <c r="B74" s="10"/>
      <c r="C74" s="182" t="s">
        <v>2485</v>
      </c>
      <c r="D74" s="118" t="s">
        <v>1108</v>
      </c>
      <c r="E74" s="120" t="s">
        <v>458</v>
      </c>
      <c r="F74" s="107" t="s">
        <v>1109</v>
      </c>
      <c r="G74" s="120"/>
      <c r="H74" s="108" t="s">
        <v>2357</v>
      </c>
      <c r="I74" s="107" t="s">
        <v>6</v>
      </c>
      <c r="J74" s="110">
        <v>0.33</v>
      </c>
      <c r="K74" s="111">
        <v>13.344999999999999</v>
      </c>
      <c r="L74" s="112">
        <v>1</v>
      </c>
      <c r="M74" s="15"/>
      <c r="N74" s="44"/>
    </row>
    <row r="75" spans="2:14" ht="18.75" customHeight="1" x14ac:dyDescent="0.3">
      <c r="B75" s="10"/>
      <c r="C75" s="182" t="s">
        <v>2485</v>
      </c>
      <c r="D75" s="118" t="s">
        <v>1188</v>
      </c>
      <c r="E75" s="107" t="s">
        <v>121</v>
      </c>
      <c r="F75" s="107" t="s">
        <v>1189</v>
      </c>
      <c r="G75" s="120" t="s">
        <v>1191</v>
      </c>
      <c r="H75" s="108" t="s">
        <v>2360</v>
      </c>
      <c r="I75" s="107" t="s">
        <v>6</v>
      </c>
      <c r="J75" s="110">
        <v>0.33</v>
      </c>
      <c r="K75" s="111">
        <v>23.8</v>
      </c>
      <c r="L75" s="112">
        <v>1</v>
      </c>
      <c r="M75" s="15"/>
      <c r="N75" s="44"/>
    </row>
    <row r="76" spans="2:14" ht="18.75" customHeight="1" x14ac:dyDescent="0.3">
      <c r="B76" s="10"/>
      <c r="C76" s="182" t="s">
        <v>2485</v>
      </c>
      <c r="D76" s="106" t="s">
        <v>1221</v>
      </c>
      <c r="E76" s="120" t="s">
        <v>1222</v>
      </c>
      <c r="F76" s="107" t="s">
        <v>1223</v>
      </c>
      <c r="G76" s="107"/>
      <c r="H76" s="108" t="s">
        <v>2361</v>
      </c>
      <c r="I76" s="107" t="s">
        <v>6</v>
      </c>
      <c r="J76" s="110">
        <v>0.33</v>
      </c>
      <c r="K76" s="111">
        <v>21.59</v>
      </c>
      <c r="L76" s="112">
        <v>1</v>
      </c>
      <c r="M76" s="15"/>
      <c r="N76" s="44"/>
    </row>
    <row r="77" spans="2:14" ht="18.75" customHeight="1" x14ac:dyDescent="0.3">
      <c r="B77" s="10"/>
      <c r="C77" s="182" t="s">
        <v>2485</v>
      </c>
      <c r="D77" s="106" t="s">
        <v>1231</v>
      </c>
      <c r="E77" s="120" t="s">
        <v>1232</v>
      </c>
      <c r="F77" s="120" t="s">
        <v>1233</v>
      </c>
      <c r="G77" s="107"/>
      <c r="H77" s="108" t="s">
        <v>2364</v>
      </c>
      <c r="I77" s="107" t="s">
        <v>6</v>
      </c>
      <c r="J77" s="110">
        <v>0.33</v>
      </c>
      <c r="K77" s="111">
        <v>13.26</v>
      </c>
      <c r="L77" s="112">
        <v>1</v>
      </c>
      <c r="M77" s="15"/>
      <c r="N77" s="44"/>
    </row>
    <row r="78" spans="2:14" ht="18.75" customHeight="1" x14ac:dyDescent="0.3">
      <c r="B78" s="10"/>
      <c r="C78" s="182" t="s">
        <v>2485</v>
      </c>
      <c r="D78" s="106" t="s">
        <v>1425</v>
      </c>
      <c r="E78" s="107" t="s">
        <v>1426</v>
      </c>
      <c r="F78" s="107" t="s">
        <v>1427</v>
      </c>
      <c r="G78" s="120"/>
      <c r="H78" s="108" t="s">
        <v>2301</v>
      </c>
      <c r="I78" s="107" t="s">
        <v>6</v>
      </c>
      <c r="J78" s="110">
        <v>0.33</v>
      </c>
      <c r="K78" s="111">
        <v>12.324999999999999</v>
      </c>
      <c r="L78" s="112">
        <v>1</v>
      </c>
      <c r="M78" s="15"/>
      <c r="N78" s="44"/>
    </row>
    <row r="79" spans="2:14" ht="18.75" customHeight="1" x14ac:dyDescent="0.3">
      <c r="B79" s="10"/>
      <c r="C79" s="182" t="s">
        <v>2485</v>
      </c>
      <c r="D79" s="106" t="s">
        <v>1492</v>
      </c>
      <c r="E79" s="107" t="s">
        <v>597</v>
      </c>
      <c r="F79" s="107" t="s">
        <v>1493</v>
      </c>
      <c r="G79" s="120"/>
      <c r="H79" s="108" t="s">
        <v>2263</v>
      </c>
      <c r="I79" s="107" t="s">
        <v>6</v>
      </c>
      <c r="J79" s="123">
        <v>0.33</v>
      </c>
      <c r="K79" s="111">
        <v>12.75</v>
      </c>
      <c r="L79" s="112">
        <v>1</v>
      </c>
      <c r="M79" s="15"/>
      <c r="N79" s="44"/>
    </row>
    <row r="80" spans="2:14" ht="18.75" customHeight="1" x14ac:dyDescent="0.3">
      <c r="B80" s="10"/>
      <c r="C80" s="182" t="s">
        <v>2485</v>
      </c>
      <c r="D80" s="106" t="s">
        <v>1505</v>
      </c>
      <c r="E80" s="107" t="s">
        <v>1506</v>
      </c>
      <c r="F80" s="107" t="s">
        <v>1507</v>
      </c>
      <c r="G80" s="107" t="s">
        <v>1507</v>
      </c>
      <c r="H80" s="108" t="s">
        <v>2373</v>
      </c>
      <c r="I80" s="107" t="s">
        <v>6</v>
      </c>
      <c r="J80" s="110">
        <v>0.33</v>
      </c>
      <c r="K80" s="111">
        <v>2.125</v>
      </c>
      <c r="L80" s="112">
        <v>1</v>
      </c>
      <c r="M80" s="15"/>
      <c r="N80" s="44"/>
    </row>
    <row r="81" spans="2:14" ht="18.75" customHeight="1" x14ac:dyDescent="0.3">
      <c r="B81" s="10"/>
      <c r="C81" s="182" t="s">
        <v>2485</v>
      </c>
      <c r="D81" s="106" t="s">
        <v>1510</v>
      </c>
      <c r="E81" s="107" t="s">
        <v>1506</v>
      </c>
      <c r="F81" s="107" t="s">
        <v>1511</v>
      </c>
      <c r="G81" s="120" t="s">
        <v>1511</v>
      </c>
      <c r="H81" s="108" t="s">
        <v>2374</v>
      </c>
      <c r="I81" s="107" t="s">
        <v>6</v>
      </c>
      <c r="J81" s="110">
        <v>0.33</v>
      </c>
      <c r="K81" s="111">
        <v>12.324999999999999</v>
      </c>
      <c r="L81" s="112">
        <v>1</v>
      </c>
      <c r="M81" s="15"/>
      <c r="N81" s="44"/>
    </row>
    <row r="82" spans="2:14" ht="18.75" customHeight="1" x14ac:dyDescent="0.3">
      <c r="B82" s="10"/>
      <c r="C82" s="182" t="s">
        <v>2485</v>
      </c>
      <c r="D82" s="106" t="s">
        <v>1558</v>
      </c>
      <c r="E82" s="107" t="s">
        <v>1559</v>
      </c>
      <c r="F82" s="120" t="s">
        <v>1560</v>
      </c>
      <c r="G82" s="120"/>
      <c r="H82" s="108">
        <v>2009</v>
      </c>
      <c r="I82" s="107" t="s">
        <v>6</v>
      </c>
      <c r="J82" s="110">
        <v>0.33</v>
      </c>
      <c r="K82" s="111">
        <v>14.45</v>
      </c>
      <c r="L82" s="112">
        <v>1</v>
      </c>
      <c r="M82" s="15"/>
      <c r="N82" s="44"/>
    </row>
    <row r="83" spans="2:14" ht="18.75" customHeight="1" x14ac:dyDescent="0.3">
      <c r="B83" s="10"/>
      <c r="C83" s="182" t="s">
        <v>2485</v>
      </c>
      <c r="D83" s="118" t="s">
        <v>1594</v>
      </c>
      <c r="E83" s="117" t="s">
        <v>1595</v>
      </c>
      <c r="F83" s="119" t="s">
        <v>1596</v>
      </c>
      <c r="G83" s="124"/>
      <c r="H83" s="108" t="s">
        <v>2376</v>
      </c>
      <c r="I83" s="107" t="s">
        <v>6</v>
      </c>
      <c r="J83" s="110">
        <v>0.33</v>
      </c>
      <c r="K83" s="111">
        <v>13.6</v>
      </c>
      <c r="L83" s="112">
        <v>1</v>
      </c>
      <c r="M83" s="15"/>
      <c r="N83" s="44"/>
    </row>
    <row r="84" spans="2:14" ht="18.75" customHeight="1" x14ac:dyDescent="0.3">
      <c r="B84" s="10"/>
      <c r="C84" s="182" t="s">
        <v>2485</v>
      </c>
      <c r="D84" s="106" t="s">
        <v>1624</v>
      </c>
      <c r="E84" s="107" t="s">
        <v>1625</v>
      </c>
      <c r="F84" s="120" t="s">
        <v>1626</v>
      </c>
      <c r="G84" s="120"/>
      <c r="H84" s="108" t="s">
        <v>2377</v>
      </c>
      <c r="I84" s="107" t="s">
        <v>6</v>
      </c>
      <c r="J84" s="110">
        <v>0.33</v>
      </c>
      <c r="K84" s="111">
        <v>45.9</v>
      </c>
      <c r="L84" s="112">
        <v>1</v>
      </c>
      <c r="M84" s="15"/>
      <c r="N84" s="44"/>
    </row>
    <row r="85" spans="2:14" ht="18.75" customHeight="1" x14ac:dyDescent="0.3">
      <c r="B85" s="10"/>
      <c r="C85" s="182" t="s">
        <v>2485</v>
      </c>
      <c r="D85" s="106" t="s">
        <v>1635</v>
      </c>
      <c r="E85" s="129" t="s">
        <v>1636</v>
      </c>
      <c r="F85" s="110" t="s">
        <v>1637</v>
      </c>
      <c r="G85" s="110"/>
      <c r="H85" s="108" t="s">
        <v>2378</v>
      </c>
      <c r="I85" s="107" t="s">
        <v>6</v>
      </c>
      <c r="J85" s="110">
        <v>0.33</v>
      </c>
      <c r="K85" s="111">
        <v>24.564999999999998</v>
      </c>
      <c r="L85" s="112">
        <v>1</v>
      </c>
      <c r="M85" s="15"/>
      <c r="N85" s="44"/>
    </row>
    <row r="86" spans="2:14" ht="18.75" customHeight="1" x14ac:dyDescent="0.3">
      <c r="B86" s="10"/>
      <c r="C86" s="182" t="s">
        <v>2485</v>
      </c>
      <c r="D86" s="118" t="s">
        <v>1688</v>
      </c>
      <c r="E86" s="107" t="s">
        <v>1689</v>
      </c>
      <c r="F86" s="107"/>
      <c r="G86" s="107"/>
      <c r="H86" s="108" t="s">
        <v>2443</v>
      </c>
      <c r="I86" s="107" t="s">
        <v>6</v>
      </c>
      <c r="J86" s="110">
        <v>0.33</v>
      </c>
      <c r="K86" s="111">
        <v>13.939999999999998</v>
      </c>
      <c r="L86" s="112">
        <v>1</v>
      </c>
      <c r="M86" s="15"/>
      <c r="N86" s="44"/>
    </row>
    <row r="87" spans="2:14" ht="18.75" customHeight="1" x14ac:dyDescent="0.3">
      <c r="B87" s="10"/>
      <c r="C87" s="182" t="s">
        <v>2485</v>
      </c>
      <c r="D87" s="106" t="s">
        <v>1692</v>
      </c>
      <c r="E87" s="120" t="s">
        <v>1693</v>
      </c>
      <c r="F87" s="107" t="s">
        <v>1693</v>
      </c>
      <c r="G87" s="120"/>
      <c r="H87" s="108" t="s">
        <v>2380</v>
      </c>
      <c r="I87" s="107" t="s">
        <v>6</v>
      </c>
      <c r="J87" s="110">
        <v>0.33</v>
      </c>
      <c r="K87" s="111">
        <v>20.399999999999999</v>
      </c>
      <c r="L87" s="112">
        <v>1</v>
      </c>
      <c r="M87" s="15"/>
      <c r="N87" s="44"/>
    </row>
    <row r="88" spans="2:14" ht="18.75" customHeight="1" x14ac:dyDescent="0.3">
      <c r="B88" s="10"/>
      <c r="C88" s="182" t="s">
        <v>2485</v>
      </c>
      <c r="D88" s="118" t="s">
        <v>1937</v>
      </c>
      <c r="E88" s="107" t="s">
        <v>1938</v>
      </c>
      <c r="F88" s="107" t="s">
        <v>1939</v>
      </c>
      <c r="G88" s="124">
        <v>1</v>
      </c>
      <c r="H88" s="108" t="s">
        <v>2387</v>
      </c>
      <c r="I88" s="107" t="s">
        <v>6</v>
      </c>
      <c r="J88" s="110">
        <v>0.33</v>
      </c>
      <c r="K88" s="111">
        <v>10.285</v>
      </c>
      <c r="L88" s="112">
        <v>1</v>
      </c>
      <c r="M88" s="15"/>
      <c r="N88" s="44"/>
    </row>
    <row r="89" spans="2:14" ht="18.75" customHeight="1" x14ac:dyDescent="0.3">
      <c r="B89" s="10"/>
      <c r="C89" s="182" t="s">
        <v>2485</v>
      </c>
      <c r="D89" s="118" t="s">
        <v>928</v>
      </c>
      <c r="E89" s="107" t="s">
        <v>929</v>
      </c>
      <c r="F89" s="107" t="s">
        <v>929</v>
      </c>
      <c r="G89" s="107"/>
      <c r="H89" s="108" t="s">
        <v>2353</v>
      </c>
      <c r="I89" s="107" t="s">
        <v>6</v>
      </c>
      <c r="J89" s="110">
        <v>0.33</v>
      </c>
      <c r="K89" s="111">
        <v>10.718499999999999</v>
      </c>
      <c r="L89" s="112">
        <v>1</v>
      </c>
      <c r="M89" s="15"/>
      <c r="N89" s="44"/>
    </row>
    <row r="90" spans="2:14" ht="18.75" customHeight="1" x14ac:dyDescent="0.3">
      <c r="B90" s="10"/>
      <c r="C90" s="182" t="s">
        <v>2485</v>
      </c>
      <c r="D90" s="118" t="s">
        <v>56</v>
      </c>
      <c r="E90" s="107" t="s">
        <v>57</v>
      </c>
      <c r="F90" s="107" t="s">
        <v>58</v>
      </c>
      <c r="G90" s="124"/>
      <c r="H90" s="108" t="s">
        <v>2331</v>
      </c>
      <c r="I90" s="107" t="s">
        <v>6</v>
      </c>
      <c r="J90" s="110">
        <v>0.33</v>
      </c>
      <c r="K90" s="111">
        <v>10.625</v>
      </c>
      <c r="L90" s="112">
        <v>1</v>
      </c>
      <c r="M90" s="15"/>
      <c r="N90" s="44"/>
    </row>
    <row r="91" spans="2:14" ht="18.75" customHeight="1" x14ac:dyDescent="0.3">
      <c r="B91" s="10"/>
      <c r="C91" s="182" t="s">
        <v>2485</v>
      </c>
      <c r="D91" s="118" t="s">
        <v>88</v>
      </c>
      <c r="E91" s="107" t="s">
        <v>89</v>
      </c>
      <c r="F91" s="107" t="s">
        <v>90</v>
      </c>
      <c r="G91" s="107" t="s">
        <v>93</v>
      </c>
      <c r="H91" s="108" t="s">
        <v>2332</v>
      </c>
      <c r="I91" s="107" t="s">
        <v>6</v>
      </c>
      <c r="J91" s="110">
        <v>0.33</v>
      </c>
      <c r="K91" s="111">
        <v>8.5</v>
      </c>
      <c r="L91" s="112">
        <v>1</v>
      </c>
      <c r="M91" s="15"/>
      <c r="N91" s="44"/>
    </row>
    <row r="92" spans="2:14" ht="18.75" customHeight="1" x14ac:dyDescent="0.3">
      <c r="B92" s="10"/>
      <c r="C92" s="182" t="s">
        <v>2485</v>
      </c>
      <c r="D92" s="118" t="s">
        <v>1903</v>
      </c>
      <c r="E92" s="120" t="s">
        <v>1904</v>
      </c>
      <c r="F92" s="107" t="s">
        <v>977</v>
      </c>
      <c r="G92" s="129"/>
      <c r="H92" s="108" t="s">
        <v>2053</v>
      </c>
      <c r="I92" s="107" t="s">
        <v>6</v>
      </c>
      <c r="J92" s="110">
        <v>0.33</v>
      </c>
      <c r="K92" s="111">
        <v>25.5</v>
      </c>
      <c r="L92" s="112">
        <v>1</v>
      </c>
      <c r="M92" s="15"/>
      <c r="N92" s="44"/>
    </row>
    <row r="93" spans="2:14" ht="18.75" customHeight="1" x14ac:dyDescent="0.3">
      <c r="B93" s="10"/>
      <c r="C93" s="182" t="s">
        <v>2485</v>
      </c>
      <c r="D93" s="106" t="s">
        <v>700</v>
      </c>
      <c r="E93" s="107" t="s">
        <v>701</v>
      </c>
      <c r="F93" s="107" t="s">
        <v>702</v>
      </c>
      <c r="G93" s="120"/>
      <c r="H93" s="108" t="s">
        <v>2343</v>
      </c>
      <c r="I93" s="107" t="s">
        <v>6</v>
      </c>
      <c r="J93" s="110">
        <v>0.33</v>
      </c>
      <c r="K93" s="111">
        <v>14.45</v>
      </c>
      <c r="L93" s="112">
        <v>1</v>
      </c>
      <c r="M93" s="15"/>
      <c r="N93" s="44"/>
    </row>
    <row r="94" spans="2:14" ht="18.75" customHeight="1" x14ac:dyDescent="0.3">
      <c r="B94" s="10"/>
      <c r="C94" s="182" t="s">
        <v>2485</v>
      </c>
      <c r="D94" s="118" t="s">
        <v>1885</v>
      </c>
      <c r="E94" s="107" t="s">
        <v>1886</v>
      </c>
      <c r="F94" s="107"/>
      <c r="G94" s="107" t="s">
        <v>1834</v>
      </c>
      <c r="H94" s="108" t="s">
        <v>2442</v>
      </c>
      <c r="I94" s="107" t="s">
        <v>6</v>
      </c>
      <c r="J94" s="110">
        <v>0.33</v>
      </c>
      <c r="K94" s="111">
        <v>10.115</v>
      </c>
      <c r="L94" s="112">
        <v>1</v>
      </c>
      <c r="M94" s="15"/>
      <c r="N94" s="44"/>
    </row>
    <row r="95" spans="2:14" ht="18.75" customHeight="1" x14ac:dyDescent="0.3">
      <c r="B95" s="10"/>
      <c r="C95" s="182" t="s">
        <v>2485</v>
      </c>
      <c r="D95" s="106" t="s">
        <v>1889</v>
      </c>
      <c r="E95" s="107" t="s">
        <v>1886</v>
      </c>
      <c r="F95" s="107"/>
      <c r="G95" s="107" t="s">
        <v>1890</v>
      </c>
      <c r="H95" s="108" t="s">
        <v>2440</v>
      </c>
      <c r="I95" s="107" t="s">
        <v>6</v>
      </c>
      <c r="J95" s="110">
        <v>0.33</v>
      </c>
      <c r="K95" s="111">
        <v>5.8650000000000002</v>
      </c>
      <c r="L95" s="112">
        <v>1</v>
      </c>
      <c r="M95" s="15"/>
      <c r="N95" s="44"/>
    </row>
    <row r="96" spans="2:14" ht="18.75" customHeight="1" x14ac:dyDescent="0.3">
      <c r="B96" s="10"/>
      <c r="C96" s="182" t="s">
        <v>2485</v>
      </c>
      <c r="D96" s="106" t="s">
        <v>1353</v>
      </c>
      <c r="E96" s="107" t="s">
        <v>597</v>
      </c>
      <c r="F96" s="107" t="s">
        <v>1354</v>
      </c>
      <c r="G96" s="107" t="s">
        <v>1357</v>
      </c>
      <c r="H96" s="108" t="s">
        <v>2369</v>
      </c>
      <c r="I96" s="107" t="s">
        <v>6</v>
      </c>
      <c r="J96" s="110">
        <v>0.33</v>
      </c>
      <c r="K96" s="111">
        <v>9.86</v>
      </c>
      <c r="L96" s="112">
        <v>1</v>
      </c>
      <c r="M96" s="15"/>
      <c r="N96" s="44"/>
    </row>
    <row r="97" spans="2:14" ht="18.75" customHeight="1" x14ac:dyDescent="0.3">
      <c r="B97" s="10"/>
      <c r="C97" s="182" t="s">
        <v>2485</v>
      </c>
      <c r="D97" s="106" t="s">
        <v>1910</v>
      </c>
      <c r="E97" s="125" t="s">
        <v>1911</v>
      </c>
      <c r="F97" s="107" t="s">
        <v>1912</v>
      </c>
      <c r="G97" s="120"/>
      <c r="H97" s="108" t="s">
        <v>2385</v>
      </c>
      <c r="I97" s="107" t="s">
        <v>6</v>
      </c>
      <c r="J97" s="110">
        <v>0.33</v>
      </c>
      <c r="K97" s="111">
        <v>7.3949999999999996</v>
      </c>
      <c r="L97" s="112">
        <v>1</v>
      </c>
      <c r="M97" s="15"/>
      <c r="N97" s="44"/>
    </row>
    <row r="98" spans="2:14" ht="18.75" customHeight="1" x14ac:dyDescent="0.3">
      <c r="B98" s="10"/>
      <c r="C98" s="182" t="s">
        <v>2485</v>
      </c>
      <c r="D98" s="118" t="s">
        <v>1915</v>
      </c>
      <c r="E98" s="117" t="s">
        <v>1911</v>
      </c>
      <c r="F98" s="119" t="s">
        <v>1011</v>
      </c>
      <c r="G98" s="124"/>
      <c r="H98" s="108" t="s">
        <v>2386</v>
      </c>
      <c r="I98" s="107" t="s">
        <v>6</v>
      </c>
      <c r="J98" s="110">
        <v>0.33</v>
      </c>
      <c r="K98" s="111">
        <v>10.199999999999999</v>
      </c>
      <c r="L98" s="112">
        <v>1</v>
      </c>
      <c r="M98" s="15"/>
      <c r="N98" s="44"/>
    </row>
    <row r="99" spans="2:14" ht="18.75" customHeight="1" x14ac:dyDescent="0.3">
      <c r="B99" s="10"/>
      <c r="C99" s="182" t="s">
        <v>2485</v>
      </c>
      <c r="D99" s="106" t="s">
        <v>1863</v>
      </c>
      <c r="E99" s="107" t="s">
        <v>1864</v>
      </c>
      <c r="F99" s="120" t="s">
        <v>1865</v>
      </c>
      <c r="G99" s="120"/>
      <c r="H99" s="108" t="s">
        <v>2330</v>
      </c>
      <c r="I99" s="107" t="s">
        <v>6</v>
      </c>
      <c r="J99" s="110">
        <v>0.33</v>
      </c>
      <c r="K99" s="111">
        <v>23.8</v>
      </c>
      <c r="L99" s="112">
        <v>1</v>
      </c>
      <c r="M99" s="15"/>
      <c r="N99" s="44"/>
    </row>
    <row r="100" spans="2:14" ht="18.75" customHeight="1" x14ac:dyDescent="0.3">
      <c r="B100" s="10"/>
      <c r="C100" s="182" t="s">
        <v>2485</v>
      </c>
      <c r="D100" s="118" t="s">
        <v>901</v>
      </c>
      <c r="E100" s="107" t="s">
        <v>902</v>
      </c>
      <c r="F100" s="107" t="s">
        <v>903</v>
      </c>
      <c r="G100" s="107"/>
      <c r="H100" s="108" t="s">
        <v>2042</v>
      </c>
      <c r="I100" s="107" t="s">
        <v>6</v>
      </c>
      <c r="J100" s="110">
        <v>0.33</v>
      </c>
      <c r="K100" s="111">
        <v>28.389999999999997</v>
      </c>
      <c r="L100" s="112">
        <v>1</v>
      </c>
      <c r="M100" s="15"/>
      <c r="N100" s="44"/>
    </row>
    <row r="101" spans="2:14" ht="18.75" customHeight="1" x14ac:dyDescent="0.3">
      <c r="B101" s="10"/>
      <c r="C101" s="182" t="s">
        <v>2485</v>
      </c>
      <c r="D101" s="106" t="s">
        <v>1661</v>
      </c>
      <c r="E101" s="107" t="s">
        <v>1662</v>
      </c>
      <c r="F101" s="107" t="s">
        <v>1663</v>
      </c>
      <c r="G101" s="120"/>
      <c r="H101" s="108" t="s">
        <v>2028</v>
      </c>
      <c r="I101" s="107" t="s">
        <v>6</v>
      </c>
      <c r="J101" s="110">
        <v>0.33</v>
      </c>
      <c r="K101" s="111">
        <v>15.895</v>
      </c>
      <c r="L101" s="112">
        <v>1</v>
      </c>
      <c r="M101" s="15"/>
      <c r="N101" s="44"/>
    </row>
    <row r="102" spans="2:14" ht="18.75" customHeight="1" x14ac:dyDescent="0.3">
      <c r="B102" s="10"/>
      <c r="C102" s="182" t="s">
        <v>2485</v>
      </c>
      <c r="D102" s="106" t="s">
        <v>1846</v>
      </c>
      <c r="E102" s="107" t="s">
        <v>1847</v>
      </c>
      <c r="F102" s="107" t="s">
        <v>1848</v>
      </c>
      <c r="G102" s="107"/>
      <c r="H102" s="108" t="s">
        <v>2384</v>
      </c>
      <c r="I102" s="107" t="s">
        <v>6</v>
      </c>
      <c r="J102" s="110">
        <v>0.33</v>
      </c>
      <c r="K102" s="111">
        <v>8.9249999999999989</v>
      </c>
      <c r="L102" s="112">
        <v>1</v>
      </c>
      <c r="M102" s="15"/>
      <c r="N102" s="44"/>
    </row>
    <row r="103" spans="2:14" ht="18.75" customHeight="1" x14ac:dyDescent="0.3">
      <c r="B103" s="10"/>
      <c r="C103" s="182" t="s">
        <v>2485</v>
      </c>
      <c r="D103" s="118" t="s">
        <v>1434</v>
      </c>
      <c r="E103" s="107" t="s">
        <v>1435</v>
      </c>
      <c r="F103" s="107" t="s">
        <v>1063</v>
      </c>
      <c r="G103" s="120"/>
      <c r="H103" s="108">
        <v>1962</v>
      </c>
      <c r="I103" s="107" t="s">
        <v>6</v>
      </c>
      <c r="J103" s="110">
        <v>0.33</v>
      </c>
      <c r="K103" s="111">
        <v>8.0749999999999993</v>
      </c>
      <c r="L103" s="112">
        <v>1</v>
      </c>
      <c r="M103" s="15"/>
      <c r="N103" s="44"/>
    </row>
    <row r="104" spans="2:14" ht="18.75" customHeight="1" x14ac:dyDescent="0.3">
      <c r="B104" s="10"/>
      <c r="C104" s="182" t="s">
        <v>2485</v>
      </c>
      <c r="D104" s="118" t="s">
        <v>1440</v>
      </c>
      <c r="E104" s="107" t="s">
        <v>1435</v>
      </c>
      <c r="F104" s="107" t="s">
        <v>33</v>
      </c>
      <c r="G104" s="120"/>
      <c r="H104" s="108">
        <v>1972</v>
      </c>
      <c r="I104" s="107" t="s">
        <v>6</v>
      </c>
      <c r="J104" s="110">
        <v>0.33</v>
      </c>
      <c r="K104" s="111">
        <v>8.33</v>
      </c>
      <c r="L104" s="112">
        <v>1</v>
      </c>
      <c r="M104" s="15"/>
      <c r="N104" s="44"/>
    </row>
    <row r="105" spans="2:14" ht="18.75" customHeight="1" x14ac:dyDescent="0.3">
      <c r="B105" s="10"/>
      <c r="C105" s="182" t="s">
        <v>2485</v>
      </c>
      <c r="D105" s="118" t="s">
        <v>1008</v>
      </c>
      <c r="E105" s="120" t="s">
        <v>1003</v>
      </c>
      <c r="F105" s="107" t="s">
        <v>1009</v>
      </c>
      <c r="G105" s="120" t="s">
        <v>1011</v>
      </c>
      <c r="H105" s="108" t="s">
        <v>2356</v>
      </c>
      <c r="I105" s="107" t="s">
        <v>6</v>
      </c>
      <c r="J105" s="110">
        <v>0.33</v>
      </c>
      <c r="K105" s="111">
        <v>15.299999999999999</v>
      </c>
      <c r="L105" s="112">
        <v>1</v>
      </c>
      <c r="M105" s="15"/>
      <c r="N105" s="44"/>
    </row>
    <row r="106" spans="2:14" ht="18.75" customHeight="1" x14ac:dyDescent="0.3">
      <c r="B106" s="10"/>
      <c r="C106" s="182" t="s">
        <v>2485</v>
      </c>
      <c r="D106" s="118"/>
      <c r="E106" s="107" t="s">
        <v>1980</v>
      </c>
      <c r="F106" s="107"/>
      <c r="G106" s="120"/>
      <c r="H106" s="108"/>
      <c r="I106" s="107" t="s">
        <v>6</v>
      </c>
      <c r="J106" s="110">
        <v>0.33</v>
      </c>
      <c r="K106" s="111">
        <v>100.88352499999999</v>
      </c>
      <c r="L106" s="112">
        <v>1</v>
      </c>
      <c r="M106" s="15"/>
      <c r="N106" s="44"/>
    </row>
    <row r="107" spans="2:14" ht="18.75" customHeight="1" x14ac:dyDescent="0.3">
      <c r="B107" s="10"/>
      <c r="C107" s="182" t="s">
        <v>2485</v>
      </c>
      <c r="D107" s="106" t="s">
        <v>351</v>
      </c>
      <c r="E107" s="107" t="s">
        <v>352</v>
      </c>
      <c r="F107" s="107" t="s">
        <v>353</v>
      </c>
      <c r="G107" s="109" t="s">
        <v>354</v>
      </c>
      <c r="H107" s="108" t="s">
        <v>2284</v>
      </c>
      <c r="I107" s="107" t="s">
        <v>1</v>
      </c>
      <c r="J107" s="110">
        <v>0.33</v>
      </c>
      <c r="K107" s="111">
        <v>1254.9000000000001</v>
      </c>
      <c r="L107" s="112">
        <v>17.866666666666664</v>
      </c>
      <c r="M107" s="15"/>
      <c r="N107" s="44"/>
    </row>
    <row r="108" spans="2:14" ht="18.75" customHeight="1" x14ac:dyDescent="0.3">
      <c r="B108" s="10"/>
      <c r="C108" s="182" t="s">
        <v>2485</v>
      </c>
      <c r="D108" s="106" t="s">
        <v>566</v>
      </c>
      <c r="E108" s="107" t="s">
        <v>352</v>
      </c>
      <c r="F108" s="120" t="s">
        <v>567</v>
      </c>
      <c r="G108" s="120" t="s">
        <v>569</v>
      </c>
      <c r="H108" s="108" t="s">
        <v>2285</v>
      </c>
      <c r="I108" s="107" t="s">
        <v>1</v>
      </c>
      <c r="J108" s="110">
        <v>0.33</v>
      </c>
      <c r="K108" s="111">
        <v>1210.4000000000001</v>
      </c>
      <c r="L108" s="112">
        <v>17.866666666666664</v>
      </c>
      <c r="M108" s="15"/>
      <c r="N108" s="44"/>
    </row>
    <row r="109" spans="2:14" ht="18.75" customHeight="1" x14ac:dyDescent="0.3">
      <c r="B109" s="10"/>
      <c r="C109" s="182" t="s">
        <v>2485</v>
      </c>
      <c r="D109" s="106" t="s">
        <v>617</v>
      </c>
      <c r="E109" s="107" t="s">
        <v>352</v>
      </c>
      <c r="F109" s="107" t="s">
        <v>618</v>
      </c>
      <c r="G109" s="107" t="s">
        <v>620</v>
      </c>
      <c r="H109" s="108" t="s">
        <v>2286</v>
      </c>
      <c r="I109" s="107" t="s">
        <v>1</v>
      </c>
      <c r="J109" s="110">
        <v>0.33</v>
      </c>
      <c r="K109" s="111">
        <v>1254.9000000000001</v>
      </c>
      <c r="L109" s="112">
        <v>17.866666666666664</v>
      </c>
      <c r="M109" s="15"/>
      <c r="N109" s="44"/>
    </row>
    <row r="110" spans="2:14" ht="18.75" customHeight="1" x14ac:dyDescent="0.3">
      <c r="B110" s="10"/>
      <c r="C110" s="182" t="s">
        <v>2485</v>
      </c>
      <c r="D110" s="118" t="s">
        <v>755</v>
      </c>
      <c r="E110" s="129" t="s">
        <v>128</v>
      </c>
      <c r="F110" s="107" t="s">
        <v>756</v>
      </c>
      <c r="G110" s="120" t="s">
        <v>142</v>
      </c>
      <c r="H110" s="108" t="s">
        <v>2287</v>
      </c>
      <c r="I110" s="107" t="s">
        <v>1</v>
      </c>
      <c r="J110" s="110">
        <v>0.33</v>
      </c>
      <c r="K110" s="111">
        <v>1146.32</v>
      </c>
      <c r="L110" s="112">
        <v>17.866666666666664</v>
      </c>
      <c r="M110" s="15"/>
      <c r="N110" s="44"/>
    </row>
    <row r="111" spans="2:14" ht="18.75" customHeight="1" x14ac:dyDescent="0.3">
      <c r="B111" s="10"/>
      <c r="C111" s="182" t="s">
        <v>2485</v>
      </c>
      <c r="D111" s="118" t="s">
        <v>1179</v>
      </c>
      <c r="E111" s="120" t="s">
        <v>128</v>
      </c>
      <c r="F111" s="107" t="s">
        <v>1180</v>
      </c>
      <c r="G111" s="107" t="s">
        <v>1181</v>
      </c>
      <c r="H111" s="108" t="s">
        <v>2288</v>
      </c>
      <c r="I111" s="107" t="s">
        <v>1</v>
      </c>
      <c r="J111" s="110">
        <v>0.33</v>
      </c>
      <c r="K111" s="111">
        <v>1189.04</v>
      </c>
      <c r="L111" s="112">
        <v>17.866666666666664</v>
      </c>
      <c r="M111" s="15"/>
      <c r="N111" s="44"/>
    </row>
    <row r="112" spans="2:14" ht="18.75" customHeight="1" x14ac:dyDescent="0.3">
      <c r="B112" s="10"/>
      <c r="C112" s="182" t="s">
        <v>2485</v>
      </c>
      <c r="D112" s="118" t="s">
        <v>1338</v>
      </c>
      <c r="E112" s="107" t="s">
        <v>40</v>
      </c>
      <c r="F112" s="107" t="s">
        <v>1339</v>
      </c>
      <c r="G112" s="120" t="s">
        <v>1342</v>
      </c>
      <c r="H112" s="108" t="s">
        <v>2289</v>
      </c>
      <c r="I112" s="107" t="s">
        <v>1</v>
      </c>
      <c r="J112" s="110">
        <v>0.33</v>
      </c>
      <c r="K112" s="111">
        <v>1165.9000000000001</v>
      </c>
      <c r="L112" s="112">
        <v>17.866666666666664</v>
      </c>
      <c r="M112" s="15"/>
      <c r="N112" s="44"/>
    </row>
    <row r="113" spans="2:14" ht="18.75" customHeight="1" x14ac:dyDescent="0.3">
      <c r="B113" s="10"/>
      <c r="C113" s="182" t="s">
        <v>2485</v>
      </c>
      <c r="D113" s="118" t="s">
        <v>1483</v>
      </c>
      <c r="E113" s="107" t="s">
        <v>40</v>
      </c>
      <c r="F113" s="107" t="s">
        <v>1484</v>
      </c>
      <c r="G113" s="107" t="s">
        <v>1487</v>
      </c>
      <c r="H113" s="108" t="s">
        <v>2290</v>
      </c>
      <c r="I113" s="107" t="s">
        <v>1</v>
      </c>
      <c r="J113" s="110">
        <v>0.33</v>
      </c>
      <c r="K113" s="111">
        <v>1247.78</v>
      </c>
      <c r="L113" s="112">
        <v>17.866666666666664</v>
      </c>
      <c r="M113" s="15"/>
      <c r="N113" s="44"/>
    </row>
    <row r="114" spans="2:14" ht="18.75" customHeight="1" x14ac:dyDescent="0.3">
      <c r="B114" s="10"/>
      <c r="C114" s="182" t="s">
        <v>2485</v>
      </c>
      <c r="D114" s="118" t="s">
        <v>1048</v>
      </c>
      <c r="E114" s="120" t="s">
        <v>622</v>
      </c>
      <c r="F114" s="107" t="s">
        <v>1049</v>
      </c>
      <c r="G114" s="107" t="s">
        <v>1052</v>
      </c>
      <c r="H114" s="108" t="s">
        <v>2103</v>
      </c>
      <c r="I114" s="107" t="s">
        <v>2</v>
      </c>
      <c r="J114" s="110">
        <v>0.43359999999999999</v>
      </c>
      <c r="K114" s="111">
        <v>17.661000000000001</v>
      </c>
      <c r="L114" s="112">
        <v>31.770110701107011</v>
      </c>
      <c r="M114" s="15"/>
      <c r="N114" s="44"/>
    </row>
    <row r="115" spans="2:14" ht="18.75" customHeight="1" x14ac:dyDescent="0.3">
      <c r="B115" s="10"/>
      <c r="C115" s="182" t="s">
        <v>2485</v>
      </c>
      <c r="D115" s="118" t="s">
        <v>935</v>
      </c>
      <c r="E115" s="107" t="s">
        <v>622</v>
      </c>
      <c r="F115" s="107" t="s">
        <v>936</v>
      </c>
      <c r="G115" s="120" t="s">
        <v>939</v>
      </c>
      <c r="H115" s="108" t="s">
        <v>2100</v>
      </c>
      <c r="I115" s="107" t="s">
        <v>2</v>
      </c>
      <c r="J115" s="110">
        <v>0.43120000000000003</v>
      </c>
      <c r="K115" s="111">
        <v>20.2014</v>
      </c>
      <c r="L115" s="112">
        <v>31.93747680890538</v>
      </c>
      <c r="M115" s="15"/>
      <c r="N115" s="44"/>
    </row>
    <row r="116" spans="2:14" ht="18.75" customHeight="1" x14ac:dyDescent="0.3">
      <c r="B116" s="10"/>
      <c r="C116" s="182" t="s">
        <v>2485</v>
      </c>
      <c r="D116" s="106" t="s">
        <v>725</v>
      </c>
      <c r="E116" s="107" t="s">
        <v>128</v>
      </c>
      <c r="F116" s="128" t="s">
        <v>726</v>
      </c>
      <c r="G116" s="120" t="s">
        <v>729</v>
      </c>
      <c r="H116" s="108" t="s">
        <v>2092</v>
      </c>
      <c r="I116" s="107" t="s">
        <v>2</v>
      </c>
      <c r="J116" s="110">
        <v>0.42880000000000001</v>
      </c>
      <c r="K116" s="111">
        <v>922.2</v>
      </c>
      <c r="L116" s="112">
        <v>32.106716417910455</v>
      </c>
      <c r="M116" s="15"/>
      <c r="N116" s="44"/>
    </row>
    <row r="117" spans="2:14" ht="18.75" customHeight="1" x14ac:dyDescent="0.3">
      <c r="B117" s="10"/>
      <c r="C117" s="182" t="s">
        <v>2485</v>
      </c>
      <c r="D117" s="118" t="s">
        <v>730</v>
      </c>
      <c r="E117" s="107" t="s">
        <v>128</v>
      </c>
      <c r="F117" s="107" t="s">
        <v>731</v>
      </c>
      <c r="G117" s="120" t="s">
        <v>732</v>
      </c>
      <c r="H117" s="108" t="s">
        <v>2093</v>
      </c>
      <c r="I117" s="107" t="s">
        <v>2</v>
      </c>
      <c r="J117" s="110">
        <v>0.42880000000000001</v>
      </c>
      <c r="K117" s="111">
        <v>922.2</v>
      </c>
      <c r="L117" s="112">
        <v>32.106716417910455</v>
      </c>
      <c r="M117" s="15"/>
      <c r="N117" s="44"/>
    </row>
    <row r="118" spans="2:14" ht="18.75" customHeight="1" x14ac:dyDescent="0.3">
      <c r="B118" s="10"/>
      <c r="C118" s="182" t="s">
        <v>2485</v>
      </c>
      <c r="D118" s="106" t="s">
        <v>273</v>
      </c>
      <c r="E118" s="120" t="s">
        <v>23</v>
      </c>
      <c r="F118" s="120" t="s">
        <v>266</v>
      </c>
      <c r="G118" s="107" t="s">
        <v>251</v>
      </c>
      <c r="H118" s="108" t="s">
        <v>2079</v>
      </c>
      <c r="I118" s="107" t="s">
        <v>2</v>
      </c>
      <c r="J118" s="110">
        <v>0.42880000000000001</v>
      </c>
      <c r="K118" s="111">
        <v>556.79999999999995</v>
      </c>
      <c r="L118" s="112">
        <v>32.106716417910455</v>
      </c>
      <c r="M118" s="15"/>
      <c r="N118" s="44"/>
    </row>
    <row r="119" spans="2:14" ht="18.75" customHeight="1" x14ac:dyDescent="0.3">
      <c r="B119" s="10"/>
      <c r="C119" s="182" t="s">
        <v>2485</v>
      </c>
      <c r="D119" s="106" t="s">
        <v>386</v>
      </c>
      <c r="E119" s="121" t="s">
        <v>380</v>
      </c>
      <c r="F119" s="107" t="s">
        <v>381</v>
      </c>
      <c r="G119" s="120" t="s">
        <v>387</v>
      </c>
      <c r="H119" s="108" t="s">
        <v>2081</v>
      </c>
      <c r="I119" s="107" t="s">
        <v>2</v>
      </c>
      <c r="J119" s="110">
        <v>0.42399999999999999</v>
      </c>
      <c r="K119" s="111">
        <v>78.995999999999995</v>
      </c>
      <c r="L119" s="112">
        <v>32.450943396226421</v>
      </c>
      <c r="M119" s="15"/>
      <c r="N119" s="44"/>
    </row>
    <row r="120" spans="2:14" ht="18.75" customHeight="1" x14ac:dyDescent="0.3">
      <c r="B120" s="10"/>
      <c r="C120" s="182" t="s">
        <v>2485</v>
      </c>
      <c r="D120" s="118" t="s">
        <v>1012</v>
      </c>
      <c r="E120" s="107" t="s">
        <v>1013</v>
      </c>
      <c r="F120" s="107" t="s">
        <v>1014</v>
      </c>
      <c r="G120" s="120" t="s">
        <v>327</v>
      </c>
      <c r="H120" s="108" t="s">
        <v>2102</v>
      </c>
      <c r="I120" s="107" t="s">
        <v>2</v>
      </c>
      <c r="J120" s="110">
        <v>0.42399999999999999</v>
      </c>
      <c r="K120" s="111">
        <v>65.510999999999996</v>
      </c>
      <c r="L120" s="112">
        <v>32.450943396226421</v>
      </c>
      <c r="M120" s="15"/>
      <c r="N120" s="44"/>
    </row>
    <row r="121" spans="2:14" ht="18.75" customHeight="1" x14ac:dyDescent="0.3">
      <c r="B121" s="10"/>
      <c r="C121" s="182" t="s">
        <v>2485</v>
      </c>
      <c r="D121" s="106" t="s">
        <v>133</v>
      </c>
      <c r="E121" s="107" t="s">
        <v>128</v>
      </c>
      <c r="F121" s="107" t="s">
        <v>129</v>
      </c>
      <c r="G121" s="120" t="s">
        <v>134</v>
      </c>
      <c r="H121" s="108" t="s">
        <v>2069</v>
      </c>
      <c r="I121" s="107" t="s">
        <v>2</v>
      </c>
      <c r="J121" s="110">
        <v>0.42159999999999997</v>
      </c>
      <c r="K121" s="111">
        <v>563.76</v>
      </c>
      <c r="L121" s="112">
        <v>32.625996204933593</v>
      </c>
      <c r="M121" s="15"/>
      <c r="N121" s="44"/>
    </row>
    <row r="122" spans="2:14" ht="18.75" customHeight="1" x14ac:dyDescent="0.3">
      <c r="B122" s="10"/>
      <c r="C122" s="182" t="s">
        <v>2485</v>
      </c>
      <c r="D122" s="127" t="s">
        <v>135</v>
      </c>
      <c r="E122" s="120" t="s">
        <v>128</v>
      </c>
      <c r="F122" s="110" t="s">
        <v>129</v>
      </c>
      <c r="G122" s="110" t="s">
        <v>136</v>
      </c>
      <c r="H122" s="108" t="s">
        <v>2070</v>
      </c>
      <c r="I122" s="107" t="s">
        <v>2</v>
      </c>
      <c r="J122" s="110">
        <v>0.41920000000000002</v>
      </c>
      <c r="K122" s="111">
        <v>546.36</v>
      </c>
      <c r="L122" s="112">
        <v>32.803053435114506</v>
      </c>
      <c r="M122" s="15"/>
      <c r="N122" s="44"/>
    </row>
    <row r="123" spans="2:14" ht="18.75" customHeight="1" x14ac:dyDescent="0.3">
      <c r="B123" s="10"/>
      <c r="C123" s="182" t="s">
        <v>2485</v>
      </c>
      <c r="D123" s="106" t="s">
        <v>137</v>
      </c>
      <c r="E123" s="107" t="s">
        <v>128</v>
      </c>
      <c r="F123" s="107" t="s">
        <v>129</v>
      </c>
      <c r="G123" s="120" t="s">
        <v>138</v>
      </c>
      <c r="H123" s="108" t="s">
        <v>2071</v>
      </c>
      <c r="I123" s="107" t="s">
        <v>2</v>
      </c>
      <c r="J123" s="123">
        <v>0.40479999999999999</v>
      </c>
      <c r="K123" s="111">
        <v>821.28</v>
      </c>
      <c r="L123" s="112">
        <v>33.909486166007916</v>
      </c>
      <c r="M123" s="15"/>
      <c r="N123" s="44"/>
    </row>
    <row r="124" spans="2:14" ht="18.75" customHeight="1" x14ac:dyDescent="0.3">
      <c r="B124" s="10"/>
      <c r="C124" s="182" t="s">
        <v>2485</v>
      </c>
      <c r="D124" s="118" t="s">
        <v>247</v>
      </c>
      <c r="E124" s="107" t="s">
        <v>23</v>
      </c>
      <c r="F124" s="107" t="s">
        <v>248</v>
      </c>
      <c r="G124" s="107" t="s">
        <v>251</v>
      </c>
      <c r="H124" s="108" t="s">
        <v>2075</v>
      </c>
      <c r="I124" s="107" t="s">
        <v>2</v>
      </c>
      <c r="J124" s="110">
        <v>0.4</v>
      </c>
      <c r="K124" s="111">
        <v>761.25</v>
      </c>
      <c r="L124" s="112">
        <v>34.296000000000006</v>
      </c>
      <c r="M124" s="15"/>
      <c r="N124" s="44"/>
    </row>
    <row r="125" spans="2:14" ht="18.75" customHeight="1" x14ac:dyDescent="0.3">
      <c r="B125" s="10"/>
      <c r="C125" s="182" t="s">
        <v>2485</v>
      </c>
      <c r="D125" s="118" t="s">
        <v>271</v>
      </c>
      <c r="E125" s="107" t="s">
        <v>23</v>
      </c>
      <c r="F125" s="107" t="s">
        <v>266</v>
      </c>
      <c r="G125" s="107" t="s">
        <v>272</v>
      </c>
      <c r="H125" s="108" t="s">
        <v>2078</v>
      </c>
      <c r="I125" s="107" t="s">
        <v>2</v>
      </c>
      <c r="J125" s="110">
        <v>0.4</v>
      </c>
      <c r="K125" s="111">
        <v>745.59</v>
      </c>
      <c r="L125" s="112">
        <v>34.296000000000006</v>
      </c>
      <c r="M125" s="15"/>
      <c r="N125" s="44"/>
    </row>
    <row r="126" spans="2:14" ht="18.75" customHeight="1" x14ac:dyDescent="0.3">
      <c r="B126" s="10"/>
      <c r="C126" s="182" t="s">
        <v>2485</v>
      </c>
      <c r="D126" s="118" t="s">
        <v>1933</v>
      </c>
      <c r="E126" s="107" t="s">
        <v>1934</v>
      </c>
      <c r="F126" s="107"/>
      <c r="G126" s="107"/>
      <c r="H126" s="108" t="s">
        <v>2444</v>
      </c>
      <c r="I126" s="107" t="s">
        <v>2</v>
      </c>
      <c r="J126" s="110">
        <v>0.4</v>
      </c>
      <c r="K126" s="111">
        <v>15.225</v>
      </c>
      <c r="L126" s="112">
        <v>34.296000000000006</v>
      </c>
      <c r="M126" s="15"/>
      <c r="N126" s="44"/>
    </row>
    <row r="127" spans="2:14" ht="18.75" customHeight="1" x14ac:dyDescent="0.3">
      <c r="B127" s="10"/>
      <c r="C127" s="182" t="s">
        <v>2485</v>
      </c>
      <c r="D127" s="118" t="s">
        <v>252</v>
      </c>
      <c r="E127" s="107" t="s">
        <v>40</v>
      </c>
      <c r="F127" s="107" t="s">
        <v>253</v>
      </c>
      <c r="G127" s="120" t="s">
        <v>254</v>
      </c>
      <c r="H127" s="108" t="s">
        <v>2076</v>
      </c>
      <c r="I127" s="107" t="s">
        <v>2</v>
      </c>
      <c r="J127" s="110">
        <v>0.39760000000000001</v>
      </c>
      <c r="K127" s="111">
        <v>761.25</v>
      </c>
      <c r="L127" s="112">
        <v>34.492756539235415</v>
      </c>
      <c r="M127" s="15"/>
      <c r="N127" s="44"/>
    </row>
    <row r="128" spans="2:14" ht="18.75" customHeight="1" x14ac:dyDescent="0.3">
      <c r="B128" s="10"/>
      <c r="C128" s="182" t="s">
        <v>2485</v>
      </c>
      <c r="D128" s="106" t="s">
        <v>391</v>
      </c>
      <c r="E128" s="107" t="s">
        <v>392</v>
      </c>
      <c r="F128" s="107" t="s">
        <v>393</v>
      </c>
      <c r="G128" s="109">
        <v>1</v>
      </c>
      <c r="H128" s="108" t="s">
        <v>2082</v>
      </c>
      <c r="I128" s="107" t="s">
        <v>2</v>
      </c>
      <c r="J128" s="110">
        <v>0.39760000000000001</v>
      </c>
      <c r="K128" s="111">
        <v>64.38</v>
      </c>
      <c r="L128" s="112">
        <v>34.492756539235415</v>
      </c>
      <c r="M128" s="15"/>
      <c r="N128" s="44"/>
    </row>
    <row r="129" spans="2:14" ht="18.75" customHeight="1" x14ac:dyDescent="0.3">
      <c r="B129" s="10"/>
      <c r="C129" s="182" t="s">
        <v>2485</v>
      </c>
      <c r="D129" s="118" t="s">
        <v>1669</v>
      </c>
      <c r="E129" s="129" t="s">
        <v>23</v>
      </c>
      <c r="F129" s="110" t="s">
        <v>1667</v>
      </c>
      <c r="G129" s="129" t="s">
        <v>139</v>
      </c>
      <c r="H129" s="108" t="s">
        <v>2111</v>
      </c>
      <c r="I129" s="107" t="s">
        <v>2</v>
      </c>
      <c r="J129" s="110">
        <v>0.3952</v>
      </c>
      <c r="K129" s="111">
        <v>652.5</v>
      </c>
      <c r="L129" s="112">
        <v>34.691902834008104</v>
      </c>
      <c r="M129" s="15"/>
      <c r="N129" s="44"/>
    </row>
    <row r="130" spans="2:14" ht="18.75" customHeight="1" x14ac:dyDescent="0.3">
      <c r="B130" s="10"/>
      <c r="C130" s="182" t="s">
        <v>2485</v>
      </c>
      <c r="D130" s="118" t="s">
        <v>662</v>
      </c>
      <c r="E130" s="107" t="s">
        <v>663</v>
      </c>
      <c r="F130" s="107" t="s">
        <v>664</v>
      </c>
      <c r="G130" s="107" t="s">
        <v>666</v>
      </c>
      <c r="H130" s="108" t="s">
        <v>2091</v>
      </c>
      <c r="I130" s="107" t="s">
        <v>2</v>
      </c>
      <c r="J130" s="110">
        <v>0.39279999999999998</v>
      </c>
      <c r="K130" s="111">
        <v>39.15</v>
      </c>
      <c r="L130" s="112">
        <v>34.893482688391046</v>
      </c>
      <c r="M130" s="15"/>
      <c r="N130" s="44"/>
    </row>
    <row r="131" spans="2:14" ht="18.75" customHeight="1" x14ac:dyDescent="0.3">
      <c r="B131" s="10"/>
      <c r="C131" s="182" t="s">
        <v>2485</v>
      </c>
      <c r="D131" s="106" t="s">
        <v>1666</v>
      </c>
      <c r="E131" s="117" t="s">
        <v>23</v>
      </c>
      <c r="F131" s="107" t="s">
        <v>1667</v>
      </c>
      <c r="G131" s="107" t="s">
        <v>140</v>
      </c>
      <c r="H131" s="108" t="s">
        <v>2110</v>
      </c>
      <c r="I131" s="107" t="s">
        <v>2</v>
      </c>
      <c r="J131" s="110">
        <v>0.39279999999999998</v>
      </c>
      <c r="K131" s="111">
        <v>652.5</v>
      </c>
      <c r="L131" s="112">
        <v>34.893482688391046</v>
      </c>
      <c r="M131" s="15"/>
      <c r="N131" s="44"/>
    </row>
    <row r="132" spans="2:14" ht="18.75" customHeight="1" x14ac:dyDescent="0.3">
      <c r="B132" s="10"/>
      <c r="C132" s="182" t="s">
        <v>2485</v>
      </c>
      <c r="D132" s="118" t="s">
        <v>409</v>
      </c>
      <c r="E132" s="107" t="s">
        <v>410</v>
      </c>
      <c r="F132" s="107" t="s">
        <v>411</v>
      </c>
      <c r="G132" s="120"/>
      <c r="H132" s="108" t="s">
        <v>2083</v>
      </c>
      <c r="I132" s="107" t="s">
        <v>2</v>
      </c>
      <c r="J132" s="110">
        <v>0.39040000000000002</v>
      </c>
      <c r="K132" s="111">
        <v>42.63</v>
      </c>
      <c r="L132" s="112">
        <v>35.097540983606564</v>
      </c>
      <c r="M132" s="15"/>
      <c r="N132" s="44"/>
    </row>
    <row r="133" spans="2:14" ht="18.75" customHeight="1" x14ac:dyDescent="0.3">
      <c r="B133" s="10"/>
      <c r="C133" s="182" t="s">
        <v>2485</v>
      </c>
      <c r="D133" s="106" t="s">
        <v>1461</v>
      </c>
      <c r="E133" s="107" t="s">
        <v>23</v>
      </c>
      <c r="F133" s="120" t="s">
        <v>1462</v>
      </c>
      <c r="G133" s="107" t="s">
        <v>140</v>
      </c>
      <c r="H133" s="108" t="s">
        <v>2104</v>
      </c>
      <c r="I133" s="107" t="s">
        <v>2</v>
      </c>
      <c r="J133" s="110">
        <v>0.39040000000000002</v>
      </c>
      <c r="K133" s="111">
        <v>404.55</v>
      </c>
      <c r="L133" s="112">
        <v>35.097540983606564</v>
      </c>
      <c r="M133" s="15"/>
      <c r="N133" s="44"/>
    </row>
    <row r="134" spans="2:14" ht="18.75" customHeight="1" x14ac:dyDescent="0.3">
      <c r="B134" s="10"/>
      <c r="C134" s="182" t="s">
        <v>2485</v>
      </c>
      <c r="D134" s="106" t="s">
        <v>1465</v>
      </c>
      <c r="E134" s="107" t="s">
        <v>23</v>
      </c>
      <c r="F134" s="107" t="s">
        <v>1462</v>
      </c>
      <c r="G134" s="107" t="s">
        <v>139</v>
      </c>
      <c r="H134" s="108" t="s">
        <v>2105</v>
      </c>
      <c r="I134" s="107" t="s">
        <v>2</v>
      </c>
      <c r="J134" s="110">
        <v>0.39040000000000002</v>
      </c>
      <c r="K134" s="111">
        <v>404.55</v>
      </c>
      <c r="L134" s="112">
        <v>35.097540983606564</v>
      </c>
      <c r="M134" s="15"/>
      <c r="N134" s="44"/>
    </row>
    <row r="135" spans="2:14" ht="18.75" customHeight="1" x14ac:dyDescent="0.3">
      <c r="B135" s="10"/>
      <c r="C135" s="182" t="s">
        <v>2485</v>
      </c>
      <c r="D135" s="106" t="s">
        <v>1466</v>
      </c>
      <c r="E135" s="120" t="s">
        <v>23</v>
      </c>
      <c r="F135" s="107" t="s">
        <v>1462</v>
      </c>
      <c r="G135" s="120" t="s">
        <v>142</v>
      </c>
      <c r="H135" s="108" t="s">
        <v>2106</v>
      </c>
      <c r="I135" s="107" t="s">
        <v>2</v>
      </c>
      <c r="J135" s="110">
        <v>0.39040000000000002</v>
      </c>
      <c r="K135" s="111">
        <v>404.55</v>
      </c>
      <c r="L135" s="112">
        <v>35.097540983606564</v>
      </c>
      <c r="M135" s="15"/>
      <c r="N135" s="44"/>
    </row>
    <row r="136" spans="2:14" ht="18.75" customHeight="1" x14ac:dyDescent="0.3">
      <c r="B136" s="10"/>
      <c r="C136" s="182" t="s">
        <v>2485</v>
      </c>
      <c r="D136" s="118" t="s">
        <v>1467</v>
      </c>
      <c r="E136" s="107" t="s">
        <v>23</v>
      </c>
      <c r="F136" s="107" t="s">
        <v>1462</v>
      </c>
      <c r="G136" s="120" t="s">
        <v>131</v>
      </c>
      <c r="H136" s="108" t="s">
        <v>2107</v>
      </c>
      <c r="I136" s="107" t="s">
        <v>2</v>
      </c>
      <c r="J136" s="110">
        <v>0.39040000000000002</v>
      </c>
      <c r="K136" s="111">
        <v>404.55</v>
      </c>
      <c r="L136" s="112">
        <v>35.097540983606564</v>
      </c>
      <c r="M136" s="15"/>
      <c r="N136" s="44"/>
    </row>
    <row r="137" spans="2:14" ht="18.75" customHeight="1" x14ac:dyDescent="0.3">
      <c r="B137" s="10"/>
      <c r="C137" s="182" t="s">
        <v>2485</v>
      </c>
      <c r="D137" s="106" t="s">
        <v>1468</v>
      </c>
      <c r="E137" s="107" t="s">
        <v>23</v>
      </c>
      <c r="F137" s="107" t="s">
        <v>1462</v>
      </c>
      <c r="G137" s="120" t="s">
        <v>143</v>
      </c>
      <c r="H137" s="108" t="s">
        <v>2108</v>
      </c>
      <c r="I137" s="107" t="s">
        <v>2</v>
      </c>
      <c r="J137" s="110">
        <v>0.39040000000000002</v>
      </c>
      <c r="K137" s="111">
        <v>404.55</v>
      </c>
      <c r="L137" s="112">
        <v>35.097540983606564</v>
      </c>
      <c r="M137" s="15"/>
      <c r="N137" s="44"/>
    </row>
    <row r="138" spans="2:14" ht="18.75" customHeight="1" x14ac:dyDescent="0.3">
      <c r="B138" s="10"/>
      <c r="C138" s="182" t="s">
        <v>2485</v>
      </c>
      <c r="D138" s="118" t="s">
        <v>1611</v>
      </c>
      <c r="E138" s="107" t="s">
        <v>278</v>
      </c>
      <c r="F138" s="107" t="s">
        <v>1612</v>
      </c>
      <c r="G138" s="107" t="s">
        <v>140</v>
      </c>
      <c r="H138" s="108" t="s">
        <v>2083</v>
      </c>
      <c r="I138" s="107" t="s">
        <v>2</v>
      </c>
      <c r="J138" s="110">
        <v>0.39040000000000002</v>
      </c>
      <c r="K138" s="111">
        <v>391.5</v>
      </c>
      <c r="L138" s="112">
        <v>35.097540983606564</v>
      </c>
      <c r="M138" s="15"/>
      <c r="N138" s="44"/>
    </row>
    <row r="139" spans="2:14" ht="18.75" customHeight="1" x14ac:dyDescent="0.3">
      <c r="B139" s="10"/>
      <c r="C139" s="182" t="s">
        <v>2485</v>
      </c>
      <c r="D139" s="118" t="s">
        <v>1613</v>
      </c>
      <c r="E139" s="120" t="s">
        <v>278</v>
      </c>
      <c r="F139" s="107" t="s">
        <v>1612</v>
      </c>
      <c r="G139" s="107" t="s">
        <v>139</v>
      </c>
      <c r="H139" s="108" t="s">
        <v>2083</v>
      </c>
      <c r="I139" s="107" t="s">
        <v>2</v>
      </c>
      <c r="J139" s="110">
        <v>0.39040000000000002</v>
      </c>
      <c r="K139" s="111">
        <v>391.5</v>
      </c>
      <c r="L139" s="112">
        <v>35.097540983606564</v>
      </c>
      <c r="M139" s="15"/>
      <c r="N139" s="44"/>
    </row>
    <row r="140" spans="2:14" ht="18.75" customHeight="1" x14ac:dyDescent="0.3">
      <c r="B140" s="10"/>
      <c r="C140" s="182" t="s">
        <v>2485</v>
      </c>
      <c r="D140" s="118" t="s">
        <v>146</v>
      </c>
      <c r="E140" s="107" t="s">
        <v>147</v>
      </c>
      <c r="F140" s="107" t="s">
        <v>148</v>
      </c>
      <c r="G140" s="120" t="s">
        <v>150</v>
      </c>
      <c r="H140" s="108" t="s">
        <v>2074</v>
      </c>
      <c r="I140" s="107" t="s">
        <v>2</v>
      </c>
      <c r="J140" s="110">
        <v>0.38800000000000001</v>
      </c>
      <c r="K140" s="111">
        <v>8.6999999999999993</v>
      </c>
      <c r="L140" s="112">
        <v>35.30412371134021</v>
      </c>
      <c r="M140" s="15"/>
      <c r="N140" s="44"/>
    </row>
    <row r="141" spans="2:14" ht="18.75" customHeight="1" x14ac:dyDescent="0.3">
      <c r="B141" s="10"/>
      <c r="C141" s="182" t="s">
        <v>2485</v>
      </c>
      <c r="D141" s="118" t="s">
        <v>151</v>
      </c>
      <c r="E141" s="107" t="s">
        <v>147</v>
      </c>
      <c r="F141" s="107" t="s">
        <v>148</v>
      </c>
      <c r="G141" s="120" t="s">
        <v>152</v>
      </c>
      <c r="H141" s="108" t="s">
        <v>2074</v>
      </c>
      <c r="I141" s="107" t="s">
        <v>2</v>
      </c>
      <c r="J141" s="110">
        <v>0.38800000000000001</v>
      </c>
      <c r="K141" s="111">
        <v>8.6999999999999993</v>
      </c>
      <c r="L141" s="112">
        <v>35.30412371134021</v>
      </c>
      <c r="M141" s="15"/>
      <c r="N141" s="44"/>
    </row>
    <row r="142" spans="2:14" ht="18.75" customHeight="1" x14ac:dyDescent="0.3">
      <c r="B142" s="10"/>
      <c r="C142" s="182" t="s">
        <v>2485</v>
      </c>
      <c r="D142" s="106" t="s">
        <v>269</v>
      </c>
      <c r="E142" s="120" t="s">
        <v>23</v>
      </c>
      <c r="F142" s="107" t="s">
        <v>266</v>
      </c>
      <c r="G142" s="120" t="s">
        <v>270</v>
      </c>
      <c r="H142" s="108" t="s">
        <v>2063</v>
      </c>
      <c r="I142" s="107" t="s">
        <v>2</v>
      </c>
      <c r="J142" s="110">
        <v>0.3856</v>
      </c>
      <c r="K142" s="111">
        <v>404.55</v>
      </c>
      <c r="L142" s="112">
        <v>35.513278008298762</v>
      </c>
      <c r="M142" s="15"/>
      <c r="N142" s="44"/>
    </row>
    <row r="143" spans="2:14" ht="18.75" customHeight="1" x14ac:dyDescent="0.3">
      <c r="B143" s="10"/>
      <c r="C143" s="182" t="s">
        <v>2485</v>
      </c>
      <c r="D143" s="118" t="s">
        <v>1796</v>
      </c>
      <c r="E143" s="107" t="s">
        <v>1756</v>
      </c>
      <c r="F143" s="107" t="s">
        <v>1797</v>
      </c>
      <c r="G143" s="107"/>
      <c r="H143" s="108" t="s">
        <v>2113</v>
      </c>
      <c r="I143" s="107" t="s">
        <v>2</v>
      </c>
      <c r="J143" s="110">
        <v>0.3856</v>
      </c>
      <c r="K143" s="111">
        <v>26.97</v>
      </c>
      <c r="L143" s="112">
        <v>35.513278008298762</v>
      </c>
      <c r="M143" s="15"/>
      <c r="N143" s="44"/>
    </row>
    <row r="144" spans="2:14" ht="18.75" customHeight="1" x14ac:dyDescent="0.3">
      <c r="B144" s="10"/>
      <c r="C144" s="182" t="s">
        <v>2485</v>
      </c>
      <c r="D144" s="118" t="s">
        <v>265</v>
      </c>
      <c r="E144" s="107" t="s">
        <v>23</v>
      </c>
      <c r="F144" s="107" t="s">
        <v>266</v>
      </c>
      <c r="G144" s="357" t="s">
        <v>268</v>
      </c>
      <c r="H144" s="108" t="s">
        <v>2077</v>
      </c>
      <c r="I144" s="107" t="s">
        <v>2</v>
      </c>
      <c r="J144" s="110">
        <v>0.38319999999999999</v>
      </c>
      <c r="K144" s="111">
        <v>404.55</v>
      </c>
      <c r="L144" s="112">
        <v>35.725052192066812</v>
      </c>
      <c r="M144" s="15"/>
      <c r="N144" s="44"/>
    </row>
    <row r="145" spans="2:14" ht="18.75" customHeight="1" x14ac:dyDescent="0.3">
      <c r="B145" s="10"/>
      <c r="C145" s="182" t="s">
        <v>2485</v>
      </c>
      <c r="D145" s="106" t="s">
        <v>1927</v>
      </c>
      <c r="E145" s="107" t="s">
        <v>1928</v>
      </c>
      <c r="F145" s="107" t="s">
        <v>1929</v>
      </c>
      <c r="G145" s="107" t="s">
        <v>1932</v>
      </c>
      <c r="H145" s="108" t="s">
        <v>2114</v>
      </c>
      <c r="I145" s="107" t="s">
        <v>2</v>
      </c>
      <c r="J145" s="110">
        <v>0.38319999999999999</v>
      </c>
      <c r="K145" s="111">
        <v>20.271000000000001</v>
      </c>
      <c r="L145" s="112">
        <v>35.725052192066812</v>
      </c>
      <c r="M145" s="15"/>
      <c r="N145" s="44"/>
    </row>
    <row r="146" spans="2:14" ht="18.75" customHeight="1" x14ac:dyDescent="0.3">
      <c r="B146" s="10"/>
      <c r="C146" s="182" t="s">
        <v>2485</v>
      </c>
      <c r="D146" s="118" t="s">
        <v>621</v>
      </c>
      <c r="E146" s="107" t="s">
        <v>622</v>
      </c>
      <c r="F146" s="110" t="s">
        <v>623</v>
      </c>
      <c r="G146" s="110" t="s">
        <v>626</v>
      </c>
      <c r="H146" s="108" t="s">
        <v>2090</v>
      </c>
      <c r="I146" s="107" t="s">
        <v>2</v>
      </c>
      <c r="J146" s="110">
        <v>0.37840000000000001</v>
      </c>
      <c r="K146" s="111">
        <v>12.615</v>
      </c>
      <c r="L146" s="112">
        <v>36.156659619450323</v>
      </c>
      <c r="M146" s="15"/>
      <c r="N146" s="44"/>
    </row>
    <row r="147" spans="2:14" ht="18.75" customHeight="1" x14ac:dyDescent="0.3">
      <c r="B147" s="10"/>
      <c r="C147" s="182" t="s">
        <v>2485</v>
      </c>
      <c r="D147" s="106"/>
      <c r="E147" s="107" t="s">
        <v>1980</v>
      </c>
      <c r="F147" s="120"/>
      <c r="G147" s="120"/>
      <c r="H147" s="108"/>
      <c r="I147" s="107" t="s">
        <v>2</v>
      </c>
      <c r="J147" s="110">
        <v>0.376</v>
      </c>
      <c r="K147" s="111">
        <v>19.764659999999999</v>
      </c>
      <c r="L147" s="112">
        <v>36.376595744680856</v>
      </c>
      <c r="M147" s="15"/>
      <c r="N147" s="44"/>
    </row>
    <row r="148" spans="2:14" ht="18.75" customHeight="1" x14ac:dyDescent="0.3">
      <c r="B148" s="10"/>
      <c r="C148" s="182" t="s">
        <v>2485</v>
      </c>
      <c r="D148" s="118" t="s">
        <v>980</v>
      </c>
      <c r="E148" s="107" t="s">
        <v>981</v>
      </c>
      <c r="F148" s="107" t="s">
        <v>982</v>
      </c>
      <c r="G148" s="120"/>
      <c r="H148" s="108" t="s">
        <v>2101</v>
      </c>
      <c r="I148" s="107" t="s">
        <v>2</v>
      </c>
      <c r="J148" s="110">
        <v>0.37359999999999999</v>
      </c>
      <c r="K148" s="111">
        <v>29.145</v>
      </c>
      <c r="L148" s="112">
        <v>36.599357601713074</v>
      </c>
      <c r="M148" s="15"/>
      <c r="N148" s="44"/>
    </row>
    <row r="149" spans="2:14" ht="18.75" customHeight="1" x14ac:dyDescent="0.3">
      <c r="B149" s="10"/>
      <c r="C149" s="182" t="s">
        <v>2485</v>
      </c>
      <c r="D149" s="106" t="s">
        <v>379</v>
      </c>
      <c r="E149" s="117" t="s">
        <v>380</v>
      </c>
      <c r="F149" s="110" t="s">
        <v>381</v>
      </c>
      <c r="G149" s="129" t="s">
        <v>383</v>
      </c>
      <c r="H149" s="108" t="s">
        <v>2080</v>
      </c>
      <c r="I149" s="107" t="s">
        <v>2</v>
      </c>
      <c r="J149" s="110">
        <v>0.37119999999999997</v>
      </c>
      <c r="K149" s="111">
        <v>49.415999999999997</v>
      </c>
      <c r="L149" s="112">
        <v>36.82500000000001</v>
      </c>
      <c r="M149" s="15"/>
      <c r="N149" s="44"/>
    </row>
    <row r="150" spans="2:14" ht="18.75" customHeight="1" x14ac:dyDescent="0.3">
      <c r="B150" s="10"/>
      <c r="C150" s="182" t="s">
        <v>2485</v>
      </c>
      <c r="D150" s="113" t="s">
        <v>668</v>
      </c>
      <c r="E150" s="107" t="s">
        <v>128</v>
      </c>
      <c r="F150" s="115" t="s">
        <v>669</v>
      </c>
      <c r="G150" s="116" t="s">
        <v>669</v>
      </c>
      <c r="H150" s="108" t="s">
        <v>2061</v>
      </c>
      <c r="I150" s="107" t="s">
        <v>2</v>
      </c>
      <c r="J150" s="110">
        <v>0.37119999999999997</v>
      </c>
      <c r="K150" s="111">
        <v>153.12</v>
      </c>
      <c r="L150" s="112">
        <v>36.82500000000001</v>
      </c>
      <c r="M150" s="15"/>
      <c r="N150" s="44"/>
    </row>
    <row r="151" spans="2:14" ht="18.75" customHeight="1" x14ac:dyDescent="0.3">
      <c r="B151" s="10"/>
      <c r="C151" s="182" t="s">
        <v>2485</v>
      </c>
      <c r="D151" s="118" t="s">
        <v>482</v>
      </c>
      <c r="E151" s="107" t="s">
        <v>483</v>
      </c>
      <c r="F151" s="107" t="s">
        <v>484</v>
      </c>
      <c r="G151" s="107"/>
      <c r="H151" s="108" t="s">
        <v>2085</v>
      </c>
      <c r="I151" s="107" t="s">
        <v>2</v>
      </c>
      <c r="J151" s="110">
        <v>0.35920000000000002</v>
      </c>
      <c r="K151" s="111">
        <v>8.0910000000000011</v>
      </c>
      <c r="L151" s="112">
        <v>37.998440979955461</v>
      </c>
      <c r="M151" s="15"/>
      <c r="N151" s="44"/>
    </row>
    <row r="152" spans="2:14" ht="18.75" customHeight="1" x14ac:dyDescent="0.3">
      <c r="B152" s="10"/>
      <c r="C152" s="182" t="s">
        <v>2485</v>
      </c>
      <c r="D152" s="106" t="s">
        <v>1652</v>
      </c>
      <c r="E152" s="120" t="s">
        <v>1653</v>
      </c>
      <c r="F152" s="107" t="s">
        <v>1654</v>
      </c>
      <c r="G152" s="120"/>
      <c r="H152" s="108" t="s">
        <v>2109</v>
      </c>
      <c r="I152" s="107" t="s">
        <v>2</v>
      </c>
      <c r="J152" s="110">
        <v>0.34960000000000002</v>
      </c>
      <c r="K152" s="111">
        <v>39.15</v>
      </c>
      <c r="L152" s="112">
        <v>38.995194508009156</v>
      </c>
      <c r="M152" s="15"/>
      <c r="N152" s="44"/>
    </row>
    <row r="153" spans="2:14" ht="18.75" customHeight="1" x14ac:dyDescent="0.3">
      <c r="B153" s="10"/>
      <c r="C153" s="182" t="s">
        <v>2485</v>
      </c>
      <c r="D153" s="118" t="s">
        <v>739</v>
      </c>
      <c r="E153" s="107" t="s">
        <v>128</v>
      </c>
      <c r="F153" s="107" t="s">
        <v>734</v>
      </c>
      <c r="G153" s="120" t="s">
        <v>143</v>
      </c>
      <c r="H153" s="108" t="s">
        <v>2098</v>
      </c>
      <c r="I153" s="107" t="s">
        <v>2</v>
      </c>
      <c r="J153" s="110">
        <v>0.34239999999999998</v>
      </c>
      <c r="K153" s="111">
        <v>525.48</v>
      </c>
      <c r="L153" s="112">
        <v>39.779439252336459</v>
      </c>
      <c r="M153" s="15"/>
      <c r="N153" s="44"/>
    </row>
    <row r="154" spans="2:14" ht="18.75" customHeight="1" x14ac:dyDescent="0.3">
      <c r="B154" s="10"/>
      <c r="C154" s="182" t="s">
        <v>2485</v>
      </c>
      <c r="D154" s="118" t="s">
        <v>738</v>
      </c>
      <c r="E154" s="107" t="s">
        <v>128</v>
      </c>
      <c r="F154" s="110" t="s">
        <v>734</v>
      </c>
      <c r="G154" s="107" t="s">
        <v>131</v>
      </c>
      <c r="H154" s="108" t="s">
        <v>2097</v>
      </c>
      <c r="I154" s="107" t="s">
        <v>2</v>
      </c>
      <c r="J154" s="110">
        <v>0.34</v>
      </c>
      <c r="K154" s="111">
        <v>528.09</v>
      </c>
      <c r="L154" s="112">
        <v>40.048235294117646</v>
      </c>
      <c r="M154" s="15"/>
      <c r="N154" s="44"/>
    </row>
    <row r="155" spans="2:14" ht="18.75" customHeight="1" x14ac:dyDescent="0.3">
      <c r="B155" s="10"/>
      <c r="C155" s="182" t="s">
        <v>2485</v>
      </c>
      <c r="D155" s="106" t="s">
        <v>609</v>
      </c>
      <c r="E155" s="107" t="s">
        <v>128</v>
      </c>
      <c r="F155" s="107" t="s">
        <v>603</v>
      </c>
      <c r="G155" s="107" t="s">
        <v>134</v>
      </c>
      <c r="H155" s="108" t="s">
        <v>2089</v>
      </c>
      <c r="I155" s="107" t="s">
        <v>2</v>
      </c>
      <c r="J155" s="110">
        <v>0.34</v>
      </c>
      <c r="K155" s="111">
        <v>570.72</v>
      </c>
      <c r="L155" s="112">
        <v>40.048235294117646</v>
      </c>
      <c r="M155" s="15"/>
      <c r="N155" s="44"/>
    </row>
    <row r="156" spans="2:14" ht="18.75" customHeight="1" x14ac:dyDescent="0.3">
      <c r="B156" s="10"/>
      <c r="C156" s="182" t="s">
        <v>2485</v>
      </c>
      <c r="D156" s="118" t="s">
        <v>607</v>
      </c>
      <c r="E156" s="107" t="s">
        <v>128</v>
      </c>
      <c r="F156" s="107" t="s">
        <v>603</v>
      </c>
      <c r="G156" s="120" t="s">
        <v>136</v>
      </c>
      <c r="H156" s="108" t="s">
        <v>2088</v>
      </c>
      <c r="I156" s="107" t="s">
        <v>2</v>
      </c>
      <c r="J156" s="110">
        <v>0.33760000000000001</v>
      </c>
      <c r="K156" s="111">
        <v>576.80999999999995</v>
      </c>
      <c r="L156" s="112">
        <v>40.320853080568725</v>
      </c>
      <c r="M156" s="15"/>
      <c r="N156" s="44"/>
    </row>
    <row r="157" spans="2:14" ht="18.75" customHeight="1" x14ac:dyDescent="0.3">
      <c r="B157" s="10"/>
      <c r="C157" s="182" t="s">
        <v>2485</v>
      </c>
      <c r="D157" s="106" t="s">
        <v>733</v>
      </c>
      <c r="E157" s="107" t="s">
        <v>128</v>
      </c>
      <c r="F157" s="107" t="s">
        <v>734</v>
      </c>
      <c r="G157" s="107" t="s">
        <v>142</v>
      </c>
      <c r="H157" s="108" t="s">
        <v>2094</v>
      </c>
      <c r="I157" s="107" t="s">
        <v>2</v>
      </c>
      <c r="J157" s="110">
        <v>0.3352</v>
      </c>
      <c r="K157" s="111">
        <v>254.04</v>
      </c>
      <c r="L157" s="112">
        <v>40.597374701670645</v>
      </c>
      <c r="M157" s="15"/>
      <c r="N157" s="44"/>
    </row>
    <row r="158" spans="2:14" ht="18.75" customHeight="1" x14ac:dyDescent="0.3">
      <c r="B158" s="10"/>
      <c r="C158" s="182" t="s">
        <v>2485</v>
      </c>
      <c r="D158" s="118" t="s">
        <v>736</v>
      </c>
      <c r="E158" s="120" t="s">
        <v>128</v>
      </c>
      <c r="F158" s="107" t="s">
        <v>734</v>
      </c>
      <c r="G158" s="120" t="s">
        <v>140</v>
      </c>
      <c r="H158" s="108" t="s">
        <v>2095</v>
      </c>
      <c r="I158" s="107" t="s">
        <v>2</v>
      </c>
      <c r="J158" s="110">
        <v>0.33279999999999998</v>
      </c>
      <c r="K158" s="111">
        <v>255.78</v>
      </c>
      <c r="L158" s="112">
        <v>40.87788461538463</v>
      </c>
      <c r="M158" s="15"/>
      <c r="N158" s="44"/>
    </row>
    <row r="159" spans="2:14" ht="18.75" customHeight="1" x14ac:dyDescent="0.3">
      <c r="B159" s="10"/>
      <c r="C159" s="182" t="s">
        <v>2485</v>
      </c>
      <c r="D159" s="106" t="s">
        <v>737</v>
      </c>
      <c r="E159" s="107" t="s">
        <v>128</v>
      </c>
      <c r="F159" s="107" t="s">
        <v>734</v>
      </c>
      <c r="G159" s="107" t="s">
        <v>139</v>
      </c>
      <c r="H159" s="108" t="s">
        <v>2096</v>
      </c>
      <c r="I159" s="107" t="s">
        <v>2</v>
      </c>
      <c r="J159" s="110">
        <v>0.33279999999999998</v>
      </c>
      <c r="K159" s="111">
        <v>255.78</v>
      </c>
      <c r="L159" s="112">
        <v>40.87788461538463</v>
      </c>
      <c r="M159" s="15"/>
      <c r="N159" s="44"/>
    </row>
    <row r="160" spans="2:14" ht="18.75" customHeight="1" x14ac:dyDescent="0.3">
      <c r="B160" s="10"/>
      <c r="C160" s="182" t="s">
        <v>2485</v>
      </c>
      <c r="D160" s="118" t="s">
        <v>127</v>
      </c>
      <c r="E160" s="120" t="s">
        <v>128</v>
      </c>
      <c r="F160" s="107" t="s">
        <v>129</v>
      </c>
      <c r="G160" s="107" t="s">
        <v>131</v>
      </c>
      <c r="H160" s="108" t="s">
        <v>2068</v>
      </c>
      <c r="I160" s="107" t="s">
        <v>2</v>
      </c>
      <c r="J160" s="110">
        <v>0.32319999999999999</v>
      </c>
      <c r="K160" s="111">
        <v>258.39</v>
      </c>
      <c r="L160" s="112">
        <v>42.041584158415851</v>
      </c>
      <c r="M160" s="15"/>
      <c r="N160" s="44"/>
    </row>
    <row r="161" spans="2:14" ht="18.75" customHeight="1" x14ac:dyDescent="0.3">
      <c r="B161" s="10"/>
      <c r="C161" s="182" t="s">
        <v>2485</v>
      </c>
      <c r="D161" s="118" t="s">
        <v>606</v>
      </c>
      <c r="E161" s="107" t="s">
        <v>128</v>
      </c>
      <c r="F161" s="107" t="s">
        <v>603</v>
      </c>
      <c r="G161" s="120" t="s">
        <v>132</v>
      </c>
      <c r="H161" s="108" t="s">
        <v>2087</v>
      </c>
      <c r="I161" s="107" t="s">
        <v>2</v>
      </c>
      <c r="J161" s="110">
        <v>0.32079999999999997</v>
      </c>
      <c r="K161" s="111">
        <v>279.27</v>
      </c>
      <c r="L161" s="112">
        <v>42.34339152119702</v>
      </c>
      <c r="M161" s="15"/>
      <c r="N161" s="44"/>
    </row>
    <row r="162" spans="2:14" ht="18.75" customHeight="1" x14ac:dyDescent="0.3">
      <c r="B162" s="10"/>
      <c r="C162" s="182" t="s">
        <v>2485</v>
      </c>
      <c r="D162" s="118" t="s">
        <v>634</v>
      </c>
      <c r="E162" s="107" t="s">
        <v>630</v>
      </c>
      <c r="F162" s="107" t="s">
        <v>631</v>
      </c>
      <c r="G162" s="107" t="s">
        <v>635</v>
      </c>
      <c r="H162" s="108" t="s">
        <v>2003</v>
      </c>
      <c r="I162" s="107" t="s">
        <v>3</v>
      </c>
      <c r="J162" s="110">
        <v>0.504</v>
      </c>
      <c r="K162" s="111">
        <v>24.18</v>
      </c>
      <c r="L162" s="112">
        <v>42.609920634920634</v>
      </c>
      <c r="M162" s="15"/>
      <c r="N162" s="44"/>
    </row>
    <row r="163" spans="2:14" ht="18.75" customHeight="1" x14ac:dyDescent="0.3">
      <c r="B163" s="10"/>
      <c r="C163" s="182" t="s">
        <v>2485</v>
      </c>
      <c r="D163" s="118" t="s">
        <v>141</v>
      </c>
      <c r="E163" s="107" t="s">
        <v>128</v>
      </c>
      <c r="F163" s="107" t="s">
        <v>129</v>
      </c>
      <c r="G163" s="107" t="s">
        <v>142</v>
      </c>
      <c r="H163" s="108" t="s">
        <v>2072</v>
      </c>
      <c r="I163" s="107" t="s">
        <v>2</v>
      </c>
      <c r="J163" s="123">
        <v>0.316</v>
      </c>
      <c r="K163" s="111">
        <v>256.64999999999998</v>
      </c>
      <c r="L163" s="112">
        <v>42.960759493670892</v>
      </c>
      <c r="M163" s="15"/>
      <c r="N163" s="44"/>
    </row>
    <row r="164" spans="2:14" ht="18.75" customHeight="1" x14ac:dyDescent="0.3">
      <c r="B164" s="10"/>
      <c r="C164" s="182" t="s">
        <v>2485</v>
      </c>
      <c r="D164" s="118" t="s">
        <v>602</v>
      </c>
      <c r="E164" s="117" t="s">
        <v>128</v>
      </c>
      <c r="F164" s="110" t="s">
        <v>603</v>
      </c>
      <c r="G164" s="110" t="s">
        <v>143</v>
      </c>
      <c r="H164" s="108" t="s">
        <v>2086</v>
      </c>
      <c r="I164" s="107" t="s">
        <v>2</v>
      </c>
      <c r="J164" s="110">
        <v>0.316</v>
      </c>
      <c r="K164" s="111">
        <v>279.27</v>
      </c>
      <c r="L164" s="112">
        <v>42.960759493670892</v>
      </c>
      <c r="M164" s="15"/>
      <c r="N164" s="44"/>
    </row>
    <row r="165" spans="2:14" ht="18.75" customHeight="1" x14ac:dyDescent="0.3">
      <c r="B165" s="10"/>
      <c r="C165" s="182" t="s">
        <v>2485</v>
      </c>
      <c r="D165" s="106" t="s">
        <v>1949</v>
      </c>
      <c r="E165" s="107" t="s">
        <v>1950</v>
      </c>
      <c r="F165" s="107" t="s">
        <v>1951</v>
      </c>
      <c r="G165" s="107" t="s">
        <v>1954</v>
      </c>
      <c r="H165" s="108" t="s">
        <v>2084</v>
      </c>
      <c r="I165" s="107" t="s">
        <v>2</v>
      </c>
      <c r="J165" s="110">
        <v>0.31359999999999999</v>
      </c>
      <c r="K165" s="111">
        <v>16.965</v>
      </c>
      <c r="L165" s="112">
        <v>43.276530612244912</v>
      </c>
      <c r="M165" s="15"/>
      <c r="N165" s="44"/>
    </row>
    <row r="166" spans="2:14" ht="18.75" customHeight="1" x14ac:dyDescent="0.3">
      <c r="B166" s="10"/>
      <c r="C166" s="182" t="s">
        <v>2485</v>
      </c>
      <c r="D166" s="118" t="s">
        <v>447</v>
      </c>
      <c r="E166" s="107" t="s">
        <v>448</v>
      </c>
      <c r="F166" s="107" t="s">
        <v>449</v>
      </c>
      <c r="G166" s="107"/>
      <c r="H166" s="108" t="s">
        <v>2084</v>
      </c>
      <c r="I166" s="107" t="s">
        <v>2</v>
      </c>
      <c r="J166" s="110">
        <v>0.31359999999999999</v>
      </c>
      <c r="K166" s="111">
        <v>23.925000000000001</v>
      </c>
      <c r="L166" s="112">
        <v>43.276530612244912</v>
      </c>
      <c r="M166" s="15"/>
      <c r="N166" s="44"/>
    </row>
    <row r="167" spans="2:14" ht="18.75" customHeight="1" x14ac:dyDescent="0.3">
      <c r="B167" s="10"/>
      <c r="C167" s="182" t="s">
        <v>2485</v>
      </c>
      <c r="D167" s="106" t="s">
        <v>637</v>
      </c>
      <c r="E167" s="107" t="s">
        <v>630</v>
      </c>
      <c r="F167" s="107" t="s">
        <v>631</v>
      </c>
      <c r="G167" s="120" t="s">
        <v>638</v>
      </c>
      <c r="H167" s="108" t="s">
        <v>2004</v>
      </c>
      <c r="I167" s="107" t="s">
        <v>3</v>
      </c>
      <c r="J167" s="110">
        <v>0.49049999999999999</v>
      </c>
      <c r="K167" s="111">
        <v>25.740000000000002</v>
      </c>
      <c r="L167" s="112">
        <v>43.746890927624875</v>
      </c>
      <c r="M167" s="15"/>
      <c r="N167" s="44"/>
    </row>
    <row r="168" spans="2:14" ht="18.75" customHeight="1" x14ac:dyDescent="0.3">
      <c r="B168" s="10"/>
      <c r="C168" s="182" t="s">
        <v>2485</v>
      </c>
      <c r="D168" s="106" t="s">
        <v>922</v>
      </c>
      <c r="E168" s="107" t="s">
        <v>918</v>
      </c>
      <c r="F168" s="107" t="s">
        <v>101</v>
      </c>
      <c r="G168" s="120" t="s">
        <v>383</v>
      </c>
      <c r="H168" s="108" t="s">
        <v>2020</v>
      </c>
      <c r="I168" s="107" t="s">
        <v>3</v>
      </c>
      <c r="J168" s="110">
        <v>0.49049999999999999</v>
      </c>
      <c r="K168" s="111">
        <v>51.480000000000004</v>
      </c>
      <c r="L168" s="112">
        <v>43.746890927624875</v>
      </c>
      <c r="M168" s="15"/>
      <c r="N168" s="44"/>
    </row>
    <row r="169" spans="2:14" ht="18.75" customHeight="1" x14ac:dyDescent="0.3">
      <c r="B169" s="10"/>
      <c r="C169" s="182" t="s">
        <v>2485</v>
      </c>
      <c r="D169" s="106" t="s">
        <v>639</v>
      </c>
      <c r="E169" s="120" t="s">
        <v>630</v>
      </c>
      <c r="F169" s="107" t="s">
        <v>631</v>
      </c>
      <c r="G169" s="107" t="s">
        <v>640</v>
      </c>
      <c r="H169" s="108" t="s">
        <v>2005</v>
      </c>
      <c r="I169" s="107" t="s">
        <v>3</v>
      </c>
      <c r="J169" s="110">
        <v>0.47249999999999998</v>
      </c>
      <c r="K169" s="111">
        <v>25.740000000000002</v>
      </c>
      <c r="L169" s="112">
        <v>45.363915343915345</v>
      </c>
      <c r="M169" s="15"/>
      <c r="N169" s="44"/>
    </row>
    <row r="170" spans="2:14" ht="18.75" customHeight="1" x14ac:dyDescent="0.3">
      <c r="B170" s="10"/>
      <c r="C170" s="182" t="s">
        <v>2485</v>
      </c>
      <c r="D170" s="106" t="s">
        <v>291</v>
      </c>
      <c r="E170" s="107" t="s">
        <v>282</v>
      </c>
      <c r="F170" s="107" t="s">
        <v>283</v>
      </c>
      <c r="G170" s="120" t="s">
        <v>292</v>
      </c>
      <c r="H170" s="108" t="s">
        <v>1997</v>
      </c>
      <c r="I170" s="107" t="s">
        <v>3</v>
      </c>
      <c r="J170" s="110">
        <v>0.46800000000000003</v>
      </c>
      <c r="K170" s="111">
        <v>33.774000000000001</v>
      </c>
      <c r="L170" s="112">
        <v>45.78760683760683</v>
      </c>
      <c r="M170" s="15"/>
      <c r="N170" s="44"/>
    </row>
    <row r="171" spans="2:14" ht="18.75" customHeight="1" x14ac:dyDescent="0.3">
      <c r="B171" s="10"/>
      <c r="C171" s="182" t="s">
        <v>2485</v>
      </c>
      <c r="D171" s="106" t="s">
        <v>1277</v>
      </c>
      <c r="E171" s="107" t="s">
        <v>1260</v>
      </c>
      <c r="F171" s="120" t="s">
        <v>1278</v>
      </c>
      <c r="G171" s="120" t="s">
        <v>1279</v>
      </c>
      <c r="H171" s="108" t="s">
        <v>2035</v>
      </c>
      <c r="I171" s="107" t="s">
        <v>3</v>
      </c>
      <c r="J171" s="110">
        <v>0.46350000000000002</v>
      </c>
      <c r="K171" s="111">
        <v>53.352000000000004</v>
      </c>
      <c r="L171" s="112">
        <v>46.219525350593301</v>
      </c>
      <c r="M171" s="15"/>
      <c r="N171" s="44"/>
    </row>
    <row r="172" spans="2:14" ht="18.75" customHeight="1" x14ac:dyDescent="0.3">
      <c r="B172" s="10"/>
      <c r="C172" s="182" t="s">
        <v>2485</v>
      </c>
      <c r="D172" s="106" t="s">
        <v>1258</v>
      </c>
      <c r="E172" s="107" t="s">
        <v>1252</v>
      </c>
      <c r="F172" s="107" t="s">
        <v>1253</v>
      </c>
      <c r="G172" s="120" t="s">
        <v>640</v>
      </c>
      <c r="H172" s="108" t="s">
        <v>2032</v>
      </c>
      <c r="I172" s="107" t="s">
        <v>3</v>
      </c>
      <c r="J172" s="110">
        <v>0.46250000000000002</v>
      </c>
      <c r="K172" s="111">
        <v>657.54000000000008</v>
      </c>
      <c r="L172" s="112">
        <v>46.316648648648645</v>
      </c>
      <c r="M172" s="15"/>
      <c r="N172" s="44"/>
    </row>
    <row r="173" spans="2:14" ht="18.75" customHeight="1" x14ac:dyDescent="0.3">
      <c r="B173" s="10"/>
      <c r="C173" s="182" t="s">
        <v>2485</v>
      </c>
      <c r="D173" s="118" t="s">
        <v>798</v>
      </c>
      <c r="E173" s="107" t="s">
        <v>793</v>
      </c>
      <c r="F173" s="107" t="s">
        <v>799</v>
      </c>
      <c r="G173" s="119" t="s">
        <v>139</v>
      </c>
      <c r="H173" s="108" t="s">
        <v>2012</v>
      </c>
      <c r="I173" s="110" t="s">
        <v>3</v>
      </c>
      <c r="J173" s="110">
        <v>0.46250000000000002</v>
      </c>
      <c r="K173" s="111">
        <v>624</v>
      </c>
      <c r="L173" s="112">
        <v>46.316648648648645</v>
      </c>
      <c r="M173" s="15"/>
      <c r="N173" s="44"/>
    </row>
    <row r="174" spans="2:14" ht="18.75" customHeight="1" x14ac:dyDescent="0.3">
      <c r="B174" s="10"/>
      <c r="C174" s="182" t="s">
        <v>2485</v>
      </c>
      <c r="D174" s="106" t="s">
        <v>792</v>
      </c>
      <c r="E174" s="107" t="s">
        <v>793</v>
      </c>
      <c r="F174" s="107" t="s">
        <v>794</v>
      </c>
      <c r="G174" s="120" t="s">
        <v>140</v>
      </c>
      <c r="H174" s="108" t="s">
        <v>2010</v>
      </c>
      <c r="I174" s="107" t="s">
        <v>3</v>
      </c>
      <c r="J174" s="110">
        <v>0.46250000000000002</v>
      </c>
      <c r="K174" s="111">
        <v>624</v>
      </c>
      <c r="L174" s="112">
        <v>46.316648648648645</v>
      </c>
      <c r="M174" s="15"/>
      <c r="N174" s="44"/>
    </row>
    <row r="175" spans="2:14" ht="18.75" customHeight="1" x14ac:dyDescent="0.3">
      <c r="B175" s="10"/>
      <c r="C175" s="182" t="s">
        <v>2485</v>
      </c>
      <c r="D175" s="113" t="s">
        <v>1858</v>
      </c>
      <c r="E175" s="107" t="s">
        <v>329</v>
      </c>
      <c r="F175" s="115" t="s">
        <v>1859</v>
      </c>
      <c r="G175" s="116" t="s">
        <v>1859</v>
      </c>
      <c r="H175" s="108" t="s">
        <v>2054</v>
      </c>
      <c r="I175" s="107" t="s">
        <v>3</v>
      </c>
      <c r="J175" s="110">
        <v>0.46250000000000002</v>
      </c>
      <c r="K175" s="111">
        <v>570.18000000000006</v>
      </c>
      <c r="L175" s="112">
        <v>46.316648648648645</v>
      </c>
      <c r="M175" s="15"/>
      <c r="N175" s="44"/>
    </row>
    <row r="176" spans="2:14" ht="18.75" customHeight="1" x14ac:dyDescent="0.3">
      <c r="B176" s="10"/>
      <c r="C176" s="182" t="s">
        <v>2485</v>
      </c>
      <c r="D176" s="106" t="s">
        <v>322</v>
      </c>
      <c r="E176" s="107" t="s">
        <v>314</v>
      </c>
      <c r="F176" s="107" t="s">
        <v>323</v>
      </c>
      <c r="G176" s="107" t="s">
        <v>325</v>
      </c>
      <c r="H176" s="108" t="s">
        <v>1998</v>
      </c>
      <c r="I176" s="107" t="s">
        <v>3</v>
      </c>
      <c r="J176" s="110">
        <v>0.46</v>
      </c>
      <c r="K176" s="111">
        <v>92.820000000000007</v>
      </c>
      <c r="L176" s="112">
        <v>46.561304347826081</v>
      </c>
      <c r="M176" s="15"/>
      <c r="N176" s="44"/>
    </row>
    <row r="177" spans="2:14" ht="18.75" customHeight="1" x14ac:dyDescent="0.3">
      <c r="B177" s="10"/>
      <c r="C177" s="182" t="s">
        <v>2485</v>
      </c>
      <c r="D177" s="106" t="s">
        <v>817</v>
      </c>
      <c r="E177" s="107" t="s">
        <v>160</v>
      </c>
      <c r="F177" s="107" t="s">
        <v>818</v>
      </c>
      <c r="G177" s="120" t="s">
        <v>143</v>
      </c>
      <c r="H177" s="108" t="s">
        <v>2013</v>
      </c>
      <c r="I177" s="107" t="s">
        <v>3</v>
      </c>
      <c r="J177" s="110">
        <v>0.46</v>
      </c>
      <c r="K177" s="111">
        <v>595.68600000000004</v>
      </c>
      <c r="L177" s="112">
        <v>46.561304347826081</v>
      </c>
      <c r="M177" s="15"/>
      <c r="N177" s="44"/>
    </row>
    <row r="178" spans="2:14" ht="18.75" customHeight="1" x14ac:dyDescent="0.3">
      <c r="B178" s="10"/>
      <c r="C178" s="182" t="s">
        <v>2485</v>
      </c>
      <c r="D178" s="106" t="s">
        <v>973</v>
      </c>
      <c r="E178" s="107" t="s">
        <v>40</v>
      </c>
      <c r="F178" s="107" t="s">
        <v>959</v>
      </c>
      <c r="G178" s="107" t="s">
        <v>974</v>
      </c>
      <c r="H178" s="108" t="s">
        <v>2023</v>
      </c>
      <c r="I178" s="107" t="s">
        <v>3</v>
      </c>
      <c r="J178" s="110">
        <v>0.46</v>
      </c>
      <c r="K178" s="111">
        <v>650.52</v>
      </c>
      <c r="L178" s="112">
        <v>46.561304347826081</v>
      </c>
      <c r="M178" s="15"/>
      <c r="N178" s="44"/>
    </row>
    <row r="179" spans="2:14" ht="18.75" customHeight="1" x14ac:dyDescent="0.3">
      <c r="B179" s="10"/>
      <c r="C179" s="182" t="s">
        <v>2485</v>
      </c>
      <c r="D179" s="106" t="s">
        <v>462</v>
      </c>
      <c r="E179" s="120" t="s">
        <v>463</v>
      </c>
      <c r="F179" s="120" t="s">
        <v>459</v>
      </c>
      <c r="G179" s="120" t="s">
        <v>464</v>
      </c>
      <c r="H179" s="108" t="s">
        <v>2001</v>
      </c>
      <c r="I179" s="107" t="s">
        <v>3</v>
      </c>
      <c r="J179" s="110">
        <v>0.45750000000000002</v>
      </c>
      <c r="K179" s="111">
        <v>565.5</v>
      </c>
      <c r="L179" s="112">
        <v>46.808633879781411</v>
      </c>
      <c r="M179" s="15"/>
      <c r="N179" s="44"/>
    </row>
    <row r="180" spans="2:14" ht="18.75" customHeight="1" x14ac:dyDescent="0.3">
      <c r="B180" s="10"/>
      <c r="C180" s="182" t="s">
        <v>2485</v>
      </c>
      <c r="D180" s="106" t="s">
        <v>881</v>
      </c>
      <c r="E180" s="107" t="s">
        <v>458</v>
      </c>
      <c r="F180" s="107" t="s">
        <v>882</v>
      </c>
      <c r="G180" s="107" t="s">
        <v>883</v>
      </c>
      <c r="H180" s="108" t="s">
        <v>2017</v>
      </c>
      <c r="I180" s="107" t="s">
        <v>3</v>
      </c>
      <c r="J180" s="110">
        <v>0.45750000000000002</v>
      </c>
      <c r="K180" s="111">
        <v>350.22</v>
      </c>
      <c r="L180" s="112">
        <v>46.808633879781411</v>
      </c>
      <c r="M180" s="15"/>
      <c r="N180" s="44"/>
    </row>
    <row r="181" spans="2:14" ht="18.75" customHeight="1" x14ac:dyDescent="0.3">
      <c r="B181" s="10"/>
      <c r="C181" s="182" t="s">
        <v>2485</v>
      </c>
      <c r="D181" s="106" t="s">
        <v>1217</v>
      </c>
      <c r="E181" s="107" t="s">
        <v>1218</v>
      </c>
      <c r="F181" s="120" t="s">
        <v>1219</v>
      </c>
      <c r="G181" s="120"/>
      <c r="H181" s="108" t="s">
        <v>2028</v>
      </c>
      <c r="I181" s="107" t="s">
        <v>3</v>
      </c>
      <c r="J181" s="110">
        <v>0.45750000000000002</v>
      </c>
      <c r="K181" s="111">
        <v>573.30000000000007</v>
      </c>
      <c r="L181" s="112">
        <v>46.808633879781411</v>
      </c>
      <c r="M181" s="15"/>
      <c r="N181" s="44"/>
    </row>
    <row r="182" spans="2:14" ht="18.75" customHeight="1" x14ac:dyDescent="0.3">
      <c r="B182" s="10"/>
      <c r="C182" s="182" t="s">
        <v>2485</v>
      </c>
      <c r="D182" s="106" t="s">
        <v>1947</v>
      </c>
      <c r="E182" s="120" t="s">
        <v>329</v>
      </c>
      <c r="F182" s="107" t="s">
        <v>1943</v>
      </c>
      <c r="G182" s="120" t="s">
        <v>1948</v>
      </c>
      <c r="H182" s="108" t="s">
        <v>1989</v>
      </c>
      <c r="I182" s="107" t="s">
        <v>3</v>
      </c>
      <c r="J182" s="110">
        <v>0.45250000000000001</v>
      </c>
      <c r="K182" s="111">
        <v>368.16</v>
      </c>
      <c r="L182" s="112">
        <v>47.311491712707181</v>
      </c>
      <c r="M182" s="15"/>
      <c r="N182" s="44"/>
    </row>
    <row r="183" spans="2:14" ht="18.75" customHeight="1" x14ac:dyDescent="0.3">
      <c r="B183" s="10"/>
      <c r="C183" s="182" t="s">
        <v>2485</v>
      </c>
      <c r="D183" s="118" t="s">
        <v>515</v>
      </c>
      <c r="E183" s="117" t="s">
        <v>493</v>
      </c>
      <c r="F183" s="110" t="s">
        <v>226</v>
      </c>
      <c r="G183" s="129" t="s">
        <v>516</v>
      </c>
      <c r="H183" s="108" t="s">
        <v>2160</v>
      </c>
      <c r="I183" s="107" t="s">
        <v>226</v>
      </c>
      <c r="J183" s="110">
        <v>0.61199999999999999</v>
      </c>
      <c r="K183" s="111">
        <v>529.54999999999995</v>
      </c>
      <c r="L183" s="112">
        <v>47.602287581699343</v>
      </c>
      <c r="M183" s="15"/>
      <c r="N183" s="44"/>
    </row>
    <row r="184" spans="2:14" ht="18.75" customHeight="1" x14ac:dyDescent="0.3">
      <c r="B184" s="10"/>
      <c r="C184" s="182" t="s">
        <v>2485</v>
      </c>
      <c r="D184" s="118" t="s">
        <v>629</v>
      </c>
      <c r="E184" s="107" t="s">
        <v>630</v>
      </c>
      <c r="F184" s="107" t="s">
        <v>631</v>
      </c>
      <c r="G184" s="107" t="s">
        <v>285</v>
      </c>
      <c r="H184" s="108" t="s">
        <v>2138</v>
      </c>
      <c r="I184" s="107" t="s">
        <v>226</v>
      </c>
      <c r="J184" s="110">
        <v>0.61199999999999999</v>
      </c>
      <c r="K184" s="111">
        <v>69.42</v>
      </c>
      <c r="L184" s="112">
        <v>47.602287581699343</v>
      </c>
      <c r="M184" s="15"/>
      <c r="N184" s="44"/>
    </row>
    <row r="185" spans="2:14" ht="18.75" customHeight="1" x14ac:dyDescent="0.3">
      <c r="B185" s="10"/>
      <c r="C185" s="182" t="s">
        <v>2485</v>
      </c>
      <c r="D185" s="106" t="s">
        <v>309</v>
      </c>
      <c r="E185" s="107" t="s">
        <v>310</v>
      </c>
      <c r="F185" s="107" t="s">
        <v>311</v>
      </c>
      <c r="G185" s="109" t="s">
        <v>312</v>
      </c>
      <c r="H185" s="108" t="s">
        <v>2138</v>
      </c>
      <c r="I185" s="107" t="s">
        <v>226</v>
      </c>
      <c r="J185" s="110">
        <v>0.61199999999999999</v>
      </c>
      <c r="K185" s="111">
        <v>395.60500000000002</v>
      </c>
      <c r="L185" s="112">
        <v>47.602287581699343</v>
      </c>
      <c r="M185" s="15"/>
      <c r="N185" s="44"/>
    </row>
    <row r="186" spans="2:14" ht="18.75" customHeight="1" x14ac:dyDescent="0.3">
      <c r="B186" s="10"/>
      <c r="C186" s="182" t="s">
        <v>2485</v>
      </c>
      <c r="D186" s="106" t="s">
        <v>856</v>
      </c>
      <c r="E186" s="107" t="s">
        <v>40</v>
      </c>
      <c r="F186" s="120" t="s">
        <v>853</v>
      </c>
      <c r="G186" s="120" t="s">
        <v>857</v>
      </c>
      <c r="H186" s="108" t="s">
        <v>2016</v>
      </c>
      <c r="I186" s="107" t="s">
        <v>3</v>
      </c>
      <c r="J186" s="110">
        <v>0.44750000000000001</v>
      </c>
      <c r="K186" s="111">
        <v>606.84</v>
      </c>
      <c r="L186" s="112">
        <v>47.825586592178766</v>
      </c>
      <c r="M186" s="15"/>
      <c r="N186" s="44"/>
    </row>
    <row r="187" spans="2:14" ht="18.75" customHeight="1" x14ac:dyDescent="0.3">
      <c r="B187" s="10"/>
      <c r="C187" s="182" t="s">
        <v>2485</v>
      </c>
      <c r="D187" s="106" t="s">
        <v>915</v>
      </c>
      <c r="E187" s="120" t="s">
        <v>160</v>
      </c>
      <c r="F187" s="107" t="s">
        <v>914</v>
      </c>
      <c r="G187" s="107" t="s">
        <v>139</v>
      </c>
      <c r="H187" s="108" t="s">
        <v>2019</v>
      </c>
      <c r="I187" s="107" t="s">
        <v>3</v>
      </c>
      <c r="J187" s="110">
        <v>0.44750000000000001</v>
      </c>
      <c r="K187" s="111">
        <v>619.32000000000005</v>
      </c>
      <c r="L187" s="112">
        <v>47.825586592178766</v>
      </c>
      <c r="M187" s="15"/>
      <c r="N187" s="44"/>
    </row>
    <row r="188" spans="2:14" ht="18.75" customHeight="1" x14ac:dyDescent="0.3">
      <c r="B188" s="10"/>
      <c r="C188" s="182" t="s">
        <v>2485</v>
      </c>
      <c r="D188" s="106" t="s">
        <v>1742</v>
      </c>
      <c r="E188" s="107" t="s">
        <v>40</v>
      </c>
      <c r="F188" s="107" t="s">
        <v>1743</v>
      </c>
      <c r="G188" s="120" t="s">
        <v>1745</v>
      </c>
      <c r="H188" s="108" t="s">
        <v>2042</v>
      </c>
      <c r="I188" s="107" t="s">
        <v>3</v>
      </c>
      <c r="J188" s="110">
        <v>0.44750000000000001</v>
      </c>
      <c r="K188" s="111">
        <v>17.628</v>
      </c>
      <c r="L188" s="112">
        <v>47.825586592178766</v>
      </c>
      <c r="M188" s="15"/>
      <c r="N188" s="44"/>
    </row>
    <row r="189" spans="2:14" ht="18.75" customHeight="1" x14ac:dyDescent="0.3">
      <c r="B189" s="10"/>
      <c r="C189" s="182" t="s">
        <v>2485</v>
      </c>
      <c r="D189" s="118" t="s">
        <v>1675</v>
      </c>
      <c r="E189" s="107" t="s">
        <v>1676</v>
      </c>
      <c r="F189" s="107" t="s">
        <v>1677</v>
      </c>
      <c r="G189" s="107" t="s">
        <v>1680</v>
      </c>
      <c r="H189" s="108" t="s">
        <v>2260</v>
      </c>
      <c r="I189" s="107" t="s">
        <v>226</v>
      </c>
      <c r="J189" s="110">
        <v>0.60750000000000004</v>
      </c>
      <c r="K189" s="111">
        <v>139.72999999999999</v>
      </c>
      <c r="L189" s="112">
        <v>47.943786008230454</v>
      </c>
      <c r="M189" s="15"/>
      <c r="N189" s="44"/>
    </row>
    <row r="190" spans="2:14" ht="18.75" customHeight="1" x14ac:dyDescent="0.3">
      <c r="B190" s="10"/>
      <c r="C190" s="182" t="s">
        <v>2485</v>
      </c>
      <c r="D190" s="118" t="s">
        <v>1696</v>
      </c>
      <c r="E190" s="120" t="s">
        <v>1697</v>
      </c>
      <c r="F190" s="107" t="s">
        <v>1698</v>
      </c>
      <c r="G190" s="107"/>
      <c r="H190" s="108" t="s">
        <v>2262</v>
      </c>
      <c r="I190" s="107" t="s">
        <v>226</v>
      </c>
      <c r="J190" s="110">
        <v>0.60750000000000004</v>
      </c>
      <c r="K190" s="111">
        <v>89</v>
      </c>
      <c r="L190" s="112">
        <v>47.943786008230454</v>
      </c>
      <c r="M190" s="15"/>
      <c r="N190" s="44"/>
    </row>
    <row r="191" spans="2:14" ht="18.75" customHeight="1" x14ac:dyDescent="0.3">
      <c r="B191" s="10"/>
      <c r="C191" s="182" t="s">
        <v>2485</v>
      </c>
      <c r="D191" s="118" t="s">
        <v>577</v>
      </c>
      <c r="E191" s="107" t="s">
        <v>571</v>
      </c>
      <c r="F191" s="107" t="s">
        <v>575</v>
      </c>
      <c r="G191" s="107" t="s">
        <v>578</v>
      </c>
      <c r="H191" s="108" t="s">
        <v>2058</v>
      </c>
      <c r="I191" s="107" t="s">
        <v>226</v>
      </c>
      <c r="J191" s="110">
        <v>0.60299999999999998</v>
      </c>
      <c r="K191" s="111">
        <v>29.014000000000003</v>
      </c>
      <c r="L191" s="112">
        <v>48.290381426202323</v>
      </c>
      <c r="M191" s="15"/>
      <c r="N191" s="44"/>
    </row>
    <row r="192" spans="2:14" ht="18.75" customHeight="1" x14ac:dyDescent="0.3">
      <c r="B192" s="10"/>
      <c r="C192" s="182" t="s">
        <v>2485</v>
      </c>
      <c r="D192" s="118" t="s">
        <v>591</v>
      </c>
      <c r="E192" s="107" t="s">
        <v>586</v>
      </c>
      <c r="F192" s="107" t="s">
        <v>587</v>
      </c>
      <c r="G192" s="120" t="s">
        <v>592</v>
      </c>
      <c r="H192" s="108" t="s">
        <v>2168</v>
      </c>
      <c r="I192" s="110" t="s">
        <v>226</v>
      </c>
      <c r="J192" s="110">
        <v>0.60299999999999998</v>
      </c>
      <c r="K192" s="111">
        <v>5.9630000000000001</v>
      </c>
      <c r="L192" s="112">
        <v>48.290381426202323</v>
      </c>
      <c r="M192" s="15"/>
      <c r="N192" s="44"/>
    </row>
    <row r="193" spans="2:14" ht="18.75" customHeight="1" x14ac:dyDescent="0.3">
      <c r="B193" s="10"/>
      <c r="C193" s="182" t="s">
        <v>2485</v>
      </c>
      <c r="D193" s="118" t="s">
        <v>328</v>
      </c>
      <c r="E193" s="107" t="s">
        <v>329</v>
      </c>
      <c r="F193" s="107" t="s">
        <v>330</v>
      </c>
      <c r="G193" s="107" t="s">
        <v>330</v>
      </c>
      <c r="H193" s="108" t="s">
        <v>1992</v>
      </c>
      <c r="I193" s="107" t="s">
        <v>3</v>
      </c>
      <c r="J193" s="110">
        <v>0.4425</v>
      </c>
      <c r="K193" s="111">
        <v>273</v>
      </c>
      <c r="L193" s="112">
        <v>48.351299435028245</v>
      </c>
      <c r="M193" s="15"/>
      <c r="N193" s="44"/>
    </row>
    <row r="194" spans="2:14" ht="18.75" customHeight="1" x14ac:dyDescent="0.3">
      <c r="B194" s="10"/>
      <c r="C194" s="182" t="s">
        <v>2485</v>
      </c>
      <c r="D194" s="106" t="s">
        <v>53</v>
      </c>
      <c r="E194" s="120" t="s">
        <v>40</v>
      </c>
      <c r="F194" s="107" t="s">
        <v>41</v>
      </c>
      <c r="G194" s="120" t="s">
        <v>54</v>
      </c>
      <c r="H194" s="108" t="s">
        <v>1988</v>
      </c>
      <c r="I194" s="107" t="s">
        <v>3</v>
      </c>
      <c r="J194" s="110">
        <v>0.44</v>
      </c>
      <c r="K194" s="111">
        <v>262.08</v>
      </c>
      <c r="L194" s="112">
        <v>48.618636363636362</v>
      </c>
      <c r="M194" s="15"/>
      <c r="N194" s="44"/>
    </row>
    <row r="195" spans="2:14" ht="18.75" customHeight="1" x14ac:dyDescent="0.3">
      <c r="B195" s="10"/>
      <c r="C195" s="182" t="s">
        <v>2485</v>
      </c>
      <c r="D195" s="106" t="s">
        <v>769</v>
      </c>
      <c r="E195" s="107" t="s">
        <v>770</v>
      </c>
      <c r="F195" s="107" t="s">
        <v>765</v>
      </c>
      <c r="G195" s="120" t="s">
        <v>226</v>
      </c>
      <c r="H195" s="108" t="s">
        <v>2181</v>
      </c>
      <c r="I195" s="107" t="s">
        <v>226</v>
      </c>
      <c r="J195" s="110">
        <v>0.59850000000000003</v>
      </c>
      <c r="K195" s="111">
        <v>49.964600000000004</v>
      </c>
      <c r="L195" s="112">
        <v>48.642188805346699</v>
      </c>
      <c r="M195" s="15"/>
      <c r="N195" s="44"/>
    </row>
    <row r="196" spans="2:14" ht="18.75" customHeight="1" x14ac:dyDescent="0.3">
      <c r="B196" s="10"/>
      <c r="C196" s="182" t="s">
        <v>2485</v>
      </c>
      <c r="D196" s="118" t="s">
        <v>823</v>
      </c>
      <c r="E196" s="107" t="s">
        <v>824</v>
      </c>
      <c r="F196" s="107" t="s">
        <v>825</v>
      </c>
      <c r="G196" s="120" t="s">
        <v>825</v>
      </c>
      <c r="H196" s="108" t="s">
        <v>2185</v>
      </c>
      <c r="I196" s="107" t="s">
        <v>226</v>
      </c>
      <c r="J196" s="110">
        <v>0.59850000000000003</v>
      </c>
      <c r="K196" s="111">
        <v>204.70000000000002</v>
      </c>
      <c r="L196" s="112">
        <v>48.642188805346699</v>
      </c>
      <c r="M196" s="15"/>
      <c r="N196" s="44"/>
    </row>
    <row r="197" spans="2:14" ht="18.75" customHeight="1" x14ac:dyDescent="0.3">
      <c r="B197" s="10"/>
      <c r="C197" s="182" t="s">
        <v>2485</v>
      </c>
      <c r="D197" s="106" t="s">
        <v>912</v>
      </c>
      <c r="E197" s="107" t="s">
        <v>561</v>
      </c>
      <c r="F197" s="107" t="s">
        <v>913</v>
      </c>
      <c r="G197" s="120"/>
      <c r="H197" s="108" t="s">
        <v>2191</v>
      </c>
      <c r="I197" s="107" t="s">
        <v>226</v>
      </c>
      <c r="J197" s="110">
        <v>0.59850000000000003</v>
      </c>
      <c r="K197" s="111">
        <v>382.7</v>
      </c>
      <c r="L197" s="112">
        <v>48.642188805346699</v>
      </c>
      <c r="M197" s="15"/>
      <c r="N197" s="44"/>
    </row>
    <row r="198" spans="2:14" ht="18.75" customHeight="1" x14ac:dyDescent="0.3">
      <c r="B198" s="10"/>
      <c r="C198" s="182" t="s">
        <v>2485</v>
      </c>
      <c r="D198" s="106" t="s">
        <v>83</v>
      </c>
      <c r="E198" s="107" t="s">
        <v>79</v>
      </c>
      <c r="F198" s="120" t="s">
        <v>84</v>
      </c>
      <c r="G198" s="120" t="s">
        <v>84</v>
      </c>
      <c r="H198" s="126" t="s">
        <v>2119</v>
      </c>
      <c r="I198" s="107" t="s">
        <v>226</v>
      </c>
      <c r="J198" s="110">
        <v>0.59850000000000003</v>
      </c>
      <c r="K198" s="111">
        <v>41.83</v>
      </c>
      <c r="L198" s="112">
        <v>48.642188805346699</v>
      </c>
      <c r="M198" s="15"/>
      <c r="N198" s="44"/>
    </row>
    <row r="199" spans="2:14" ht="18.75" customHeight="1" x14ac:dyDescent="0.3">
      <c r="B199" s="10"/>
      <c r="C199" s="182" t="s">
        <v>2485</v>
      </c>
      <c r="D199" s="118" t="s">
        <v>1287</v>
      </c>
      <c r="E199" s="120" t="s">
        <v>1282</v>
      </c>
      <c r="F199" s="107" t="s">
        <v>1283</v>
      </c>
      <c r="G199" s="107" t="s">
        <v>1288</v>
      </c>
      <c r="H199" s="108" t="s">
        <v>2028</v>
      </c>
      <c r="I199" s="107" t="s">
        <v>226</v>
      </c>
      <c r="J199" s="110">
        <v>0.59850000000000003</v>
      </c>
      <c r="K199" s="111">
        <v>24.385999999999999</v>
      </c>
      <c r="L199" s="112">
        <v>48.642188805346699</v>
      </c>
      <c r="M199" s="15"/>
      <c r="N199" s="44"/>
    </row>
    <row r="200" spans="2:14" ht="18.75" customHeight="1" x14ac:dyDescent="0.3">
      <c r="B200" s="10"/>
      <c r="C200" s="182" t="s">
        <v>2485</v>
      </c>
      <c r="D200" s="106" t="s">
        <v>971</v>
      </c>
      <c r="E200" s="121" t="s">
        <v>40</v>
      </c>
      <c r="F200" s="107" t="s">
        <v>959</v>
      </c>
      <c r="G200" s="109" t="s">
        <v>972</v>
      </c>
      <c r="H200" s="108" t="s">
        <v>2022</v>
      </c>
      <c r="I200" s="107" t="s">
        <v>3</v>
      </c>
      <c r="J200" s="110">
        <v>0.4375</v>
      </c>
      <c r="K200" s="111">
        <v>403.26</v>
      </c>
      <c r="L200" s="112">
        <v>48.889028571428568</v>
      </c>
      <c r="M200" s="15"/>
      <c r="N200" s="44"/>
    </row>
    <row r="201" spans="2:14" ht="18.75" customHeight="1" x14ac:dyDescent="0.3">
      <c r="B201" s="10"/>
      <c r="C201" s="182" t="s">
        <v>2485</v>
      </c>
      <c r="D201" s="106" t="s">
        <v>1251</v>
      </c>
      <c r="E201" s="107" t="s">
        <v>1252</v>
      </c>
      <c r="F201" s="107" t="s">
        <v>1253</v>
      </c>
      <c r="G201" s="120" t="s">
        <v>327</v>
      </c>
      <c r="H201" s="108" t="s">
        <v>2029</v>
      </c>
      <c r="I201" s="107" t="s">
        <v>3</v>
      </c>
      <c r="J201" s="110">
        <v>0.4375</v>
      </c>
      <c r="K201" s="111">
        <v>198.9</v>
      </c>
      <c r="L201" s="112">
        <v>48.889028571428568</v>
      </c>
      <c r="M201" s="15"/>
      <c r="N201" s="44"/>
    </row>
    <row r="202" spans="2:14" ht="18.75" customHeight="1" x14ac:dyDescent="0.3">
      <c r="B202" s="10"/>
      <c r="C202" s="182" t="s">
        <v>2485</v>
      </c>
      <c r="D202" s="118" t="s">
        <v>1592</v>
      </c>
      <c r="E202" s="107" t="s">
        <v>1584</v>
      </c>
      <c r="F202" s="107" t="s">
        <v>1585</v>
      </c>
      <c r="G202" s="120" t="s">
        <v>1593</v>
      </c>
      <c r="H202" s="108" t="s">
        <v>2040</v>
      </c>
      <c r="I202" s="107" t="s">
        <v>3</v>
      </c>
      <c r="J202" s="110">
        <v>0.4375</v>
      </c>
      <c r="K202" s="111">
        <v>39</v>
      </c>
      <c r="L202" s="112">
        <v>48.889028571428568</v>
      </c>
      <c r="M202" s="15"/>
      <c r="N202" s="44"/>
    </row>
    <row r="203" spans="2:14" ht="18.75" customHeight="1" x14ac:dyDescent="0.3">
      <c r="B203" s="10"/>
      <c r="C203" s="182" t="s">
        <v>2485</v>
      </c>
      <c r="D203" s="106" t="s">
        <v>123</v>
      </c>
      <c r="E203" s="107" t="s">
        <v>124</v>
      </c>
      <c r="F203" s="107" t="s">
        <v>125</v>
      </c>
      <c r="G203" s="107"/>
      <c r="H203" s="108" t="s">
        <v>2123</v>
      </c>
      <c r="I203" s="107" t="s">
        <v>226</v>
      </c>
      <c r="J203" s="110">
        <v>0.58950000000000002</v>
      </c>
      <c r="K203" s="111">
        <v>69.42</v>
      </c>
      <c r="L203" s="112">
        <v>49.361916878710765</v>
      </c>
      <c r="M203" s="15"/>
      <c r="N203" s="44"/>
    </row>
    <row r="204" spans="2:14" ht="18.75" customHeight="1" x14ac:dyDescent="0.3">
      <c r="B204" s="10"/>
      <c r="C204" s="182" t="s">
        <v>2485</v>
      </c>
      <c r="D204" s="106" t="s">
        <v>897</v>
      </c>
      <c r="E204" s="107" t="s">
        <v>23</v>
      </c>
      <c r="F204" s="107" t="s">
        <v>898</v>
      </c>
      <c r="G204" s="120" t="s">
        <v>900</v>
      </c>
      <c r="H204" s="108" t="s">
        <v>2018</v>
      </c>
      <c r="I204" s="107" t="s">
        <v>3</v>
      </c>
      <c r="J204" s="110">
        <v>0.4325</v>
      </c>
      <c r="K204" s="111">
        <v>538.20000000000005</v>
      </c>
      <c r="L204" s="112">
        <v>49.439190751445082</v>
      </c>
      <c r="M204" s="15"/>
      <c r="N204" s="44"/>
    </row>
    <row r="205" spans="2:14" ht="18.75" customHeight="1" x14ac:dyDescent="0.3">
      <c r="B205" s="10"/>
      <c r="C205" s="182" t="s">
        <v>2485</v>
      </c>
      <c r="D205" s="118" t="s">
        <v>287</v>
      </c>
      <c r="E205" s="107" t="s">
        <v>282</v>
      </c>
      <c r="F205" s="107" t="s">
        <v>283</v>
      </c>
      <c r="G205" s="129" t="s">
        <v>226</v>
      </c>
      <c r="H205" s="108" t="s">
        <v>2136</v>
      </c>
      <c r="I205" s="107" t="s">
        <v>226</v>
      </c>
      <c r="J205" s="110">
        <v>0.58499999999999996</v>
      </c>
      <c r="K205" s="111">
        <v>65.86</v>
      </c>
      <c r="L205" s="112">
        <v>49.73008547008547</v>
      </c>
      <c r="M205" s="15"/>
      <c r="N205" s="44"/>
    </row>
    <row r="206" spans="2:14" ht="18.75" customHeight="1" x14ac:dyDescent="0.3">
      <c r="B206" s="10"/>
      <c r="C206" s="182" t="s">
        <v>2485</v>
      </c>
      <c r="D206" s="106" t="s">
        <v>1112</v>
      </c>
      <c r="E206" s="107" t="s">
        <v>227</v>
      </c>
      <c r="F206" s="107" t="s">
        <v>1113</v>
      </c>
      <c r="G206" s="107"/>
      <c r="H206" s="108" t="s">
        <v>2209</v>
      </c>
      <c r="I206" s="107" t="s">
        <v>226</v>
      </c>
      <c r="J206" s="110">
        <v>0.58499999999999996</v>
      </c>
      <c r="K206" s="111">
        <v>148.63</v>
      </c>
      <c r="L206" s="112">
        <v>49.73008547008547</v>
      </c>
      <c r="M206" s="15"/>
      <c r="N206" s="44"/>
    </row>
    <row r="207" spans="2:14" ht="18.75" customHeight="1" x14ac:dyDescent="0.3">
      <c r="B207" s="10"/>
      <c r="C207" s="182" t="s">
        <v>2485</v>
      </c>
      <c r="D207" s="106" t="s">
        <v>1152</v>
      </c>
      <c r="E207" s="107" t="s">
        <v>1133</v>
      </c>
      <c r="F207" s="107" t="s">
        <v>1139</v>
      </c>
      <c r="G207" s="120" t="s">
        <v>1153</v>
      </c>
      <c r="H207" s="108" t="s">
        <v>2323</v>
      </c>
      <c r="I207" s="107" t="s">
        <v>226</v>
      </c>
      <c r="J207" s="110">
        <v>0.58499999999999996</v>
      </c>
      <c r="K207" s="111">
        <v>17.8</v>
      </c>
      <c r="L207" s="112">
        <v>49.73008547008547</v>
      </c>
      <c r="M207" s="15"/>
      <c r="N207" s="44"/>
    </row>
    <row r="208" spans="2:14" ht="18.75" customHeight="1" x14ac:dyDescent="0.3">
      <c r="B208" s="10"/>
      <c r="C208" s="182" t="s">
        <v>2485</v>
      </c>
      <c r="D208" s="118" t="s">
        <v>1174</v>
      </c>
      <c r="E208" s="107" t="s">
        <v>160</v>
      </c>
      <c r="F208" s="121" t="s">
        <v>1165</v>
      </c>
      <c r="G208" s="110" t="s">
        <v>131</v>
      </c>
      <c r="H208" s="108" t="s">
        <v>2213</v>
      </c>
      <c r="I208" s="107" t="s">
        <v>226</v>
      </c>
      <c r="J208" s="110">
        <v>0.58499999999999996</v>
      </c>
      <c r="K208" s="111">
        <v>789.43000000000006</v>
      </c>
      <c r="L208" s="112">
        <v>49.73008547008547</v>
      </c>
      <c r="M208" s="15"/>
      <c r="N208" s="44"/>
    </row>
    <row r="209" spans="2:14" ht="18.75" customHeight="1" x14ac:dyDescent="0.3">
      <c r="B209" s="10"/>
      <c r="C209" s="182" t="s">
        <v>2485</v>
      </c>
      <c r="D209" s="106" t="s">
        <v>1497</v>
      </c>
      <c r="E209" s="107" t="s">
        <v>512</v>
      </c>
      <c r="F209" s="107" t="s">
        <v>1498</v>
      </c>
      <c r="G209" s="120"/>
      <c r="H209" s="108" t="s">
        <v>2239</v>
      </c>
      <c r="I209" s="107" t="s">
        <v>226</v>
      </c>
      <c r="J209" s="110">
        <v>0.58499999999999996</v>
      </c>
      <c r="K209" s="111">
        <v>105.465</v>
      </c>
      <c r="L209" s="112">
        <v>49.73008547008547</v>
      </c>
      <c r="M209" s="15"/>
      <c r="N209" s="44"/>
    </row>
    <row r="210" spans="2:14" ht="18.75" customHeight="1" x14ac:dyDescent="0.3">
      <c r="B210" s="10"/>
      <c r="C210" s="182" t="s">
        <v>2485</v>
      </c>
      <c r="D210" s="106" t="s">
        <v>784</v>
      </c>
      <c r="E210" s="107" t="s">
        <v>785</v>
      </c>
      <c r="F210" s="107" t="s">
        <v>786</v>
      </c>
      <c r="G210" s="107" t="s">
        <v>786</v>
      </c>
      <c r="H210" s="108" t="s">
        <v>2182</v>
      </c>
      <c r="I210" s="107" t="s">
        <v>226</v>
      </c>
      <c r="J210" s="110">
        <v>0.58050000000000002</v>
      </c>
      <c r="K210" s="111">
        <v>113.03</v>
      </c>
      <c r="L210" s="112">
        <v>50.103962101636519</v>
      </c>
      <c r="M210" s="15"/>
      <c r="N210" s="44"/>
    </row>
    <row r="211" spans="2:14" ht="18.75" customHeight="1" x14ac:dyDescent="0.3">
      <c r="B211" s="10"/>
      <c r="C211" s="182" t="s">
        <v>2485</v>
      </c>
      <c r="D211" s="113" t="s">
        <v>874</v>
      </c>
      <c r="E211" s="107" t="s">
        <v>875</v>
      </c>
      <c r="F211" s="115" t="s">
        <v>876</v>
      </c>
      <c r="G211" s="114" t="s">
        <v>876</v>
      </c>
      <c r="H211" s="108" t="s">
        <v>2189</v>
      </c>
      <c r="I211" s="107" t="s">
        <v>226</v>
      </c>
      <c r="J211" s="110">
        <v>0.58050000000000002</v>
      </c>
      <c r="K211" s="111">
        <v>61.410000000000004</v>
      </c>
      <c r="L211" s="112">
        <v>50.103962101636519</v>
      </c>
      <c r="M211" s="15"/>
      <c r="N211" s="44"/>
    </row>
    <row r="212" spans="2:14" ht="18.75" customHeight="1" x14ac:dyDescent="0.3">
      <c r="B212" s="10"/>
      <c r="C212" s="182" t="s">
        <v>2485</v>
      </c>
      <c r="D212" s="118" t="s">
        <v>1923</v>
      </c>
      <c r="E212" s="107" t="s">
        <v>1917</v>
      </c>
      <c r="F212" s="107" t="s">
        <v>1918</v>
      </c>
      <c r="G212" s="120" t="s">
        <v>1924</v>
      </c>
      <c r="H212" s="108" t="s">
        <v>2042</v>
      </c>
      <c r="I212" s="107" t="s">
        <v>226</v>
      </c>
      <c r="J212" s="110">
        <v>0.58050000000000002</v>
      </c>
      <c r="K212" s="111">
        <v>26.254999999999999</v>
      </c>
      <c r="L212" s="112">
        <v>50.103962101636519</v>
      </c>
      <c r="M212" s="15"/>
      <c r="N212" s="44"/>
    </row>
    <row r="213" spans="2:14" ht="18.75" customHeight="1" x14ac:dyDescent="0.3">
      <c r="B213" s="10"/>
      <c r="C213" s="182" t="s">
        <v>2485</v>
      </c>
      <c r="D213" s="118" t="s">
        <v>1878</v>
      </c>
      <c r="E213" s="117" t="s">
        <v>124</v>
      </c>
      <c r="F213" s="119" t="s">
        <v>1879</v>
      </c>
      <c r="G213" s="119" t="s">
        <v>1880</v>
      </c>
      <c r="H213" s="108" t="s">
        <v>2055</v>
      </c>
      <c r="I213" s="107" t="s">
        <v>3</v>
      </c>
      <c r="J213" s="110">
        <v>0.42499999999999999</v>
      </c>
      <c r="K213" s="111">
        <v>47.97</v>
      </c>
      <c r="L213" s="112">
        <v>50.288705882352943</v>
      </c>
      <c r="M213" s="15"/>
      <c r="N213" s="44"/>
    </row>
    <row r="214" spans="2:14" ht="18.75" customHeight="1" x14ac:dyDescent="0.3">
      <c r="B214" s="10"/>
      <c r="C214" s="182" t="s">
        <v>2485</v>
      </c>
      <c r="D214" s="118" t="s">
        <v>1881</v>
      </c>
      <c r="E214" s="107" t="s">
        <v>124</v>
      </c>
      <c r="F214" s="107" t="s">
        <v>1879</v>
      </c>
      <c r="G214" s="120" t="s">
        <v>1882</v>
      </c>
      <c r="H214" s="108" t="s">
        <v>2055</v>
      </c>
      <c r="I214" s="107" t="s">
        <v>3</v>
      </c>
      <c r="J214" s="110">
        <v>0.42499999999999999</v>
      </c>
      <c r="K214" s="111">
        <v>47.97</v>
      </c>
      <c r="L214" s="112">
        <v>50.288705882352943</v>
      </c>
      <c r="M214" s="15"/>
      <c r="N214" s="44"/>
    </row>
    <row r="215" spans="2:14" ht="18.75" customHeight="1" x14ac:dyDescent="0.3">
      <c r="B215" s="10"/>
      <c r="C215" s="182" t="s">
        <v>2485</v>
      </c>
      <c r="D215" s="118" t="s">
        <v>811</v>
      </c>
      <c r="E215" s="120" t="s">
        <v>812</v>
      </c>
      <c r="F215" s="107" t="s">
        <v>813</v>
      </c>
      <c r="G215" s="107" t="s">
        <v>638</v>
      </c>
      <c r="H215" s="108" t="s">
        <v>2184</v>
      </c>
      <c r="I215" s="107" t="s">
        <v>226</v>
      </c>
      <c r="J215" s="110">
        <v>0.57599999999999996</v>
      </c>
      <c r="K215" s="111">
        <v>371.21900000000005</v>
      </c>
      <c r="L215" s="112">
        <v>50.483680555555559</v>
      </c>
      <c r="M215" s="15"/>
      <c r="N215" s="44"/>
    </row>
    <row r="216" spans="2:14" ht="18.75" customHeight="1" x14ac:dyDescent="0.3">
      <c r="B216" s="10"/>
      <c r="C216" s="182" t="s">
        <v>2485</v>
      </c>
      <c r="D216" s="118" t="s">
        <v>815</v>
      </c>
      <c r="E216" s="107" t="s">
        <v>812</v>
      </c>
      <c r="F216" s="107" t="s">
        <v>813</v>
      </c>
      <c r="G216" s="107" t="s">
        <v>816</v>
      </c>
      <c r="H216" s="108" t="s">
        <v>2184</v>
      </c>
      <c r="I216" s="107" t="s">
        <v>226</v>
      </c>
      <c r="J216" s="110">
        <v>0.57599999999999996</v>
      </c>
      <c r="K216" s="111">
        <v>374.601</v>
      </c>
      <c r="L216" s="112">
        <v>50.483680555555559</v>
      </c>
      <c r="M216" s="15"/>
      <c r="N216" s="44"/>
    </row>
    <row r="217" spans="2:14" ht="18.75" customHeight="1" x14ac:dyDescent="0.3">
      <c r="B217" s="10"/>
      <c r="C217" s="182" t="s">
        <v>2485</v>
      </c>
      <c r="D217" s="106" t="s">
        <v>1015</v>
      </c>
      <c r="E217" s="107" t="s">
        <v>1013</v>
      </c>
      <c r="F217" s="120" t="s">
        <v>1016</v>
      </c>
      <c r="G217" s="107" t="s">
        <v>226</v>
      </c>
      <c r="H217" s="108" t="s">
        <v>2200</v>
      </c>
      <c r="I217" s="107" t="s">
        <v>226</v>
      </c>
      <c r="J217" s="110">
        <v>0.57599999999999996</v>
      </c>
      <c r="K217" s="111">
        <v>367.57</v>
      </c>
      <c r="L217" s="112">
        <v>50.483680555555559</v>
      </c>
      <c r="M217" s="15"/>
      <c r="N217" s="44"/>
    </row>
    <row r="218" spans="2:14" ht="18.75" customHeight="1" x14ac:dyDescent="0.3">
      <c r="B218" s="10"/>
      <c r="C218" s="182" t="s">
        <v>2485</v>
      </c>
      <c r="D218" s="118" t="s">
        <v>869</v>
      </c>
      <c r="E218" s="120" t="s">
        <v>870</v>
      </c>
      <c r="F218" s="107" t="s">
        <v>871</v>
      </c>
      <c r="G218" s="107" t="s">
        <v>873</v>
      </c>
      <c r="H218" s="108" t="s">
        <v>2188</v>
      </c>
      <c r="I218" s="107" t="s">
        <v>226</v>
      </c>
      <c r="J218" s="110">
        <v>0.57150000000000001</v>
      </c>
      <c r="K218" s="111">
        <v>371.13</v>
      </c>
      <c r="L218" s="112">
        <v>50.869378827646543</v>
      </c>
      <c r="M218" s="15"/>
      <c r="N218" s="44"/>
    </row>
    <row r="219" spans="2:14" ht="18.75" customHeight="1" x14ac:dyDescent="0.3">
      <c r="B219" s="10"/>
      <c r="C219" s="182" t="s">
        <v>2485</v>
      </c>
      <c r="D219" s="118" t="s">
        <v>909</v>
      </c>
      <c r="E219" s="107" t="s">
        <v>561</v>
      </c>
      <c r="F219" s="107" t="s">
        <v>910</v>
      </c>
      <c r="G219" s="120"/>
      <c r="H219" s="108" t="s">
        <v>2190</v>
      </c>
      <c r="I219" s="107" t="s">
        <v>226</v>
      </c>
      <c r="J219" s="110">
        <v>0.56699999999999995</v>
      </c>
      <c r="K219" s="111">
        <v>712</v>
      </c>
      <c r="L219" s="112">
        <v>51.261199294532631</v>
      </c>
      <c r="M219" s="15"/>
      <c r="N219" s="44"/>
    </row>
    <row r="220" spans="2:14" ht="18.75" customHeight="1" x14ac:dyDescent="0.3">
      <c r="B220" s="10"/>
      <c r="C220" s="182" t="s">
        <v>2485</v>
      </c>
      <c r="D220" s="106" t="s">
        <v>944</v>
      </c>
      <c r="E220" s="107" t="s">
        <v>941</v>
      </c>
      <c r="F220" s="119" t="s">
        <v>942</v>
      </c>
      <c r="G220" s="124">
        <v>20</v>
      </c>
      <c r="H220" s="108" t="s">
        <v>2021</v>
      </c>
      <c r="I220" s="107" t="s">
        <v>3</v>
      </c>
      <c r="J220" s="110">
        <v>0.41499999999999998</v>
      </c>
      <c r="K220" s="111">
        <v>10.452</v>
      </c>
      <c r="L220" s="112">
        <v>51.46915662650602</v>
      </c>
      <c r="M220" s="15"/>
      <c r="N220" s="44"/>
    </row>
    <row r="221" spans="2:14" ht="18.75" customHeight="1" x14ac:dyDescent="0.3">
      <c r="B221" s="10"/>
      <c r="C221" s="182" t="s">
        <v>2485</v>
      </c>
      <c r="D221" s="106" t="s">
        <v>224</v>
      </c>
      <c r="E221" s="107" t="s">
        <v>222</v>
      </c>
      <c r="F221" s="120" t="s">
        <v>225</v>
      </c>
      <c r="G221" s="124" t="s">
        <v>226</v>
      </c>
      <c r="H221" s="108" t="s">
        <v>2129</v>
      </c>
      <c r="I221" s="107" t="s">
        <v>226</v>
      </c>
      <c r="J221" s="110">
        <v>0.5625</v>
      </c>
      <c r="K221" s="111">
        <v>33.330500000000001</v>
      </c>
      <c r="L221" s="112">
        <v>51.659288888888888</v>
      </c>
      <c r="M221" s="15"/>
      <c r="N221" s="44"/>
    </row>
    <row r="222" spans="2:14" ht="18.75" customHeight="1" x14ac:dyDescent="0.3">
      <c r="B222" s="10"/>
      <c r="C222" s="182" t="s">
        <v>2485</v>
      </c>
      <c r="D222" s="106" t="s">
        <v>455</v>
      </c>
      <c r="E222" s="107" t="s">
        <v>452</v>
      </c>
      <c r="F222" s="107" t="s">
        <v>456</v>
      </c>
      <c r="G222" s="107" t="s">
        <v>456</v>
      </c>
      <c r="H222" s="108" t="s">
        <v>2153</v>
      </c>
      <c r="I222" s="107" t="s">
        <v>226</v>
      </c>
      <c r="J222" s="110">
        <v>0.5625</v>
      </c>
      <c r="K222" s="111">
        <v>208.26</v>
      </c>
      <c r="L222" s="112">
        <v>51.659288888888888</v>
      </c>
      <c r="M222" s="15"/>
      <c r="N222" s="44"/>
    </row>
    <row r="223" spans="2:14" ht="18.75" customHeight="1" x14ac:dyDescent="0.3">
      <c r="B223" s="10"/>
      <c r="C223" s="182" t="s">
        <v>2485</v>
      </c>
      <c r="D223" s="118" t="s">
        <v>585</v>
      </c>
      <c r="E223" s="107" t="s">
        <v>586</v>
      </c>
      <c r="F223" s="107" t="s">
        <v>587</v>
      </c>
      <c r="G223" s="107" t="s">
        <v>590</v>
      </c>
      <c r="H223" s="108" t="s">
        <v>2167</v>
      </c>
      <c r="I223" s="107" t="s">
        <v>226</v>
      </c>
      <c r="J223" s="110">
        <v>0.5625</v>
      </c>
      <c r="K223" s="111">
        <v>19.224</v>
      </c>
      <c r="L223" s="112">
        <v>51.659288888888888</v>
      </c>
      <c r="M223" s="15"/>
      <c r="N223" s="44"/>
    </row>
    <row r="224" spans="2:14" ht="18.75" customHeight="1" x14ac:dyDescent="0.3">
      <c r="B224" s="10"/>
      <c r="C224" s="182" t="s">
        <v>2485</v>
      </c>
      <c r="D224" s="118" t="s">
        <v>1199</v>
      </c>
      <c r="E224" s="107" t="s">
        <v>1186</v>
      </c>
      <c r="F224" s="107" t="s">
        <v>1200</v>
      </c>
      <c r="G224" s="120" t="s">
        <v>1202</v>
      </c>
      <c r="H224" s="108" t="s">
        <v>2216</v>
      </c>
      <c r="I224" s="107" t="s">
        <v>226</v>
      </c>
      <c r="J224" s="110">
        <v>0.5625</v>
      </c>
      <c r="K224" s="111">
        <v>442.77500000000003</v>
      </c>
      <c r="L224" s="112">
        <v>51.659288888888888</v>
      </c>
      <c r="M224" s="15"/>
      <c r="N224" s="44"/>
    </row>
    <row r="225" spans="2:14" ht="18.75" customHeight="1" x14ac:dyDescent="0.3">
      <c r="B225" s="10"/>
      <c r="C225" s="182" t="s">
        <v>2485</v>
      </c>
      <c r="D225" s="106" t="s">
        <v>1334</v>
      </c>
      <c r="E225" s="107" t="s">
        <v>1335</v>
      </c>
      <c r="F225" s="120" t="s">
        <v>1336</v>
      </c>
      <c r="G225" s="107" t="s">
        <v>226</v>
      </c>
      <c r="H225" s="108" t="s">
        <v>2229</v>
      </c>
      <c r="I225" s="107" t="s">
        <v>226</v>
      </c>
      <c r="J225" s="110">
        <v>0.5625</v>
      </c>
      <c r="K225" s="111">
        <v>92.684600000000003</v>
      </c>
      <c r="L225" s="112">
        <v>51.659288888888888</v>
      </c>
      <c r="M225" s="15"/>
      <c r="N225" s="44"/>
    </row>
    <row r="226" spans="2:14" ht="18.75" customHeight="1" x14ac:dyDescent="0.3">
      <c r="B226" s="10"/>
      <c r="C226" s="182" t="s">
        <v>2485</v>
      </c>
      <c r="D226" s="106" t="s">
        <v>1376</v>
      </c>
      <c r="E226" s="107" t="s">
        <v>1370</v>
      </c>
      <c r="F226" s="107" t="s">
        <v>1371</v>
      </c>
      <c r="G226" s="120" t="s">
        <v>1377</v>
      </c>
      <c r="H226" s="108" t="s">
        <v>2233</v>
      </c>
      <c r="I226" s="107" t="s">
        <v>226</v>
      </c>
      <c r="J226" s="110">
        <v>0.5625</v>
      </c>
      <c r="K226" s="111">
        <v>66.75</v>
      </c>
      <c r="L226" s="112">
        <v>51.659288888888888</v>
      </c>
      <c r="M226" s="15"/>
      <c r="N226" s="44"/>
    </row>
    <row r="227" spans="2:14" ht="18.75" customHeight="1" x14ac:dyDescent="0.3">
      <c r="B227" s="10"/>
      <c r="C227" s="182" t="s">
        <v>2485</v>
      </c>
      <c r="D227" s="118" t="s">
        <v>1378</v>
      </c>
      <c r="E227" s="107" t="s">
        <v>1370</v>
      </c>
      <c r="F227" s="110" t="s">
        <v>1371</v>
      </c>
      <c r="G227" s="129" t="s">
        <v>592</v>
      </c>
      <c r="H227" s="108" t="s">
        <v>2233</v>
      </c>
      <c r="I227" s="107" t="s">
        <v>226</v>
      </c>
      <c r="J227" s="110">
        <v>0.5625</v>
      </c>
      <c r="K227" s="111">
        <v>66.75</v>
      </c>
      <c r="L227" s="112">
        <v>51.659288888888888</v>
      </c>
      <c r="M227" s="15"/>
      <c r="N227" s="44"/>
    </row>
    <row r="228" spans="2:14" ht="18.75" customHeight="1" x14ac:dyDescent="0.3">
      <c r="B228" s="10"/>
      <c r="C228" s="182" t="s">
        <v>2485</v>
      </c>
      <c r="D228" s="118" t="s">
        <v>1583</v>
      </c>
      <c r="E228" s="107" t="s">
        <v>1584</v>
      </c>
      <c r="F228" s="107" t="s">
        <v>1585</v>
      </c>
      <c r="G228" s="120" t="s">
        <v>84</v>
      </c>
      <c r="H228" s="108" t="s">
        <v>2253</v>
      </c>
      <c r="I228" s="107" t="s">
        <v>226</v>
      </c>
      <c r="J228" s="110">
        <v>0.5625</v>
      </c>
      <c r="K228" s="111">
        <v>66.75</v>
      </c>
      <c r="L228" s="112">
        <v>51.659288888888888</v>
      </c>
      <c r="M228" s="15"/>
      <c r="N228" s="44"/>
    </row>
    <row r="229" spans="2:14" ht="18.75" customHeight="1" x14ac:dyDescent="0.3">
      <c r="B229" s="10"/>
      <c r="C229" s="182" t="s">
        <v>2485</v>
      </c>
      <c r="D229" s="106" t="s">
        <v>1925</v>
      </c>
      <c r="E229" s="107" t="s">
        <v>1917</v>
      </c>
      <c r="F229" s="107" t="s">
        <v>1918</v>
      </c>
      <c r="G229" s="120" t="s">
        <v>1926</v>
      </c>
      <c r="H229" s="108" t="s">
        <v>1983</v>
      </c>
      <c r="I229" s="107" t="s">
        <v>226</v>
      </c>
      <c r="J229" s="110">
        <v>0.5625</v>
      </c>
      <c r="K229" s="111">
        <v>39.605000000000004</v>
      </c>
      <c r="L229" s="112">
        <v>51.659288888888888</v>
      </c>
      <c r="M229" s="15"/>
      <c r="N229" s="44"/>
    </row>
    <row r="230" spans="2:14" ht="18.75" customHeight="1" x14ac:dyDescent="0.3">
      <c r="B230" s="10"/>
      <c r="C230" s="182" t="s">
        <v>2485</v>
      </c>
      <c r="D230" s="118" t="s">
        <v>1017</v>
      </c>
      <c r="E230" s="107" t="s">
        <v>1013</v>
      </c>
      <c r="F230" s="107" t="s">
        <v>1014</v>
      </c>
      <c r="G230" s="120" t="s">
        <v>226</v>
      </c>
      <c r="H230" s="108" t="s">
        <v>2201</v>
      </c>
      <c r="I230" s="107" t="s">
        <v>226</v>
      </c>
      <c r="J230" s="110">
        <v>0.55800000000000005</v>
      </c>
      <c r="K230" s="111">
        <v>96.12</v>
      </c>
      <c r="L230" s="112">
        <v>52.063799283154118</v>
      </c>
      <c r="M230" s="15"/>
      <c r="N230" s="44"/>
    </row>
    <row r="231" spans="2:14" ht="18.75" customHeight="1" x14ac:dyDescent="0.3">
      <c r="B231" s="10"/>
      <c r="C231" s="182" t="s">
        <v>2485</v>
      </c>
      <c r="D231" s="106" t="s">
        <v>1320</v>
      </c>
      <c r="E231" s="107" t="s">
        <v>1313</v>
      </c>
      <c r="F231" s="107" t="s">
        <v>1321</v>
      </c>
      <c r="G231" s="107">
        <v>2</v>
      </c>
      <c r="H231" s="108" t="s">
        <v>2226</v>
      </c>
      <c r="I231" s="107" t="s">
        <v>226</v>
      </c>
      <c r="J231" s="110">
        <v>0.55800000000000005</v>
      </c>
      <c r="K231" s="111">
        <v>111.161</v>
      </c>
      <c r="L231" s="112">
        <v>52.063799283154118</v>
      </c>
      <c r="M231" s="15"/>
      <c r="N231" s="44"/>
    </row>
    <row r="232" spans="2:14" ht="18.75" customHeight="1" x14ac:dyDescent="0.3">
      <c r="B232" s="10"/>
      <c r="C232" s="182" t="s">
        <v>2485</v>
      </c>
      <c r="D232" s="118" t="s">
        <v>1322</v>
      </c>
      <c r="E232" s="107" t="s">
        <v>1313</v>
      </c>
      <c r="F232" s="110" t="s">
        <v>1323</v>
      </c>
      <c r="G232" s="129">
        <v>2</v>
      </c>
      <c r="H232" s="108" t="s">
        <v>2226</v>
      </c>
      <c r="I232" s="107" t="s">
        <v>226</v>
      </c>
      <c r="J232" s="110">
        <v>0.55800000000000005</v>
      </c>
      <c r="K232" s="111">
        <v>110.271</v>
      </c>
      <c r="L232" s="112">
        <v>52.063799283154118</v>
      </c>
      <c r="M232" s="15"/>
      <c r="N232" s="44"/>
    </row>
    <row r="233" spans="2:14" ht="18.75" customHeight="1" x14ac:dyDescent="0.3">
      <c r="B233" s="10"/>
      <c r="C233" s="182" t="s">
        <v>2485</v>
      </c>
      <c r="D233" s="118" t="s">
        <v>1324</v>
      </c>
      <c r="E233" s="120" t="s">
        <v>1313</v>
      </c>
      <c r="F233" s="107" t="s">
        <v>1325</v>
      </c>
      <c r="G233" s="107">
        <v>2</v>
      </c>
      <c r="H233" s="108" t="s">
        <v>2226</v>
      </c>
      <c r="I233" s="107" t="s">
        <v>226</v>
      </c>
      <c r="J233" s="110">
        <v>0.55800000000000005</v>
      </c>
      <c r="K233" s="111">
        <v>113.56399999999999</v>
      </c>
      <c r="L233" s="112">
        <v>52.063799283154118</v>
      </c>
      <c r="M233" s="15"/>
      <c r="N233" s="44"/>
    </row>
    <row r="234" spans="2:14" ht="18.75" customHeight="1" x14ac:dyDescent="0.3">
      <c r="B234" s="10"/>
      <c r="C234" s="182" t="s">
        <v>2485</v>
      </c>
      <c r="D234" s="118" t="s">
        <v>1566</v>
      </c>
      <c r="E234" s="107" t="s">
        <v>40</v>
      </c>
      <c r="F234" s="107" t="s">
        <v>1567</v>
      </c>
      <c r="G234" s="107" t="s">
        <v>1561</v>
      </c>
      <c r="H234" s="108" t="s">
        <v>2039</v>
      </c>
      <c r="I234" s="107" t="s">
        <v>3</v>
      </c>
      <c r="J234" s="110">
        <v>0.41</v>
      </c>
      <c r="K234" s="111">
        <v>400.92</v>
      </c>
      <c r="L234" s="112">
        <v>52.080975609756095</v>
      </c>
      <c r="M234" s="15"/>
      <c r="N234" s="44"/>
    </row>
    <row r="235" spans="2:14" ht="18.75" customHeight="1" x14ac:dyDescent="0.3">
      <c r="B235" s="10"/>
      <c r="C235" s="182" t="s">
        <v>2485</v>
      </c>
      <c r="D235" s="118" t="s">
        <v>1273</v>
      </c>
      <c r="E235" s="107" t="s">
        <v>1260</v>
      </c>
      <c r="F235" s="107" t="s">
        <v>1274</v>
      </c>
      <c r="G235" s="107" t="s">
        <v>1275</v>
      </c>
      <c r="H235" s="108" t="s">
        <v>2034</v>
      </c>
      <c r="I235" s="107" t="s">
        <v>3</v>
      </c>
      <c r="J235" s="110">
        <v>0.40949999999999998</v>
      </c>
      <c r="K235" s="111">
        <v>43.336800000000004</v>
      </c>
      <c r="L235" s="112">
        <v>52.142979242979244</v>
      </c>
      <c r="M235" s="15"/>
      <c r="N235" s="44"/>
    </row>
    <row r="236" spans="2:14" ht="18.75" customHeight="1" x14ac:dyDescent="0.3">
      <c r="B236" s="10"/>
      <c r="C236" s="182" t="s">
        <v>2485</v>
      </c>
      <c r="D236" s="118" t="s">
        <v>797</v>
      </c>
      <c r="E236" s="107" t="s">
        <v>785</v>
      </c>
      <c r="F236" s="107" t="s">
        <v>788</v>
      </c>
      <c r="G236" s="107" t="s">
        <v>788</v>
      </c>
      <c r="H236" s="108" t="s">
        <v>2011</v>
      </c>
      <c r="I236" s="107" t="s">
        <v>3</v>
      </c>
      <c r="J236" s="110">
        <v>0.40749999999999997</v>
      </c>
      <c r="K236" s="111">
        <v>151.32</v>
      </c>
      <c r="L236" s="112">
        <v>52.392515337423319</v>
      </c>
      <c r="M236" s="15"/>
      <c r="N236" s="44"/>
    </row>
    <row r="237" spans="2:14" ht="18.75" customHeight="1" x14ac:dyDescent="0.3">
      <c r="B237" s="10"/>
      <c r="C237" s="182" t="s">
        <v>2485</v>
      </c>
      <c r="D237" s="118" t="s">
        <v>1813</v>
      </c>
      <c r="E237" s="107" t="s">
        <v>1814</v>
      </c>
      <c r="F237" s="107" t="s">
        <v>1811</v>
      </c>
      <c r="G237" s="120" t="s">
        <v>1816</v>
      </c>
      <c r="H237" s="108" t="s">
        <v>2050</v>
      </c>
      <c r="I237" s="107" t="s">
        <v>3</v>
      </c>
      <c r="J237" s="110">
        <v>0.40749999999999997</v>
      </c>
      <c r="K237" s="111">
        <v>95.94</v>
      </c>
      <c r="L237" s="112">
        <v>52.392515337423319</v>
      </c>
      <c r="M237" s="15"/>
      <c r="N237" s="44"/>
    </row>
    <row r="238" spans="2:14" ht="18.75" customHeight="1" x14ac:dyDescent="0.3">
      <c r="B238" s="10"/>
      <c r="C238" s="182" t="s">
        <v>2485</v>
      </c>
      <c r="D238" s="118" t="s">
        <v>1817</v>
      </c>
      <c r="E238" s="107" t="s">
        <v>1814</v>
      </c>
      <c r="F238" s="107" t="s">
        <v>1811</v>
      </c>
      <c r="G238" s="120" t="s">
        <v>1818</v>
      </c>
      <c r="H238" s="108" t="s">
        <v>2051</v>
      </c>
      <c r="I238" s="107" t="s">
        <v>3</v>
      </c>
      <c r="J238" s="110">
        <v>0.40749999999999997</v>
      </c>
      <c r="K238" s="111">
        <v>106.86</v>
      </c>
      <c r="L238" s="112">
        <v>52.392515337423319</v>
      </c>
      <c r="M238" s="15"/>
      <c r="N238" s="44"/>
    </row>
    <row r="239" spans="2:14" ht="18.75" customHeight="1" x14ac:dyDescent="0.3">
      <c r="B239" s="10"/>
      <c r="C239" s="182" t="s">
        <v>2485</v>
      </c>
      <c r="D239" s="118" t="s">
        <v>1256</v>
      </c>
      <c r="E239" s="107" t="s">
        <v>1252</v>
      </c>
      <c r="F239" s="107" t="s">
        <v>1253</v>
      </c>
      <c r="G239" s="120" t="s">
        <v>1257</v>
      </c>
      <c r="H239" s="108" t="s">
        <v>2031</v>
      </c>
      <c r="I239" s="107" t="s">
        <v>3</v>
      </c>
      <c r="J239" s="110">
        <v>0.40749999999999997</v>
      </c>
      <c r="K239" s="111">
        <v>339.3</v>
      </c>
      <c r="L239" s="112">
        <v>52.392515337423319</v>
      </c>
      <c r="M239" s="15"/>
      <c r="N239" s="44"/>
    </row>
    <row r="240" spans="2:14" ht="18.75" customHeight="1" x14ac:dyDescent="0.3">
      <c r="B240" s="10"/>
      <c r="C240" s="182" t="s">
        <v>2485</v>
      </c>
      <c r="D240" s="106" t="s">
        <v>917</v>
      </c>
      <c r="E240" s="107" t="s">
        <v>918</v>
      </c>
      <c r="F240" s="107" t="s">
        <v>101</v>
      </c>
      <c r="G240" s="107" t="s">
        <v>389</v>
      </c>
      <c r="H240" s="108" t="s">
        <v>2192</v>
      </c>
      <c r="I240" s="107" t="s">
        <v>226</v>
      </c>
      <c r="J240" s="110">
        <v>0.55349999999999999</v>
      </c>
      <c r="K240" s="111">
        <v>76.540000000000006</v>
      </c>
      <c r="L240" s="112">
        <v>52.474887082204162</v>
      </c>
      <c r="M240" s="15"/>
      <c r="N240" s="44"/>
    </row>
    <row r="241" spans="2:14" ht="18.75" customHeight="1" x14ac:dyDescent="0.3">
      <c r="B241" s="10"/>
      <c r="C241" s="182" t="s">
        <v>2485</v>
      </c>
      <c r="D241" s="106" t="s">
        <v>1259</v>
      </c>
      <c r="E241" s="107" t="s">
        <v>1260</v>
      </c>
      <c r="F241" s="107" t="s">
        <v>1261</v>
      </c>
      <c r="G241" s="120" t="s">
        <v>1264</v>
      </c>
      <c r="H241" s="108" t="s">
        <v>2220</v>
      </c>
      <c r="I241" s="107" t="s">
        <v>226</v>
      </c>
      <c r="J241" s="110">
        <v>0.55349999999999999</v>
      </c>
      <c r="K241" s="111">
        <v>54.405700000000003</v>
      </c>
      <c r="L241" s="112">
        <v>52.474887082204162</v>
      </c>
      <c r="M241" s="15"/>
      <c r="N241" s="44"/>
    </row>
    <row r="242" spans="2:14" ht="18.75" customHeight="1" x14ac:dyDescent="0.3">
      <c r="B242" s="10"/>
      <c r="C242" s="182" t="s">
        <v>2485</v>
      </c>
      <c r="D242" s="118" t="s">
        <v>1265</v>
      </c>
      <c r="E242" s="107" t="s">
        <v>1260</v>
      </c>
      <c r="F242" s="107" t="s">
        <v>1261</v>
      </c>
      <c r="G242" s="120" t="s">
        <v>1266</v>
      </c>
      <c r="H242" s="108" t="s">
        <v>1788</v>
      </c>
      <c r="I242" s="107" t="s">
        <v>226</v>
      </c>
      <c r="J242" s="110">
        <v>0.55349999999999999</v>
      </c>
      <c r="K242" s="111">
        <v>69.037300000000002</v>
      </c>
      <c r="L242" s="112">
        <v>52.474887082204162</v>
      </c>
      <c r="M242" s="15"/>
      <c r="N242" s="44"/>
    </row>
    <row r="243" spans="2:14" ht="18.75" customHeight="1" x14ac:dyDescent="0.3">
      <c r="B243" s="10"/>
      <c r="C243" s="182" t="s">
        <v>2485</v>
      </c>
      <c r="D243" s="118" t="s">
        <v>1207</v>
      </c>
      <c r="E243" s="107" t="s">
        <v>641</v>
      </c>
      <c r="F243" s="107" t="s">
        <v>1208</v>
      </c>
      <c r="G243" s="107" t="s">
        <v>226</v>
      </c>
      <c r="H243" s="108" t="s">
        <v>2218</v>
      </c>
      <c r="I243" s="107" t="s">
        <v>226</v>
      </c>
      <c r="J243" s="110">
        <v>0.55349999999999999</v>
      </c>
      <c r="K243" s="111">
        <v>10.644400000000001</v>
      </c>
      <c r="L243" s="112">
        <v>52.474887082204162</v>
      </c>
      <c r="M243" s="15"/>
      <c r="N243" s="44"/>
    </row>
    <row r="244" spans="2:14" ht="18.75" customHeight="1" x14ac:dyDescent="0.3">
      <c r="B244" s="10"/>
      <c r="C244" s="182" t="s">
        <v>2485</v>
      </c>
      <c r="D244" s="118" t="s">
        <v>749</v>
      </c>
      <c r="E244" s="117" t="s">
        <v>278</v>
      </c>
      <c r="F244" s="119" t="s">
        <v>746</v>
      </c>
      <c r="G244" s="124">
        <v>5</v>
      </c>
      <c r="H244" s="108" t="s">
        <v>2009</v>
      </c>
      <c r="I244" s="107" t="s">
        <v>3</v>
      </c>
      <c r="J244" s="110">
        <v>0.40500000000000003</v>
      </c>
      <c r="K244" s="111">
        <v>397.8</v>
      </c>
      <c r="L244" s="112">
        <v>52.707901234567899</v>
      </c>
      <c r="M244" s="15"/>
      <c r="N244" s="44"/>
    </row>
    <row r="245" spans="2:14" ht="18.75" customHeight="1" x14ac:dyDescent="0.3">
      <c r="B245" s="10"/>
      <c r="C245" s="182" t="s">
        <v>2485</v>
      </c>
      <c r="D245" s="118" t="s">
        <v>995</v>
      </c>
      <c r="E245" s="107" t="s">
        <v>996</v>
      </c>
      <c r="F245" s="107" t="s">
        <v>997</v>
      </c>
      <c r="G245" s="120"/>
      <c r="H245" s="108" t="s">
        <v>2024</v>
      </c>
      <c r="I245" s="107" t="s">
        <v>3</v>
      </c>
      <c r="J245" s="110">
        <v>0.40500000000000003</v>
      </c>
      <c r="K245" s="111">
        <v>251.94</v>
      </c>
      <c r="L245" s="112">
        <v>52.707901234567899</v>
      </c>
      <c r="M245" s="15"/>
      <c r="N245" s="44"/>
    </row>
    <row r="246" spans="2:14" ht="18.75" customHeight="1" x14ac:dyDescent="0.3">
      <c r="B246" s="10"/>
      <c r="C246" s="182" t="s">
        <v>2485</v>
      </c>
      <c r="D246" s="118" t="s">
        <v>1767</v>
      </c>
      <c r="E246" s="107" t="s">
        <v>1764</v>
      </c>
      <c r="F246" s="107" t="s">
        <v>1768</v>
      </c>
      <c r="G246" s="107"/>
      <c r="H246" s="108" t="s">
        <v>2045</v>
      </c>
      <c r="I246" s="107" t="s">
        <v>3</v>
      </c>
      <c r="J246" s="110">
        <v>0.40500000000000003</v>
      </c>
      <c r="K246" s="111">
        <v>16.146000000000001</v>
      </c>
      <c r="L246" s="112">
        <v>52.707901234567899</v>
      </c>
      <c r="M246" s="15"/>
      <c r="N246" s="44"/>
    </row>
    <row r="247" spans="2:14" ht="18.75" customHeight="1" x14ac:dyDescent="0.3">
      <c r="B247" s="10"/>
      <c r="C247" s="182" t="s">
        <v>2485</v>
      </c>
      <c r="D247" s="106" t="s">
        <v>303</v>
      </c>
      <c r="E247" s="107" t="s">
        <v>304</v>
      </c>
      <c r="F247" s="107" t="s">
        <v>305</v>
      </c>
      <c r="G247" s="107" t="s">
        <v>307</v>
      </c>
      <c r="H247" s="108" t="s">
        <v>308</v>
      </c>
      <c r="I247" s="107" t="s">
        <v>226</v>
      </c>
      <c r="J247" s="110">
        <v>0.54900000000000004</v>
      </c>
      <c r="K247" s="111">
        <v>13.172000000000001</v>
      </c>
      <c r="L247" s="112">
        <v>52.892714025500908</v>
      </c>
      <c r="M247" s="15"/>
      <c r="N247" s="44"/>
    </row>
    <row r="248" spans="2:14" ht="18.75" customHeight="1" x14ac:dyDescent="0.3">
      <c r="B248" s="10"/>
      <c r="C248" s="182" t="s">
        <v>2485</v>
      </c>
      <c r="D248" s="118" t="s">
        <v>1777</v>
      </c>
      <c r="E248" s="107" t="s">
        <v>1313</v>
      </c>
      <c r="F248" s="107" t="s">
        <v>1778</v>
      </c>
      <c r="G248" s="120">
        <v>2</v>
      </c>
      <c r="H248" s="108" t="s">
        <v>2046</v>
      </c>
      <c r="I248" s="110" t="s">
        <v>3</v>
      </c>
      <c r="J248" s="110">
        <v>0.40250000000000002</v>
      </c>
      <c r="K248" s="111">
        <v>259.50599999999997</v>
      </c>
      <c r="L248" s="112">
        <v>53.027204968944091</v>
      </c>
      <c r="M248" s="15"/>
      <c r="N248" s="44"/>
    </row>
    <row r="249" spans="2:14" ht="18.75" customHeight="1" x14ac:dyDescent="0.3">
      <c r="B249" s="10"/>
      <c r="C249" s="182" t="s">
        <v>2485</v>
      </c>
      <c r="D249" s="106" t="s">
        <v>144</v>
      </c>
      <c r="E249" s="107" t="s">
        <v>128</v>
      </c>
      <c r="F249" s="107" t="s">
        <v>145</v>
      </c>
      <c r="G249" s="120" t="s">
        <v>145</v>
      </c>
      <c r="H249" s="108" t="s">
        <v>2073</v>
      </c>
      <c r="I249" s="107" t="s">
        <v>2</v>
      </c>
      <c r="J249" s="110">
        <v>0.25359999999999999</v>
      </c>
      <c r="K249" s="111">
        <v>13.05</v>
      </c>
      <c r="L249" s="112">
        <v>53.113249211356475</v>
      </c>
      <c r="M249" s="15"/>
      <c r="N249" s="44"/>
    </row>
    <row r="250" spans="2:14" ht="18.75" customHeight="1" x14ac:dyDescent="0.3">
      <c r="B250" s="10"/>
      <c r="C250" s="182" t="s">
        <v>2485</v>
      </c>
      <c r="D250" s="106" t="s">
        <v>355</v>
      </c>
      <c r="E250" s="107" t="s">
        <v>356</v>
      </c>
      <c r="F250" s="107" t="s">
        <v>357</v>
      </c>
      <c r="G250" s="107"/>
      <c r="H250" s="108" t="s">
        <v>2141</v>
      </c>
      <c r="I250" s="107" t="s">
        <v>226</v>
      </c>
      <c r="J250" s="110">
        <v>0.54449999999999998</v>
      </c>
      <c r="K250" s="111">
        <v>106.8</v>
      </c>
      <c r="L250" s="112">
        <v>53.317447199265381</v>
      </c>
      <c r="M250" s="15"/>
      <c r="N250" s="44"/>
    </row>
    <row r="251" spans="2:14" ht="18.75" customHeight="1" x14ac:dyDescent="0.3">
      <c r="B251" s="10"/>
      <c r="C251" s="182" t="s">
        <v>2485</v>
      </c>
      <c r="D251" s="106" t="s">
        <v>1019</v>
      </c>
      <c r="E251" s="107" t="s">
        <v>1013</v>
      </c>
      <c r="F251" s="107" t="s">
        <v>1020</v>
      </c>
      <c r="G251" s="107" t="s">
        <v>226</v>
      </c>
      <c r="H251" s="108" t="s">
        <v>2203</v>
      </c>
      <c r="I251" s="107" t="s">
        <v>226</v>
      </c>
      <c r="J251" s="110">
        <v>0.54449999999999998</v>
      </c>
      <c r="K251" s="111">
        <v>14.062000000000001</v>
      </c>
      <c r="L251" s="112">
        <v>53.317447199265381</v>
      </c>
      <c r="M251" s="15"/>
      <c r="N251" s="44"/>
    </row>
    <row r="252" spans="2:14" ht="18.75" customHeight="1" x14ac:dyDescent="0.3">
      <c r="B252" s="10"/>
      <c r="C252" s="182" t="s">
        <v>2485</v>
      </c>
      <c r="D252" s="106" t="s">
        <v>199</v>
      </c>
      <c r="E252" s="107" t="s">
        <v>163</v>
      </c>
      <c r="F252" s="107" t="s">
        <v>194</v>
      </c>
      <c r="G252" s="120" t="s">
        <v>200</v>
      </c>
      <c r="H252" s="108" t="s">
        <v>1993</v>
      </c>
      <c r="I252" s="107" t="s">
        <v>3</v>
      </c>
      <c r="J252" s="110">
        <v>0.4</v>
      </c>
      <c r="K252" s="111">
        <v>69.42</v>
      </c>
      <c r="L252" s="112">
        <v>53.350499999999997</v>
      </c>
      <c r="M252" s="15"/>
      <c r="N252" s="44"/>
    </row>
    <row r="253" spans="2:14" ht="18.75" customHeight="1" x14ac:dyDescent="0.3">
      <c r="B253" s="10"/>
      <c r="C253" s="182" t="s">
        <v>2485</v>
      </c>
      <c r="D253" s="106" t="s">
        <v>1429</v>
      </c>
      <c r="E253" s="107" t="s">
        <v>1426</v>
      </c>
      <c r="F253" s="107" t="s">
        <v>1430</v>
      </c>
      <c r="G253" s="120"/>
      <c r="H253" s="108" t="s">
        <v>2036</v>
      </c>
      <c r="I253" s="107" t="s">
        <v>3</v>
      </c>
      <c r="J253" s="110">
        <v>0.4</v>
      </c>
      <c r="K253" s="111">
        <v>42.120000000000005</v>
      </c>
      <c r="L253" s="112">
        <v>53.350499999999997</v>
      </c>
      <c r="M253" s="15"/>
      <c r="N253" s="44"/>
    </row>
    <row r="254" spans="2:14" ht="18.75" customHeight="1" x14ac:dyDescent="0.3">
      <c r="B254" s="10"/>
      <c r="C254" s="182" t="s">
        <v>2485</v>
      </c>
      <c r="D254" s="106" t="s">
        <v>1480</v>
      </c>
      <c r="E254" s="107" t="s">
        <v>1475</v>
      </c>
      <c r="F254" s="107" t="s">
        <v>1475</v>
      </c>
      <c r="G254" s="107" t="s">
        <v>1481</v>
      </c>
      <c r="H254" s="108" t="s">
        <v>2038</v>
      </c>
      <c r="I254" s="107" t="s">
        <v>3</v>
      </c>
      <c r="J254" s="110">
        <v>0.4</v>
      </c>
      <c r="K254" s="111">
        <v>20.981999999999999</v>
      </c>
      <c r="L254" s="112">
        <v>53.350499999999997</v>
      </c>
      <c r="M254" s="15"/>
      <c r="N254" s="44"/>
    </row>
    <row r="255" spans="2:14" ht="18.75" customHeight="1" x14ac:dyDescent="0.3">
      <c r="B255" s="10"/>
      <c r="C255" s="182" t="s">
        <v>2485</v>
      </c>
      <c r="D255" s="106" t="s">
        <v>661</v>
      </c>
      <c r="E255" s="107" t="s">
        <v>519</v>
      </c>
      <c r="F255" s="107" t="s">
        <v>655</v>
      </c>
      <c r="G255" s="120" t="s">
        <v>473</v>
      </c>
      <c r="H255" s="108" t="s">
        <v>2007</v>
      </c>
      <c r="I255" s="107" t="s">
        <v>3</v>
      </c>
      <c r="J255" s="110">
        <v>0.39750000000000002</v>
      </c>
      <c r="K255" s="111">
        <v>47.97</v>
      </c>
      <c r="L255" s="112">
        <v>53.677861635220125</v>
      </c>
      <c r="M255" s="15"/>
      <c r="N255" s="44"/>
    </row>
    <row r="256" spans="2:14" ht="18.75" customHeight="1" x14ac:dyDescent="0.3">
      <c r="B256" s="10"/>
      <c r="C256" s="182" t="s">
        <v>2485</v>
      </c>
      <c r="D256" s="106" t="s">
        <v>829</v>
      </c>
      <c r="E256" s="120" t="s">
        <v>824</v>
      </c>
      <c r="F256" s="107" t="s">
        <v>830</v>
      </c>
      <c r="G256" s="120" t="s">
        <v>831</v>
      </c>
      <c r="H256" s="108" t="s">
        <v>2014</v>
      </c>
      <c r="I256" s="107" t="s">
        <v>3</v>
      </c>
      <c r="J256" s="110">
        <v>0.39750000000000002</v>
      </c>
      <c r="K256" s="111">
        <v>106.08</v>
      </c>
      <c r="L256" s="112">
        <v>53.677861635220125</v>
      </c>
      <c r="M256" s="15"/>
      <c r="N256" s="44"/>
    </row>
    <row r="257" spans="2:14" ht="18.75" customHeight="1" x14ac:dyDescent="0.3">
      <c r="B257" s="10"/>
      <c r="C257" s="182" t="s">
        <v>2485</v>
      </c>
      <c r="D257" s="118" t="s">
        <v>832</v>
      </c>
      <c r="E257" s="117" t="s">
        <v>824</v>
      </c>
      <c r="F257" s="119" t="s">
        <v>830</v>
      </c>
      <c r="G257" s="119" t="s">
        <v>833</v>
      </c>
      <c r="H257" s="108" t="s">
        <v>2015</v>
      </c>
      <c r="I257" s="107" t="s">
        <v>3</v>
      </c>
      <c r="J257" s="110">
        <v>0.39750000000000002</v>
      </c>
      <c r="K257" s="111">
        <v>106.08</v>
      </c>
      <c r="L257" s="112">
        <v>53.677861635220125</v>
      </c>
      <c r="M257" s="15"/>
      <c r="N257" s="44"/>
    </row>
    <row r="258" spans="2:14" ht="18.75" customHeight="1" x14ac:dyDescent="0.3">
      <c r="B258" s="10"/>
      <c r="C258" s="182" t="s">
        <v>2485</v>
      </c>
      <c r="D258" s="106" t="s">
        <v>1794</v>
      </c>
      <c r="E258" s="117" t="s">
        <v>458</v>
      </c>
      <c r="F258" s="110" t="s">
        <v>101</v>
      </c>
      <c r="G258" s="110" t="s">
        <v>1795</v>
      </c>
      <c r="H258" s="108" t="s">
        <v>2048</v>
      </c>
      <c r="I258" s="107" t="s">
        <v>3</v>
      </c>
      <c r="J258" s="110">
        <v>0.39750000000000002</v>
      </c>
      <c r="K258" s="111">
        <v>164.58</v>
      </c>
      <c r="L258" s="112">
        <v>53.677861635220125</v>
      </c>
      <c r="M258" s="15"/>
      <c r="N258" s="44"/>
    </row>
    <row r="259" spans="2:14" ht="18.75" customHeight="1" x14ac:dyDescent="0.3">
      <c r="B259" s="10"/>
      <c r="C259" s="182" t="s">
        <v>2485</v>
      </c>
      <c r="D259" s="106" t="s">
        <v>228</v>
      </c>
      <c r="E259" s="107" t="s">
        <v>229</v>
      </c>
      <c r="F259" s="107" t="s">
        <v>230</v>
      </c>
      <c r="G259" s="107"/>
      <c r="H259" s="108" t="s">
        <v>2130</v>
      </c>
      <c r="I259" s="107" t="s">
        <v>226</v>
      </c>
      <c r="J259" s="110">
        <v>0.54</v>
      </c>
      <c r="K259" s="111">
        <v>94.34</v>
      </c>
      <c r="L259" s="112">
        <v>53.749259259259254</v>
      </c>
      <c r="M259" s="15"/>
      <c r="N259" s="44"/>
    </row>
    <row r="260" spans="2:14" ht="18.75" customHeight="1" x14ac:dyDescent="0.3">
      <c r="B260" s="10"/>
      <c r="C260" s="182" t="s">
        <v>2485</v>
      </c>
      <c r="D260" s="118" t="s">
        <v>428</v>
      </c>
      <c r="E260" s="117" t="s">
        <v>160</v>
      </c>
      <c r="F260" s="107" t="s">
        <v>429</v>
      </c>
      <c r="G260" s="107" t="s">
        <v>226</v>
      </c>
      <c r="H260" s="108" t="s">
        <v>2149</v>
      </c>
      <c r="I260" s="110" t="s">
        <v>226</v>
      </c>
      <c r="J260" s="110">
        <v>0.54</v>
      </c>
      <c r="K260" s="111">
        <v>521.54</v>
      </c>
      <c r="L260" s="112">
        <v>53.749259259259254</v>
      </c>
      <c r="M260" s="15"/>
      <c r="N260" s="44"/>
    </row>
    <row r="261" spans="2:14" ht="18.75" customHeight="1" x14ac:dyDescent="0.3">
      <c r="B261" s="10"/>
      <c r="C261" s="182" t="s">
        <v>2485</v>
      </c>
      <c r="D261" s="106" t="s">
        <v>499</v>
      </c>
      <c r="E261" s="107" t="s">
        <v>493</v>
      </c>
      <c r="F261" s="107" t="s">
        <v>226</v>
      </c>
      <c r="G261" s="107" t="s">
        <v>501</v>
      </c>
      <c r="H261" s="108" t="s">
        <v>2155</v>
      </c>
      <c r="I261" s="107" t="s">
        <v>226</v>
      </c>
      <c r="J261" s="110">
        <v>0.54</v>
      </c>
      <c r="K261" s="111">
        <v>89</v>
      </c>
      <c r="L261" s="112">
        <v>53.749259259259254</v>
      </c>
      <c r="M261" s="15"/>
      <c r="N261" s="44"/>
    </row>
    <row r="262" spans="2:14" ht="18.75" customHeight="1" x14ac:dyDescent="0.3">
      <c r="B262" s="10"/>
      <c r="C262" s="182" t="s">
        <v>2485</v>
      </c>
      <c r="D262" s="118" t="s">
        <v>777</v>
      </c>
      <c r="E262" s="120" t="s">
        <v>466</v>
      </c>
      <c r="F262" s="107" t="s">
        <v>778</v>
      </c>
      <c r="G262" s="107" t="s">
        <v>779</v>
      </c>
      <c r="H262" s="108" t="s">
        <v>1987</v>
      </c>
      <c r="I262" s="107" t="s">
        <v>226</v>
      </c>
      <c r="J262" s="110">
        <v>0.54</v>
      </c>
      <c r="K262" s="111">
        <v>200.25</v>
      </c>
      <c r="L262" s="112">
        <v>53.749259259259254</v>
      </c>
      <c r="M262" s="15"/>
      <c r="N262" s="44"/>
    </row>
    <row r="263" spans="2:14" ht="18.75" customHeight="1" x14ac:dyDescent="0.3">
      <c r="B263" s="10"/>
      <c r="C263" s="182" t="s">
        <v>2485</v>
      </c>
      <c r="D263" s="118" t="s">
        <v>1236</v>
      </c>
      <c r="E263" s="120" t="s">
        <v>1237</v>
      </c>
      <c r="F263" s="107" t="s">
        <v>1238</v>
      </c>
      <c r="G263" s="120" t="s">
        <v>1239</v>
      </c>
      <c r="H263" s="108" t="s">
        <v>2219</v>
      </c>
      <c r="I263" s="107" t="s">
        <v>226</v>
      </c>
      <c r="J263" s="110">
        <v>0.54</v>
      </c>
      <c r="K263" s="111">
        <v>386.43799999999999</v>
      </c>
      <c r="L263" s="112">
        <v>53.749259259259254</v>
      </c>
      <c r="M263" s="15"/>
      <c r="N263" s="44"/>
    </row>
    <row r="264" spans="2:14" ht="18.75" customHeight="1" x14ac:dyDescent="0.3">
      <c r="B264" s="10"/>
      <c r="C264" s="182" t="s">
        <v>2485</v>
      </c>
      <c r="D264" s="106" t="s">
        <v>1095</v>
      </c>
      <c r="E264" s="107" t="s">
        <v>1096</v>
      </c>
      <c r="F264" s="107" t="s">
        <v>1097</v>
      </c>
      <c r="G264" s="120"/>
      <c r="H264" s="108" t="s">
        <v>2207</v>
      </c>
      <c r="I264" s="107" t="s">
        <v>226</v>
      </c>
      <c r="J264" s="110">
        <v>0.54</v>
      </c>
      <c r="K264" s="111">
        <v>11.57</v>
      </c>
      <c r="L264" s="112">
        <v>53.749259259259254</v>
      </c>
      <c r="M264" s="15"/>
      <c r="N264" s="44"/>
    </row>
    <row r="265" spans="2:14" ht="18.75" customHeight="1" x14ac:dyDescent="0.3">
      <c r="B265" s="10"/>
      <c r="C265" s="182" t="s">
        <v>2485</v>
      </c>
      <c r="D265" s="106" t="s">
        <v>205</v>
      </c>
      <c r="E265" s="107" t="s">
        <v>163</v>
      </c>
      <c r="F265" s="107" t="s">
        <v>202</v>
      </c>
      <c r="G265" s="107" t="s">
        <v>206</v>
      </c>
      <c r="H265" s="108" t="s">
        <v>1995</v>
      </c>
      <c r="I265" s="107" t="s">
        <v>3</v>
      </c>
      <c r="J265" s="110">
        <v>0.39500000000000002</v>
      </c>
      <c r="K265" s="111">
        <v>219.96</v>
      </c>
      <c r="L265" s="112">
        <v>54.00936708860759</v>
      </c>
      <c r="M265" s="15"/>
      <c r="N265" s="44"/>
    </row>
    <row r="266" spans="2:14" ht="18.75" customHeight="1" x14ac:dyDescent="0.3">
      <c r="B266" s="10"/>
      <c r="C266" s="182" t="s">
        <v>2485</v>
      </c>
      <c r="D266" s="118" t="s">
        <v>457</v>
      </c>
      <c r="E266" s="120" t="s">
        <v>458</v>
      </c>
      <c r="F266" s="119" t="s">
        <v>459</v>
      </c>
      <c r="G266" s="119" t="s">
        <v>461</v>
      </c>
      <c r="H266" s="108" t="s">
        <v>2000</v>
      </c>
      <c r="I266" s="107" t="s">
        <v>3</v>
      </c>
      <c r="J266" s="110">
        <v>0.39500000000000002</v>
      </c>
      <c r="K266" s="111">
        <v>288.60000000000002</v>
      </c>
      <c r="L266" s="112">
        <v>54.00936708860759</v>
      </c>
      <c r="M266" s="15"/>
      <c r="N266" s="44"/>
    </row>
    <row r="267" spans="2:14" ht="18.75" customHeight="1" x14ac:dyDescent="0.3">
      <c r="B267" s="10"/>
      <c r="C267" s="182" t="s">
        <v>2485</v>
      </c>
      <c r="D267" s="106" t="s">
        <v>660</v>
      </c>
      <c r="E267" s="107" t="s">
        <v>519</v>
      </c>
      <c r="F267" s="107" t="s">
        <v>655</v>
      </c>
      <c r="G267" s="107" t="s">
        <v>469</v>
      </c>
      <c r="H267" s="108" t="s">
        <v>2006</v>
      </c>
      <c r="I267" s="107" t="s">
        <v>3</v>
      </c>
      <c r="J267" s="110">
        <v>0.39500000000000002</v>
      </c>
      <c r="K267" s="111">
        <v>47.97</v>
      </c>
      <c r="L267" s="112">
        <v>54.00936708860759</v>
      </c>
      <c r="M267" s="15"/>
      <c r="N267" s="44"/>
    </row>
    <row r="268" spans="2:14" ht="18.75" customHeight="1" x14ac:dyDescent="0.3">
      <c r="B268" s="10"/>
      <c r="C268" s="182" t="s">
        <v>2485</v>
      </c>
      <c r="D268" s="106" t="s">
        <v>574</v>
      </c>
      <c r="E268" s="109" t="s">
        <v>571</v>
      </c>
      <c r="F268" s="107" t="s">
        <v>575</v>
      </c>
      <c r="G268" s="107" t="s">
        <v>576</v>
      </c>
      <c r="H268" s="108" t="s">
        <v>2165</v>
      </c>
      <c r="I268" s="107" t="s">
        <v>226</v>
      </c>
      <c r="J268" s="110">
        <v>0.53549999999999998</v>
      </c>
      <c r="K268" s="111">
        <v>68.085000000000008</v>
      </c>
      <c r="L268" s="112">
        <v>54.188328664799258</v>
      </c>
      <c r="M268" s="15"/>
      <c r="N268" s="44"/>
    </row>
    <row r="269" spans="2:14" ht="18.75" customHeight="1" x14ac:dyDescent="0.3">
      <c r="B269" s="10"/>
      <c r="C269" s="182" t="s">
        <v>2485</v>
      </c>
      <c r="D269" s="106" t="s">
        <v>1578</v>
      </c>
      <c r="E269" s="107" t="s">
        <v>1579</v>
      </c>
      <c r="F269" s="120" t="s">
        <v>1580</v>
      </c>
      <c r="G269" s="120" t="s">
        <v>1582</v>
      </c>
      <c r="H269" s="108" t="s">
        <v>2252</v>
      </c>
      <c r="I269" s="107" t="s">
        <v>226</v>
      </c>
      <c r="J269" s="110">
        <v>0.53549999999999998</v>
      </c>
      <c r="K269" s="111">
        <v>99.768999999999991</v>
      </c>
      <c r="L269" s="112">
        <v>54.188328664799258</v>
      </c>
      <c r="M269" s="15"/>
      <c r="N269" s="44"/>
    </row>
    <row r="270" spans="2:14" ht="18.75" customHeight="1" x14ac:dyDescent="0.3">
      <c r="B270" s="10"/>
      <c r="C270" s="182" t="s">
        <v>2485</v>
      </c>
      <c r="D270" s="118" t="s">
        <v>201</v>
      </c>
      <c r="E270" s="107" t="s">
        <v>163</v>
      </c>
      <c r="F270" s="107" t="s">
        <v>202</v>
      </c>
      <c r="G270" s="120" t="s">
        <v>204</v>
      </c>
      <c r="H270" s="108" t="s">
        <v>1994</v>
      </c>
      <c r="I270" s="107" t="s">
        <v>3</v>
      </c>
      <c r="J270" s="110">
        <v>0.39250000000000002</v>
      </c>
      <c r="K270" s="111">
        <v>219.96</v>
      </c>
      <c r="L270" s="112">
        <v>54.345095541401271</v>
      </c>
      <c r="M270" s="15"/>
      <c r="N270" s="44"/>
    </row>
    <row r="271" spans="2:14" ht="18.75" customHeight="1" x14ac:dyDescent="0.3">
      <c r="B271" s="10"/>
      <c r="C271" s="182" t="s">
        <v>2485</v>
      </c>
      <c r="D271" s="118" t="s">
        <v>1469</v>
      </c>
      <c r="E271" s="107" t="s">
        <v>278</v>
      </c>
      <c r="F271" s="107" t="s">
        <v>1470</v>
      </c>
      <c r="G271" s="120">
        <v>4</v>
      </c>
      <c r="H271" s="108" t="s">
        <v>2037</v>
      </c>
      <c r="I271" s="107" t="s">
        <v>3</v>
      </c>
      <c r="J271" s="110">
        <v>0.39250000000000002</v>
      </c>
      <c r="K271" s="111">
        <v>682.5</v>
      </c>
      <c r="L271" s="112">
        <v>54.345095541401271</v>
      </c>
      <c r="M271" s="15"/>
      <c r="N271" s="44"/>
    </row>
    <row r="272" spans="2:14" ht="18.75" customHeight="1" x14ac:dyDescent="0.3">
      <c r="B272" s="10"/>
      <c r="C272" s="182" t="s">
        <v>2485</v>
      </c>
      <c r="D272" s="106" t="s">
        <v>1755</v>
      </c>
      <c r="E272" s="125" t="s">
        <v>1756</v>
      </c>
      <c r="F272" s="107" t="s">
        <v>1757</v>
      </c>
      <c r="G272" s="107"/>
      <c r="H272" s="108" t="s">
        <v>2112</v>
      </c>
      <c r="I272" s="107" t="s">
        <v>2</v>
      </c>
      <c r="J272" s="110">
        <v>0.24640000000000001</v>
      </c>
      <c r="K272" s="111">
        <v>58.29</v>
      </c>
      <c r="L272" s="112">
        <v>54.615584415584422</v>
      </c>
      <c r="M272" s="15"/>
      <c r="N272" s="44"/>
    </row>
    <row r="273" spans="2:14" ht="18.75" customHeight="1" x14ac:dyDescent="0.3">
      <c r="B273" s="10"/>
      <c r="C273" s="182" t="s">
        <v>2485</v>
      </c>
      <c r="D273" s="106" t="s">
        <v>675</v>
      </c>
      <c r="E273" s="107" t="s">
        <v>676</v>
      </c>
      <c r="F273" s="107" t="s">
        <v>677</v>
      </c>
      <c r="G273" s="107" t="s">
        <v>679</v>
      </c>
      <c r="H273" s="108" t="s">
        <v>2173</v>
      </c>
      <c r="I273" s="107" t="s">
        <v>226</v>
      </c>
      <c r="J273" s="110">
        <v>0.53100000000000003</v>
      </c>
      <c r="K273" s="111">
        <v>35.6</v>
      </c>
      <c r="L273" s="112">
        <v>54.63483992467043</v>
      </c>
      <c r="M273" s="15"/>
      <c r="N273" s="44"/>
    </row>
    <row r="274" spans="2:14" ht="18.75" customHeight="1" x14ac:dyDescent="0.3">
      <c r="B274" s="10"/>
      <c r="C274" s="182" t="s">
        <v>2485</v>
      </c>
      <c r="D274" s="118" t="s">
        <v>1136</v>
      </c>
      <c r="E274" s="107" t="s">
        <v>1133</v>
      </c>
      <c r="F274" s="107" t="s">
        <v>1137</v>
      </c>
      <c r="G274" s="107"/>
      <c r="H274" s="108" t="s">
        <v>2173</v>
      </c>
      <c r="I274" s="107" t="s">
        <v>226</v>
      </c>
      <c r="J274" s="110">
        <v>0.53100000000000003</v>
      </c>
      <c r="K274" s="111">
        <v>34.71</v>
      </c>
      <c r="L274" s="112">
        <v>54.63483992467043</v>
      </c>
      <c r="M274" s="15"/>
      <c r="N274" s="44"/>
    </row>
    <row r="275" spans="2:14" ht="18.75" customHeight="1" x14ac:dyDescent="0.3">
      <c r="B275" s="10"/>
      <c r="C275" s="182" t="s">
        <v>2485</v>
      </c>
      <c r="D275" s="106" t="s">
        <v>698</v>
      </c>
      <c r="E275" s="107" t="s">
        <v>278</v>
      </c>
      <c r="F275" s="107" t="s">
        <v>699</v>
      </c>
      <c r="G275" s="120"/>
      <c r="H275" s="108" t="s">
        <v>1989</v>
      </c>
      <c r="I275" s="107" t="s">
        <v>3</v>
      </c>
      <c r="J275" s="110">
        <v>0.38750000000000001</v>
      </c>
      <c r="K275" s="111">
        <v>54.6</v>
      </c>
      <c r="L275" s="112">
        <v>55.029548387096774</v>
      </c>
      <c r="M275" s="15"/>
      <c r="N275" s="44"/>
    </row>
    <row r="276" spans="2:14" ht="18.75" customHeight="1" x14ac:dyDescent="0.3">
      <c r="B276" s="10"/>
      <c r="C276" s="182" t="s">
        <v>2485</v>
      </c>
      <c r="D276" s="118" t="s">
        <v>1883</v>
      </c>
      <c r="E276" s="117" t="s">
        <v>124</v>
      </c>
      <c r="F276" s="110" t="s">
        <v>655</v>
      </c>
      <c r="G276" s="110" t="s">
        <v>653</v>
      </c>
      <c r="H276" s="108" t="s">
        <v>2056</v>
      </c>
      <c r="I276" s="107" t="s">
        <v>3</v>
      </c>
      <c r="J276" s="110">
        <v>0.38750000000000001</v>
      </c>
      <c r="K276" s="111">
        <v>108.03</v>
      </c>
      <c r="L276" s="112">
        <v>55.029548387096774</v>
      </c>
      <c r="M276" s="15"/>
      <c r="N276" s="44"/>
    </row>
    <row r="277" spans="2:14" ht="18.75" customHeight="1" x14ac:dyDescent="0.3">
      <c r="B277" s="10"/>
      <c r="C277" s="182" t="s">
        <v>2485</v>
      </c>
      <c r="D277" s="106" t="s">
        <v>1884</v>
      </c>
      <c r="E277" s="120" t="s">
        <v>124</v>
      </c>
      <c r="F277" s="107" t="s">
        <v>655</v>
      </c>
      <c r="G277" s="107" t="s">
        <v>469</v>
      </c>
      <c r="H277" s="108" t="s">
        <v>2056</v>
      </c>
      <c r="I277" s="107" t="s">
        <v>3</v>
      </c>
      <c r="J277" s="110">
        <v>0.38750000000000001</v>
      </c>
      <c r="K277" s="111">
        <v>108.03</v>
      </c>
      <c r="L277" s="112">
        <v>55.029548387096774</v>
      </c>
      <c r="M277" s="15"/>
      <c r="N277" s="44"/>
    </row>
    <row r="278" spans="2:14" ht="18.75" customHeight="1" x14ac:dyDescent="0.3">
      <c r="B278" s="10"/>
      <c r="C278" s="182" t="s">
        <v>2485</v>
      </c>
      <c r="D278" s="118" t="s">
        <v>1195</v>
      </c>
      <c r="E278" s="120" t="s">
        <v>1186</v>
      </c>
      <c r="F278" s="107" t="s">
        <v>1196</v>
      </c>
      <c r="G278" s="129" t="s">
        <v>1198</v>
      </c>
      <c r="H278" s="108" t="s">
        <v>2215</v>
      </c>
      <c r="I278" s="107" t="s">
        <v>226</v>
      </c>
      <c r="J278" s="110">
        <v>0.52649999999999997</v>
      </c>
      <c r="K278" s="111">
        <v>364.9</v>
      </c>
      <c r="L278" s="112">
        <v>55.088983855650525</v>
      </c>
      <c r="M278" s="15"/>
      <c r="N278" s="44"/>
    </row>
    <row r="279" spans="2:14" ht="18.75" customHeight="1" x14ac:dyDescent="0.3">
      <c r="B279" s="10"/>
      <c r="C279" s="182" t="s">
        <v>2485</v>
      </c>
      <c r="D279" s="106" t="s">
        <v>1343</v>
      </c>
      <c r="E279" s="107" t="s">
        <v>1344</v>
      </c>
      <c r="F279" s="107" t="s">
        <v>1345</v>
      </c>
      <c r="G279" s="120"/>
      <c r="H279" s="108" t="s">
        <v>2230</v>
      </c>
      <c r="I279" s="107" t="s">
        <v>226</v>
      </c>
      <c r="J279" s="123">
        <v>0.52649999999999997</v>
      </c>
      <c r="K279" s="111">
        <v>66.75</v>
      </c>
      <c r="L279" s="112">
        <v>55.088983855650525</v>
      </c>
      <c r="M279" s="15"/>
      <c r="N279" s="44"/>
    </row>
    <row r="280" spans="2:14" ht="18.75" customHeight="1" x14ac:dyDescent="0.3">
      <c r="B280" s="10"/>
      <c r="C280" s="182" t="s">
        <v>2485</v>
      </c>
      <c r="D280" s="118" t="s">
        <v>1748</v>
      </c>
      <c r="E280" s="107" t="s">
        <v>40</v>
      </c>
      <c r="F280" s="107" t="s">
        <v>1720</v>
      </c>
      <c r="G280" s="119" t="s">
        <v>1749</v>
      </c>
      <c r="H280" s="108" t="s">
        <v>2044</v>
      </c>
      <c r="I280" s="107" t="s">
        <v>3</v>
      </c>
      <c r="J280" s="110">
        <v>0.38500000000000001</v>
      </c>
      <c r="K280" s="111">
        <v>35.1</v>
      </c>
      <c r="L280" s="112">
        <v>55.378441558441551</v>
      </c>
      <c r="M280" s="15"/>
      <c r="N280" s="44"/>
    </row>
    <row r="281" spans="2:14" ht="18.75" customHeight="1" x14ac:dyDescent="0.3">
      <c r="B281" s="10"/>
      <c r="C281" s="182" t="s">
        <v>2485</v>
      </c>
      <c r="D281" s="106" t="s">
        <v>1837</v>
      </c>
      <c r="E281" s="107" t="s">
        <v>160</v>
      </c>
      <c r="F281" s="107" t="s">
        <v>161</v>
      </c>
      <c r="G281" s="107" t="s">
        <v>1838</v>
      </c>
      <c r="H281" s="108" t="s">
        <v>2052</v>
      </c>
      <c r="I281" s="107" t="s">
        <v>3</v>
      </c>
      <c r="J281" s="110">
        <v>0.38500000000000001</v>
      </c>
      <c r="K281" s="111">
        <v>478.92</v>
      </c>
      <c r="L281" s="112">
        <v>55.378441558441551</v>
      </c>
      <c r="M281" s="15"/>
      <c r="N281" s="44"/>
    </row>
    <row r="282" spans="2:14" ht="18.75" customHeight="1" x14ac:dyDescent="0.3">
      <c r="B282" s="10"/>
      <c r="C282" s="182" t="s">
        <v>2485</v>
      </c>
      <c r="D282" s="118" t="s">
        <v>173</v>
      </c>
      <c r="E282" s="107" t="s">
        <v>163</v>
      </c>
      <c r="F282" s="107" t="s">
        <v>174</v>
      </c>
      <c r="G282" s="107" t="s">
        <v>176</v>
      </c>
      <c r="H282" s="108" t="s">
        <v>2125</v>
      </c>
      <c r="I282" s="107" t="s">
        <v>226</v>
      </c>
      <c r="J282" s="110">
        <v>0.52200000000000002</v>
      </c>
      <c r="K282" s="111">
        <v>395.16</v>
      </c>
      <c r="L282" s="112">
        <v>55.550957854406128</v>
      </c>
      <c r="M282" s="15"/>
      <c r="N282" s="44"/>
    </row>
    <row r="283" spans="2:14" ht="18.75" customHeight="1" x14ac:dyDescent="0.3">
      <c r="B283" s="10"/>
      <c r="C283" s="182" t="s">
        <v>2485</v>
      </c>
      <c r="D283" s="118" t="s">
        <v>932</v>
      </c>
      <c r="E283" s="129" t="s">
        <v>111</v>
      </c>
      <c r="F283" s="110" t="s">
        <v>933</v>
      </c>
      <c r="G283" s="129" t="s">
        <v>933</v>
      </c>
      <c r="H283" s="108" t="s">
        <v>2194</v>
      </c>
      <c r="I283" s="107" t="s">
        <v>226</v>
      </c>
      <c r="J283" s="110">
        <v>0.52200000000000002</v>
      </c>
      <c r="K283" s="111">
        <v>161.97999999999999</v>
      </c>
      <c r="L283" s="112">
        <v>55.550957854406128</v>
      </c>
      <c r="M283" s="15"/>
      <c r="N283" s="44"/>
    </row>
    <row r="284" spans="2:14" ht="18.75" customHeight="1" x14ac:dyDescent="0.3">
      <c r="B284" s="10"/>
      <c r="C284" s="182" t="s">
        <v>2485</v>
      </c>
      <c r="D284" s="106" t="s">
        <v>1563</v>
      </c>
      <c r="E284" s="120" t="s">
        <v>1564</v>
      </c>
      <c r="F284" s="107" t="s">
        <v>1565</v>
      </c>
      <c r="G284" s="120"/>
      <c r="H284" s="108" t="s">
        <v>2250</v>
      </c>
      <c r="I284" s="107" t="s">
        <v>226</v>
      </c>
      <c r="J284" s="110">
        <v>0.52200000000000002</v>
      </c>
      <c r="K284" s="111">
        <v>96.12</v>
      </c>
      <c r="L284" s="112">
        <v>55.550957854406128</v>
      </c>
      <c r="M284" s="15"/>
      <c r="N284" s="44"/>
    </row>
    <row r="285" spans="2:14" ht="18.75" customHeight="1" x14ac:dyDescent="0.3">
      <c r="B285" s="10"/>
      <c r="C285" s="182" t="s">
        <v>2485</v>
      </c>
      <c r="D285" s="106" t="s">
        <v>1839</v>
      </c>
      <c r="E285" s="107" t="s">
        <v>1840</v>
      </c>
      <c r="F285" s="107" t="s">
        <v>96</v>
      </c>
      <c r="G285" s="107" t="s">
        <v>1842</v>
      </c>
      <c r="H285" s="108" t="s">
        <v>2274</v>
      </c>
      <c r="I285" s="107" t="s">
        <v>226</v>
      </c>
      <c r="J285" s="110">
        <v>0.52200000000000002</v>
      </c>
      <c r="K285" s="111">
        <v>46.191000000000003</v>
      </c>
      <c r="L285" s="112">
        <v>55.550957854406128</v>
      </c>
      <c r="M285" s="15"/>
      <c r="N285" s="44"/>
    </row>
    <row r="286" spans="2:14" ht="18.75" customHeight="1" x14ac:dyDescent="0.3">
      <c r="B286" s="10"/>
      <c r="C286" s="182" t="s">
        <v>2485</v>
      </c>
      <c r="D286" s="118" t="s">
        <v>438</v>
      </c>
      <c r="E286" s="120" t="s">
        <v>439</v>
      </c>
      <c r="F286" s="107" t="s">
        <v>440</v>
      </c>
      <c r="G286" s="120" t="s">
        <v>443</v>
      </c>
      <c r="H286" s="108" t="s">
        <v>2151</v>
      </c>
      <c r="I286" s="107" t="s">
        <v>226</v>
      </c>
      <c r="J286" s="110">
        <v>0.51749999999999996</v>
      </c>
      <c r="K286" s="111">
        <v>231.4</v>
      </c>
      <c r="L286" s="112">
        <v>56.020966183574885</v>
      </c>
      <c r="M286" s="15"/>
      <c r="N286" s="44"/>
    </row>
    <row r="287" spans="2:14" ht="18.75" customHeight="1" x14ac:dyDescent="0.3">
      <c r="B287" s="10"/>
      <c r="C287" s="182" t="s">
        <v>2485</v>
      </c>
      <c r="D287" s="118" t="s">
        <v>1418</v>
      </c>
      <c r="E287" s="107" t="s">
        <v>1416</v>
      </c>
      <c r="F287" s="119" t="s">
        <v>1417</v>
      </c>
      <c r="G287" s="124">
        <v>1</v>
      </c>
      <c r="H287" s="108" t="s">
        <v>2235</v>
      </c>
      <c r="I287" s="107" t="s">
        <v>226</v>
      </c>
      <c r="J287" s="110">
        <v>0.51749999999999996</v>
      </c>
      <c r="K287" s="111">
        <v>56.96</v>
      </c>
      <c r="L287" s="112">
        <v>56.020966183574885</v>
      </c>
      <c r="M287" s="15"/>
      <c r="N287" s="44"/>
    </row>
    <row r="288" spans="2:14" ht="18.75" customHeight="1" x14ac:dyDescent="0.3">
      <c r="B288" s="10"/>
      <c r="C288" s="182" t="s">
        <v>2485</v>
      </c>
      <c r="D288" s="118" t="s">
        <v>593</v>
      </c>
      <c r="E288" s="107" t="s">
        <v>586</v>
      </c>
      <c r="F288" s="107" t="s">
        <v>587</v>
      </c>
      <c r="G288" s="120" t="s">
        <v>594</v>
      </c>
      <c r="H288" s="108" t="s">
        <v>2002</v>
      </c>
      <c r="I288" s="107" t="s">
        <v>3</v>
      </c>
      <c r="J288" s="110">
        <v>0.38</v>
      </c>
      <c r="K288" s="111">
        <v>13.571999999999999</v>
      </c>
      <c r="L288" s="112">
        <v>56.09</v>
      </c>
      <c r="M288" s="15"/>
      <c r="N288" s="44"/>
    </row>
    <row r="289" spans="2:14" ht="18.75" customHeight="1" x14ac:dyDescent="0.3">
      <c r="B289" s="10"/>
      <c r="C289" s="182" t="s">
        <v>2485</v>
      </c>
      <c r="D289" s="106" t="s">
        <v>1255</v>
      </c>
      <c r="E289" s="107" t="s">
        <v>1252</v>
      </c>
      <c r="F289" s="107" t="s">
        <v>1253</v>
      </c>
      <c r="G289" s="120" t="s">
        <v>549</v>
      </c>
      <c r="H289" s="108" t="s">
        <v>2030</v>
      </c>
      <c r="I289" s="107" t="s">
        <v>3</v>
      </c>
      <c r="J289" s="110">
        <v>0.38</v>
      </c>
      <c r="K289" s="111">
        <v>331.5</v>
      </c>
      <c r="L289" s="112">
        <v>56.09</v>
      </c>
      <c r="M289" s="15"/>
      <c r="N289" s="44"/>
    </row>
    <row r="290" spans="2:14" ht="18.75" customHeight="1" x14ac:dyDescent="0.3">
      <c r="B290" s="10"/>
      <c r="C290" s="182" t="s">
        <v>2485</v>
      </c>
      <c r="D290" s="106" t="s">
        <v>1746</v>
      </c>
      <c r="E290" s="107" t="s">
        <v>40</v>
      </c>
      <c r="F290" s="107" t="s">
        <v>1720</v>
      </c>
      <c r="G290" s="120" t="s">
        <v>1747</v>
      </c>
      <c r="H290" s="108" t="s">
        <v>2043</v>
      </c>
      <c r="I290" s="107" t="s">
        <v>3</v>
      </c>
      <c r="J290" s="110">
        <v>0.38</v>
      </c>
      <c r="K290" s="111">
        <v>35.1</v>
      </c>
      <c r="L290" s="112">
        <v>56.09</v>
      </c>
      <c r="M290" s="15"/>
      <c r="N290" s="44"/>
    </row>
    <row r="291" spans="2:14" ht="18.75" customHeight="1" x14ac:dyDescent="0.3">
      <c r="B291" s="10"/>
      <c r="C291" s="182" t="s">
        <v>2485</v>
      </c>
      <c r="D291" s="118" t="s">
        <v>1790</v>
      </c>
      <c r="E291" s="107" t="s">
        <v>458</v>
      </c>
      <c r="F291" s="107" t="s">
        <v>1791</v>
      </c>
      <c r="G291" s="107" t="s">
        <v>1793</v>
      </c>
      <c r="H291" s="108" t="s">
        <v>2047</v>
      </c>
      <c r="I291" s="107" t="s">
        <v>3</v>
      </c>
      <c r="J291" s="110">
        <v>0.38</v>
      </c>
      <c r="K291" s="111">
        <v>139.62</v>
      </c>
      <c r="L291" s="112">
        <v>56.09</v>
      </c>
      <c r="M291" s="15"/>
      <c r="N291" s="44"/>
    </row>
    <row r="292" spans="2:14" ht="18.75" customHeight="1" x14ac:dyDescent="0.3">
      <c r="B292" s="10"/>
      <c r="C292" s="182" t="s">
        <v>2485</v>
      </c>
      <c r="D292" s="118" t="s">
        <v>159</v>
      </c>
      <c r="E292" s="107" t="s">
        <v>160</v>
      </c>
      <c r="F292" s="107" t="s">
        <v>158</v>
      </c>
      <c r="G292" s="120" t="s">
        <v>140</v>
      </c>
      <c r="H292" s="108" t="s">
        <v>1991</v>
      </c>
      <c r="I292" s="107" t="s">
        <v>3</v>
      </c>
      <c r="J292" s="110">
        <v>0.3775</v>
      </c>
      <c r="K292" s="111">
        <v>559.26</v>
      </c>
      <c r="L292" s="112">
        <v>56.452847682119206</v>
      </c>
      <c r="M292" s="15"/>
      <c r="N292" s="44"/>
    </row>
    <row r="293" spans="2:14" ht="18.75" customHeight="1" x14ac:dyDescent="0.3">
      <c r="B293" s="10"/>
      <c r="C293" s="182" t="s">
        <v>2485</v>
      </c>
      <c r="D293" s="118" t="s">
        <v>211</v>
      </c>
      <c r="E293" s="120" t="s">
        <v>208</v>
      </c>
      <c r="F293" s="107" t="s">
        <v>212</v>
      </c>
      <c r="G293" s="120"/>
      <c r="H293" s="108" t="s">
        <v>2128</v>
      </c>
      <c r="I293" s="107" t="s">
        <v>226</v>
      </c>
      <c r="J293" s="110">
        <v>0.51300000000000001</v>
      </c>
      <c r="K293" s="111">
        <v>125.045</v>
      </c>
      <c r="L293" s="112">
        <v>56.499220272904481</v>
      </c>
      <c r="M293" s="15"/>
      <c r="N293" s="44"/>
    </row>
    <row r="294" spans="2:14" ht="18.75" customHeight="1" x14ac:dyDescent="0.3">
      <c r="B294" s="10"/>
      <c r="C294" s="182" t="s">
        <v>2485</v>
      </c>
      <c r="D294" s="118" t="s">
        <v>277</v>
      </c>
      <c r="E294" s="107" t="s">
        <v>278</v>
      </c>
      <c r="F294" s="107" t="s">
        <v>279</v>
      </c>
      <c r="G294" s="107"/>
      <c r="H294" s="108" t="s">
        <v>280</v>
      </c>
      <c r="I294" s="107" t="s">
        <v>226</v>
      </c>
      <c r="J294" s="110">
        <v>0.51300000000000001</v>
      </c>
      <c r="K294" s="111">
        <v>142.4</v>
      </c>
      <c r="L294" s="112">
        <v>56.499220272904481</v>
      </c>
      <c r="M294" s="15"/>
      <c r="N294" s="44"/>
    </row>
    <row r="295" spans="2:14" ht="18.75" customHeight="1" x14ac:dyDescent="0.3">
      <c r="B295" s="10"/>
      <c r="C295" s="182" t="s">
        <v>2485</v>
      </c>
      <c r="D295" s="118" t="s">
        <v>1138</v>
      </c>
      <c r="E295" s="117" t="s">
        <v>1133</v>
      </c>
      <c r="F295" s="107" t="s">
        <v>1139</v>
      </c>
      <c r="G295" s="120" t="s">
        <v>576</v>
      </c>
      <c r="H295" s="108" t="s">
        <v>2212</v>
      </c>
      <c r="I295" s="107" t="s">
        <v>226</v>
      </c>
      <c r="J295" s="110">
        <v>0.51300000000000001</v>
      </c>
      <c r="K295" s="111">
        <v>31.150000000000002</v>
      </c>
      <c r="L295" s="112">
        <v>56.499220272904481</v>
      </c>
      <c r="M295" s="15"/>
      <c r="N295" s="44"/>
    </row>
    <row r="296" spans="2:14" ht="18.75" customHeight="1" x14ac:dyDescent="0.3">
      <c r="B296" s="10"/>
      <c r="C296" s="182" t="s">
        <v>2485</v>
      </c>
      <c r="D296" s="118" t="s">
        <v>1140</v>
      </c>
      <c r="E296" s="120" t="s">
        <v>1141</v>
      </c>
      <c r="F296" s="107" t="s">
        <v>1139</v>
      </c>
      <c r="G296" s="120" t="s">
        <v>578</v>
      </c>
      <c r="H296" s="108" t="s">
        <v>2212</v>
      </c>
      <c r="I296" s="107" t="s">
        <v>226</v>
      </c>
      <c r="J296" s="110">
        <v>0.51300000000000001</v>
      </c>
      <c r="K296" s="111">
        <v>31.150000000000002</v>
      </c>
      <c r="L296" s="112">
        <v>56.499220272904481</v>
      </c>
      <c r="M296" s="15"/>
      <c r="N296" s="44"/>
    </row>
    <row r="297" spans="2:14" ht="18.75" customHeight="1" x14ac:dyDescent="0.3">
      <c r="B297" s="10"/>
      <c r="C297" s="182" t="s">
        <v>2485</v>
      </c>
      <c r="D297" s="106" t="s">
        <v>1142</v>
      </c>
      <c r="E297" s="120" t="s">
        <v>1133</v>
      </c>
      <c r="F297" s="107" t="s">
        <v>1139</v>
      </c>
      <c r="G297" s="107" t="s">
        <v>1143</v>
      </c>
      <c r="H297" s="108" t="s">
        <v>2212</v>
      </c>
      <c r="I297" s="107" t="s">
        <v>226</v>
      </c>
      <c r="J297" s="110">
        <v>0.51300000000000001</v>
      </c>
      <c r="K297" s="111">
        <v>32.93</v>
      </c>
      <c r="L297" s="112">
        <v>56.499220272904481</v>
      </c>
      <c r="M297" s="15"/>
      <c r="N297" s="44"/>
    </row>
    <row r="298" spans="2:14" ht="18.75" customHeight="1" x14ac:dyDescent="0.3">
      <c r="B298" s="10"/>
      <c r="C298" s="182" t="s">
        <v>2485</v>
      </c>
      <c r="D298" s="106" t="s">
        <v>1630</v>
      </c>
      <c r="E298" s="107" t="s">
        <v>1631</v>
      </c>
      <c r="F298" s="107" t="s">
        <v>1632</v>
      </c>
      <c r="G298" s="121"/>
      <c r="H298" s="108" t="s">
        <v>2039</v>
      </c>
      <c r="I298" s="107" t="s">
        <v>226</v>
      </c>
      <c r="J298" s="110">
        <v>0.51300000000000001</v>
      </c>
      <c r="K298" s="111">
        <v>108.58</v>
      </c>
      <c r="L298" s="112">
        <v>56.499220272904481</v>
      </c>
      <c r="M298" s="15"/>
      <c r="N298" s="44"/>
    </row>
    <row r="299" spans="2:14" ht="18.75" customHeight="1" x14ac:dyDescent="0.3">
      <c r="B299" s="10"/>
      <c r="C299" s="182" t="s">
        <v>2485</v>
      </c>
      <c r="D299" s="106" t="s">
        <v>1410</v>
      </c>
      <c r="E299" s="107" t="s">
        <v>1411</v>
      </c>
      <c r="F299" s="107"/>
      <c r="G299" s="107"/>
      <c r="H299" s="108" t="s">
        <v>2445</v>
      </c>
      <c r="I299" s="107" t="s">
        <v>3</v>
      </c>
      <c r="J299" s="110">
        <v>0.375</v>
      </c>
      <c r="K299" s="111">
        <v>14.43</v>
      </c>
      <c r="L299" s="112">
        <v>56.82053333333333</v>
      </c>
      <c r="M299" s="15"/>
      <c r="N299" s="44"/>
    </row>
    <row r="300" spans="2:14" ht="18.75" customHeight="1" x14ac:dyDescent="0.3">
      <c r="B300" s="10"/>
      <c r="C300" s="182" t="s">
        <v>2485</v>
      </c>
      <c r="D300" s="118"/>
      <c r="E300" s="107" t="s">
        <v>1980</v>
      </c>
      <c r="F300" s="107"/>
      <c r="G300" s="357"/>
      <c r="H300" s="108"/>
      <c r="I300" s="107" t="s">
        <v>3</v>
      </c>
      <c r="J300" s="110">
        <v>0.375</v>
      </c>
      <c r="K300" s="111">
        <v>11.154000000000002</v>
      </c>
      <c r="L300" s="112">
        <v>56.82053333333333</v>
      </c>
      <c r="M300" s="15"/>
      <c r="N300" s="44"/>
    </row>
    <row r="301" spans="2:14" ht="18.75" customHeight="1" x14ac:dyDescent="0.3">
      <c r="B301" s="10"/>
      <c r="C301" s="182" t="s">
        <v>2485</v>
      </c>
      <c r="D301" s="106" t="s">
        <v>1921</v>
      </c>
      <c r="E301" s="107" t="s">
        <v>1917</v>
      </c>
      <c r="F301" s="107" t="s">
        <v>1918</v>
      </c>
      <c r="G301" s="107" t="s">
        <v>1922</v>
      </c>
      <c r="H301" s="108" t="s">
        <v>2234</v>
      </c>
      <c r="I301" s="107" t="s">
        <v>226</v>
      </c>
      <c r="J301" s="110">
        <v>0.50849999999999995</v>
      </c>
      <c r="K301" s="111">
        <v>22.25</v>
      </c>
      <c r="L301" s="112">
        <v>56.985939036381517</v>
      </c>
      <c r="M301" s="15"/>
      <c r="N301" s="44"/>
    </row>
    <row r="302" spans="2:14" ht="18.75" customHeight="1" x14ac:dyDescent="0.3">
      <c r="B302" s="10"/>
      <c r="C302" s="182" t="s">
        <v>2485</v>
      </c>
      <c r="D302" s="118" t="s">
        <v>1089</v>
      </c>
      <c r="E302" s="107" t="s">
        <v>1090</v>
      </c>
      <c r="F302" s="107" t="s">
        <v>1091</v>
      </c>
      <c r="G302" s="120" t="s">
        <v>1094</v>
      </c>
      <c r="H302" s="108" t="s">
        <v>2206</v>
      </c>
      <c r="I302" s="107" t="s">
        <v>226</v>
      </c>
      <c r="J302" s="110">
        <v>0.50849999999999995</v>
      </c>
      <c r="K302" s="111">
        <v>11.667899999999999</v>
      </c>
      <c r="L302" s="112">
        <v>56.985939036381517</v>
      </c>
      <c r="M302" s="15"/>
      <c r="N302" s="44"/>
    </row>
    <row r="303" spans="2:14" ht="18.75" customHeight="1" x14ac:dyDescent="0.3">
      <c r="B303" s="10"/>
      <c r="C303" s="182" t="s">
        <v>2485</v>
      </c>
      <c r="D303" s="118" t="s">
        <v>326</v>
      </c>
      <c r="E303" s="120" t="s">
        <v>314</v>
      </c>
      <c r="F303" s="107" t="s">
        <v>295</v>
      </c>
      <c r="G303" s="120" t="s">
        <v>327</v>
      </c>
      <c r="H303" s="108" t="s">
        <v>1999</v>
      </c>
      <c r="I303" s="107" t="s">
        <v>3</v>
      </c>
      <c r="J303" s="110">
        <v>0.3725</v>
      </c>
      <c r="K303" s="111">
        <v>236.34</v>
      </c>
      <c r="L303" s="112">
        <v>57.193154362416109</v>
      </c>
      <c r="M303" s="15"/>
      <c r="N303" s="44"/>
    </row>
    <row r="304" spans="2:14" ht="18.75" customHeight="1" x14ac:dyDescent="0.3">
      <c r="B304" s="10"/>
      <c r="C304" s="182" t="s">
        <v>2485</v>
      </c>
      <c r="D304" s="118" t="s">
        <v>1281</v>
      </c>
      <c r="E304" s="107" t="s">
        <v>1282</v>
      </c>
      <c r="F304" s="107" t="s">
        <v>1283</v>
      </c>
      <c r="G304" s="120" t="s">
        <v>1286</v>
      </c>
      <c r="H304" s="108" t="s">
        <v>2009</v>
      </c>
      <c r="I304" s="107" t="s">
        <v>226</v>
      </c>
      <c r="J304" s="110">
        <v>0.504</v>
      </c>
      <c r="K304" s="111">
        <v>10.146000000000001</v>
      </c>
      <c r="L304" s="112">
        <v>57.481349206349208</v>
      </c>
      <c r="M304" s="15"/>
      <c r="N304" s="44"/>
    </row>
    <row r="305" spans="2:14" ht="18.75" customHeight="1" x14ac:dyDescent="0.3">
      <c r="B305" s="10"/>
      <c r="C305" s="182" t="s">
        <v>2485</v>
      </c>
      <c r="D305" s="118" t="s">
        <v>1857</v>
      </c>
      <c r="E305" s="107" t="s">
        <v>278</v>
      </c>
      <c r="F305" s="119" t="s">
        <v>1856</v>
      </c>
      <c r="G305" s="124">
        <v>1</v>
      </c>
      <c r="H305" s="108" t="s">
        <v>2053</v>
      </c>
      <c r="I305" s="107" t="s">
        <v>3</v>
      </c>
      <c r="J305" s="110">
        <v>0.36499999999999999</v>
      </c>
      <c r="K305" s="111">
        <v>590.46</v>
      </c>
      <c r="L305" s="112">
        <v>58.341643835616438</v>
      </c>
      <c r="M305" s="15"/>
      <c r="N305" s="44"/>
    </row>
    <row r="306" spans="2:14" ht="18.75" customHeight="1" x14ac:dyDescent="0.3">
      <c r="B306" s="10"/>
      <c r="C306" s="182" t="s">
        <v>2485</v>
      </c>
      <c r="D306" s="106" t="s">
        <v>1146</v>
      </c>
      <c r="E306" s="107" t="s">
        <v>1133</v>
      </c>
      <c r="F306" s="120" t="s">
        <v>1139</v>
      </c>
      <c r="G306" s="124" t="s">
        <v>1147</v>
      </c>
      <c r="H306" s="108" t="s">
        <v>2212</v>
      </c>
      <c r="I306" s="107" t="s">
        <v>226</v>
      </c>
      <c r="J306" s="110">
        <v>0.495</v>
      </c>
      <c r="K306" s="111">
        <v>7.7429999999999994</v>
      </c>
      <c r="L306" s="112">
        <v>58.499191919191922</v>
      </c>
      <c r="M306" s="15"/>
      <c r="N306" s="44"/>
    </row>
    <row r="307" spans="2:14" ht="18.75" customHeight="1" x14ac:dyDescent="0.3">
      <c r="B307" s="10"/>
      <c r="C307" s="182" t="s">
        <v>2485</v>
      </c>
      <c r="D307" s="118" t="s">
        <v>1533</v>
      </c>
      <c r="E307" s="107" t="s">
        <v>208</v>
      </c>
      <c r="F307" s="107" t="s">
        <v>1534</v>
      </c>
      <c r="G307" s="120"/>
      <c r="H307" s="108" t="s">
        <v>2245</v>
      </c>
      <c r="I307" s="107" t="s">
        <v>3</v>
      </c>
      <c r="J307" s="110">
        <v>0.35749999999999998</v>
      </c>
      <c r="K307" s="111">
        <v>61.620000000000005</v>
      </c>
      <c r="L307" s="112">
        <v>59.53832167832168</v>
      </c>
      <c r="M307" s="15"/>
      <c r="N307" s="44"/>
    </row>
    <row r="308" spans="2:14" ht="18.75" customHeight="1" x14ac:dyDescent="0.3">
      <c r="B308" s="10"/>
      <c r="C308" s="182" t="s">
        <v>2485</v>
      </c>
      <c r="D308" s="118" t="s">
        <v>1085</v>
      </c>
      <c r="E308" s="120" t="s">
        <v>1080</v>
      </c>
      <c r="F308" s="110" t="s">
        <v>1086</v>
      </c>
      <c r="G308" s="129"/>
      <c r="H308" s="108" t="s">
        <v>2026</v>
      </c>
      <c r="I308" s="107" t="s">
        <v>3</v>
      </c>
      <c r="J308" s="110">
        <v>0.35249999999999998</v>
      </c>
      <c r="K308" s="111">
        <v>85.8</v>
      </c>
      <c r="L308" s="112">
        <v>60.364397163120572</v>
      </c>
      <c r="M308" s="15"/>
      <c r="N308" s="44"/>
    </row>
    <row r="309" spans="2:14" ht="18.75" customHeight="1" x14ac:dyDescent="0.3">
      <c r="B309" s="10"/>
      <c r="C309" s="182" t="s">
        <v>2485</v>
      </c>
      <c r="D309" s="118" t="s">
        <v>1716</v>
      </c>
      <c r="E309" s="120" t="s">
        <v>1712</v>
      </c>
      <c r="F309" s="107" t="s">
        <v>1713</v>
      </c>
      <c r="G309" s="107" t="s">
        <v>1717</v>
      </c>
      <c r="H309" s="108" t="s">
        <v>2041</v>
      </c>
      <c r="I309" s="107" t="s">
        <v>3</v>
      </c>
      <c r="J309" s="110">
        <v>0.35</v>
      </c>
      <c r="K309" s="111">
        <v>19.336200000000002</v>
      </c>
      <c r="L309" s="112">
        <v>60.786285714285711</v>
      </c>
      <c r="M309" s="15"/>
      <c r="N309" s="44"/>
    </row>
    <row r="310" spans="2:14" ht="18.75" customHeight="1" x14ac:dyDescent="0.3">
      <c r="B310" s="10"/>
      <c r="C310" s="182" t="s">
        <v>2485</v>
      </c>
      <c r="D310" s="106" t="s">
        <v>197</v>
      </c>
      <c r="E310" s="107" t="s">
        <v>163</v>
      </c>
      <c r="F310" s="107" t="s">
        <v>164</v>
      </c>
      <c r="G310" s="120" t="s">
        <v>198</v>
      </c>
      <c r="H310" s="108" t="s">
        <v>1992</v>
      </c>
      <c r="I310" s="107" t="s">
        <v>3</v>
      </c>
      <c r="J310" s="110">
        <v>0.34749999999999998</v>
      </c>
      <c r="K310" s="111">
        <v>96.72</v>
      </c>
      <c r="L310" s="112">
        <v>61.214244604316548</v>
      </c>
      <c r="M310" s="15"/>
      <c r="N310" s="44"/>
    </row>
    <row r="311" spans="2:14" ht="18.75" customHeight="1" x14ac:dyDescent="0.3">
      <c r="B311" s="10"/>
      <c r="C311" s="182" t="s">
        <v>2485</v>
      </c>
      <c r="D311" s="118" t="s">
        <v>694</v>
      </c>
      <c r="E311" s="117" t="s">
        <v>278</v>
      </c>
      <c r="F311" s="119" t="s">
        <v>695</v>
      </c>
      <c r="G311" s="124" t="s">
        <v>142</v>
      </c>
      <c r="H311" s="108" t="s">
        <v>1992</v>
      </c>
      <c r="I311" s="107" t="s">
        <v>3</v>
      </c>
      <c r="J311" s="110">
        <v>0.34749999999999998</v>
      </c>
      <c r="K311" s="111">
        <v>269.10000000000002</v>
      </c>
      <c r="L311" s="112">
        <v>61.214244604316548</v>
      </c>
      <c r="M311" s="15"/>
      <c r="N311" s="44"/>
    </row>
    <row r="312" spans="2:14" ht="18.75" customHeight="1" x14ac:dyDescent="0.3">
      <c r="B312" s="10"/>
      <c r="C312" s="182" t="s">
        <v>2485</v>
      </c>
      <c r="D312" s="118" t="s">
        <v>697</v>
      </c>
      <c r="E312" s="107" t="s">
        <v>278</v>
      </c>
      <c r="F312" s="107" t="s">
        <v>695</v>
      </c>
      <c r="G312" s="120" t="s">
        <v>139</v>
      </c>
      <c r="H312" s="108" t="s">
        <v>2008</v>
      </c>
      <c r="I312" s="107" t="s">
        <v>3</v>
      </c>
      <c r="J312" s="110">
        <v>0.34499999999999997</v>
      </c>
      <c r="K312" s="111">
        <v>269.10000000000002</v>
      </c>
      <c r="L312" s="112">
        <v>61.648405797101454</v>
      </c>
      <c r="M312" s="15"/>
      <c r="N312" s="44"/>
    </row>
    <row r="313" spans="2:14" ht="18.75" customHeight="1" x14ac:dyDescent="0.3">
      <c r="B313" s="10"/>
      <c r="C313" s="182" t="s">
        <v>2485</v>
      </c>
      <c r="D313" s="118" t="s">
        <v>1552</v>
      </c>
      <c r="E313" s="107" t="s">
        <v>1544</v>
      </c>
      <c r="F313" s="107" t="s">
        <v>1553</v>
      </c>
      <c r="G313" s="120" t="s">
        <v>1553</v>
      </c>
      <c r="H313" s="108" t="s">
        <v>2248</v>
      </c>
      <c r="I313" s="107" t="s">
        <v>226</v>
      </c>
      <c r="J313" s="110">
        <v>0.4602</v>
      </c>
      <c r="K313" s="111">
        <v>8.1879999999999988</v>
      </c>
      <c r="L313" s="112">
        <v>62.809430682312041</v>
      </c>
      <c r="M313" s="15"/>
      <c r="N313" s="44"/>
    </row>
    <row r="314" spans="2:14" ht="18.75" customHeight="1" x14ac:dyDescent="0.3">
      <c r="B314" s="10"/>
      <c r="C314" s="182" t="s">
        <v>2485</v>
      </c>
      <c r="D314" s="106" t="s">
        <v>1554</v>
      </c>
      <c r="E314" s="107" t="s">
        <v>1544</v>
      </c>
      <c r="F314" s="107" t="s">
        <v>1555</v>
      </c>
      <c r="G314" s="109" t="s">
        <v>1555</v>
      </c>
      <c r="H314" s="108" t="s">
        <v>2249</v>
      </c>
      <c r="I314" s="107" t="s">
        <v>226</v>
      </c>
      <c r="J314" s="110">
        <v>0.45879999999999999</v>
      </c>
      <c r="K314" s="111">
        <v>3.827</v>
      </c>
      <c r="L314" s="112">
        <v>62.996512641673931</v>
      </c>
      <c r="M314" s="15"/>
      <c r="N314" s="44"/>
    </row>
    <row r="315" spans="2:14" ht="18.75" customHeight="1" x14ac:dyDescent="0.3">
      <c r="B315" s="10"/>
      <c r="C315" s="182" t="s">
        <v>2485</v>
      </c>
      <c r="D315" s="106" t="s">
        <v>1527</v>
      </c>
      <c r="E315" s="107" t="s">
        <v>1528</v>
      </c>
      <c r="F315" s="107" t="s">
        <v>1529</v>
      </c>
      <c r="G315" s="107" t="s">
        <v>1532</v>
      </c>
      <c r="H315" s="108" t="s">
        <v>2244</v>
      </c>
      <c r="I315" s="107" t="s">
        <v>226</v>
      </c>
      <c r="J315" s="110">
        <v>0.45739999999999997</v>
      </c>
      <c r="K315" s="111">
        <v>8.7576000000000001</v>
      </c>
      <c r="L315" s="112">
        <v>63.184739833843466</v>
      </c>
      <c r="M315" s="15"/>
      <c r="N315" s="44"/>
    </row>
    <row r="316" spans="2:14" ht="18.75" customHeight="1" x14ac:dyDescent="0.3">
      <c r="B316" s="10"/>
      <c r="C316" s="182" t="s">
        <v>2485</v>
      </c>
      <c r="D316" s="118" t="s">
        <v>1549</v>
      </c>
      <c r="E316" s="117" t="s">
        <v>1544</v>
      </c>
      <c r="F316" s="110" t="s">
        <v>1550</v>
      </c>
      <c r="G316" s="129" t="s">
        <v>1551</v>
      </c>
      <c r="H316" s="108" t="s">
        <v>2247</v>
      </c>
      <c r="I316" s="107" t="s">
        <v>226</v>
      </c>
      <c r="J316" s="110">
        <v>0.45739999999999997</v>
      </c>
      <c r="K316" s="111">
        <v>8.7309000000000001</v>
      </c>
      <c r="L316" s="112">
        <v>63.184739833843466</v>
      </c>
      <c r="M316" s="15"/>
      <c r="N316" s="44"/>
    </row>
    <row r="317" spans="2:14" ht="18.75" customHeight="1" x14ac:dyDescent="0.3">
      <c r="B317" s="10"/>
      <c r="C317" s="182" t="s">
        <v>2485</v>
      </c>
      <c r="D317" s="118" t="s">
        <v>1054</v>
      </c>
      <c r="E317" s="117" t="s">
        <v>1055</v>
      </c>
      <c r="F317" s="119"/>
      <c r="G317" s="124"/>
      <c r="H317" s="108" t="s">
        <v>2454</v>
      </c>
      <c r="I317" s="107" t="s">
        <v>226</v>
      </c>
      <c r="J317" s="110">
        <v>0.45600000000000002</v>
      </c>
      <c r="K317" s="111">
        <v>20.737000000000002</v>
      </c>
      <c r="L317" s="112">
        <v>63.374122807017542</v>
      </c>
      <c r="M317" s="15"/>
      <c r="N317" s="44"/>
    </row>
    <row r="318" spans="2:14" ht="18.75" customHeight="1" x14ac:dyDescent="0.3">
      <c r="B318" s="10"/>
      <c r="C318" s="182" t="s">
        <v>2485</v>
      </c>
      <c r="D318" s="106" t="s">
        <v>1123</v>
      </c>
      <c r="E318" s="120" t="s">
        <v>1124</v>
      </c>
      <c r="F318" s="107"/>
      <c r="G318" s="121"/>
      <c r="H318" s="108" t="s">
        <v>2456</v>
      </c>
      <c r="I318" s="107" t="s">
        <v>226</v>
      </c>
      <c r="J318" s="110">
        <v>0.45600000000000002</v>
      </c>
      <c r="K318" s="111">
        <v>32.04</v>
      </c>
      <c r="L318" s="112">
        <v>63.374122807017542</v>
      </c>
      <c r="M318" s="15"/>
      <c r="N318" s="44"/>
    </row>
    <row r="319" spans="2:14" ht="18.75" customHeight="1" x14ac:dyDescent="0.3">
      <c r="B319" s="10"/>
      <c r="C319" s="182" t="s">
        <v>2485</v>
      </c>
      <c r="D319" s="118" t="s">
        <v>1959</v>
      </c>
      <c r="E319" s="107" t="s">
        <v>1960</v>
      </c>
      <c r="F319" s="107"/>
      <c r="G319" s="107"/>
      <c r="H319" s="108" t="s">
        <v>2447</v>
      </c>
      <c r="I319" s="107" t="s">
        <v>226</v>
      </c>
      <c r="J319" s="110">
        <v>0.45600000000000002</v>
      </c>
      <c r="K319" s="111">
        <v>11.481</v>
      </c>
      <c r="L319" s="112">
        <v>63.374122807017542</v>
      </c>
      <c r="M319" s="15"/>
      <c r="N319" s="44"/>
    </row>
    <row r="320" spans="2:14" ht="18.75" customHeight="1" x14ac:dyDescent="0.3">
      <c r="B320" s="10"/>
      <c r="C320" s="182" t="s">
        <v>2485</v>
      </c>
      <c r="D320" s="118" t="s">
        <v>338</v>
      </c>
      <c r="E320" s="107" t="s">
        <v>339</v>
      </c>
      <c r="F320" s="107"/>
      <c r="G320" s="120"/>
      <c r="H320" s="108" t="s">
        <v>2448</v>
      </c>
      <c r="I320" s="107" t="s">
        <v>226</v>
      </c>
      <c r="J320" s="110">
        <v>0.45600000000000002</v>
      </c>
      <c r="K320" s="111">
        <v>15.219000000000001</v>
      </c>
      <c r="L320" s="112">
        <v>63.374122807017542</v>
      </c>
      <c r="M320" s="15"/>
      <c r="N320" s="44"/>
    </row>
    <row r="321" spans="2:14" ht="18.75" customHeight="1" x14ac:dyDescent="0.3">
      <c r="B321" s="10"/>
      <c r="C321" s="182" t="s">
        <v>2485</v>
      </c>
      <c r="D321" s="106" t="s">
        <v>826</v>
      </c>
      <c r="E321" s="107" t="s">
        <v>827</v>
      </c>
      <c r="F321" s="107"/>
      <c r="G321" s="120"/>
      <c r="H321" s="108" t="s">
        <v>2455</v>
      </c>
      <c r="I321" s="107" t="s">
        <v>226</v>
      </c>
      <c r="J321" s="110">
        <v>0.45600000000000002</v>
      </c>
      <c r="K321" s="111">
        <v>26.878</v>
      </c>
      <c r="L321" s="112">
        <v>63.374122807017542</v>
      </c>
      <c r="M321" s="15"/>
      <c r="N321" s="44"/>
    </row>
    <row r="322" spans="2:14" ht="18.75" customHeight="1" x14ac:dyDescent="0.3">
      <c r="B322" s="10"/>
      <c r="C322" s="182" t="s">
        <v>2485</v>
      </c>
      <c r="D322" s="118" t="s">
        <v>444</v>
      </c>
      <c r="E322" s="107" t="s">
        <v>439</v>
      </c>
      <c r="F322" s="107" t="s">
        <v>445</v>
      </c>
      <c r="G322" s="107" t="s">
        <v>445</v>
      </c>
      <c r="H322" s="108" t="s">
        <v>2453</v>
      </c>
      <c r="I322" s="107" t="s">
        <v>226</v>
      </c>
      <c r="J322" s="110">
        <v>0.45600000000000002</v>
      </c>
      <c r="K322" s="111">
        <v>10.234999999999999</v>
      </c>
      <c r="L322" s="112">
        <v>63.374122807017542</v>
      </c>
      <c r="M322" s="15"/>
      <c r="N322" s="44"/>
    </row>
    <row r="323" spans="2:14" ht="18.75" customHeight="1" x14ac:dyDescent="0.3">
      <c r="B323" s="10"/>
      <c r="C323" s="182" t="s">
        <v>2485</v>
      </c>
      <c r="D323" s="118" t="s">
        <v>397</v>
      </c>
      <c r="E323" s="107" t="s">
        <v>398</v>
      </c>
      <c r="F323" s="107" t="s">
        <v>399</v>
      </c>
      <c r="G323" s="107"/>
      <c r="H323" s="108" t="s">
        <v>401</v>
      </c>
      <c r="I323" s="107" t="s">
        <v>226</v>
      </c>
      <c r="J323" s="110">
        <v>0.45600000000000002</v>
      </c>
      <c r="K323" s="111">
        <v>15.397</v>
      </c>
      <c r="L323" s="112">
        <v>63.374122807017542</v>
      </c>
      <c r="M323" s="15"/>
      <c r="N323" s="44"/>
    </row>
    <row r="324" spans="2:14" ht="18.75" customHeight="1" x14ac:dyDescent="0.3">
      <c r="B324" s="10"/>
      <c r="C324" s="182" t="s">
        <v>2485</v>
      </c>
      <c r="D324" s="106" t="s">
        <v>402</v>
      </c>
      <c r="E324" s="107" t="s">
        <v>398</v>
      </c>
      <c r="F324" s="107" t="s">
        <v>403</v>
      </c>
      <c r="G324" s="107"/>
      <c r="H324" s="108" t="s">
        <v>401</v>
      </c>
      <c r="I324" s="107" t="s">
        <v>226</v>
      </c>
      <c r="J324" s="110">
        <v>0.45600000000000002</v>
      </c>
      <c r="K324" s="111">
        <v>19.624500000000001</v>
      </c>
      <c r="L324" s="112">
        <v>63.374122807017542</v>
      </c>
      <c r="M324" s="15"/>
      <c r="N324" s="44"/>
    </row>
    <row r="325" spans="2:14" ht="18.75" customHeight="1" x14ac:dyDescent="0.3">
      <c r="B325" s="10"/>
      <c r="C325" s="182" t="s">
        <v>2485</v>
      </c>
      <c r="D325" s="118" t="s">
        <v>1974</v>
      </c>
      <c r="E325" s="107" t="s">
        <v>1975</v>
      </c>
      <c r="F325" s="107" t="s">
        <v>1976</v>
      </c>
      <c r="G325" s="107" t="s">
        <v>1976</v>
      </c>
      <c r="H325" s="108" t="s">
        <v>2446</v>
      </c>
      <c r="I325" s="107" t="s">
        <v>226</v>
      </c>
      <c r="J325" s="110">
        <v>0.45600000000000002</v>
      </c>
      <c r="K325" s="111">
        <v>8.9</v>
      </c>
      <c r="L325" s="112">
        <v>63.374122807017542</v>
      </c>
      <c r="M325" s="15"/>
      <c r="N325" s="44"/>
    </row>
    <row r="326" spans="2:14" ht="18.75" customHeight="1" x14ac:dyDescent="0.3">
      <c r="B326" s="10"/>
      <c r="C326" s="182" t="s">
        <v>2485</v>
      </c>
      <c r="D326" s="118" t="s">
        <v>1977</v>
      </c>
      <c r="E326" s="107" t="s">
        <v>423</v>
      </c>
      <c r="F326" s="107" t="s">
        <v>1978</v>
      </c>
      <c r="G326" s="120" t="s">
        <v>1978</v>
      </c>
      <c r="H326" s="108"/>
      <c r="I326" s="107" t="s">
        <v>226</v>
      </c>
      <c r="J326" s="110">
        <v>0.45600000000000002</v>
      </c>
      <c r="K326" s="111">
        <v>15.664000000000001</v>
      </c>
      <c r="L326" s="112">
        <v>63.374122807017542</v>
      </c>
      <c r="M326" s="15"/>
      <c r="N326" s="44"/>
    </row>
    <row r="327" spans="2:14" ht="18.75" customHeight="1" x14ac:dyDescent="0.3">
      <c r="B327" s="10"/>
      <c r="C327" s="182" t="s">
        <v>2485</v>
      </c>
      <c r="D327" s="118" t="s">
        <v>998</v>
      </c>
      <c r="E327" s="107" t="s">
        <v>999</v>
      </c>
      <c r="F327" s="107" t="s">
        <v>1000</v>
      </c>
      <c r="G327" s="120"/>
      <c r="H327" s="108" t="s">
        <v>2199</v>
      </c>
      <c r="I327" s="107" t="s">
        <v>226</v>
      </c>
      <c r="J327" s="110">
        <v>0.45450000000000002</v>
      </c>
      <c r="K327" s="111">
        <v>130.38499999999999</v>
      </c>
      <c r="L327" s="112">
        <v>63.578327832783273</v>
      </c>
      <c r="M327" s="15"/>
      <c r="N327" s="44"/>
    </row>
    <row r="328" spans="2:14" ht="18.75" customHeight="1" x14ac:dyDescent="0.3">
      <c r="B328" s="10"/>
      <c r="C328" s="182" t="s">
        <v>2485</v>
      </c>
      <c r="D328" s="118" t="s">
        <v>476</v>
      </c>
      <c r="E328" s="107" t="s">
        <v>477</v>
      </c>
      <c r="F328" s="107" t="s">
        <v>478</v>
      </c>
      <c r="G328" s="107" t="s">
        <v>140</v>
      </c>
      <c r="H328" s="108" t="s">
        <v>2314</v>
      </c>
      <c r="I328" s="107" t="s">
        <v>226</v>
      </c>
      <c r="J328" s="110">
        <v>0.45</v>
      </c>
      <c r="K328" s="111">
        <v>269.67</v>
      </c>
      <c r="L328" s="112">
        <v>64.199111111111108</v>
      </c>
      <c r="M328" s="15"/>
      <c r="N328" s="44"/>
    </row>
    <row r="329" spans="2:14" ht="18.75" customHeight="1" x14ac:dyDescent="0.3">
      <c r="B329" s="10"/>
      <c r="C329" s="182" t="s">
        <v>2485</v>
      </c>
      <c r="D329" s="118" t="s">
        <v>481</v>
      </c>
      <c r="E329" s="107" t="s">
        <v>477</v>
      </c>
      <c r="F329" s="107" t="s">
        <v>478</v>
      </c>
      <c r="G329" s="107" t="s">
        <v>139</v>
      </c>
      <c r="H329" s="108" t="s">
        <v>2315</v>
      </c>
      <c r="I329" s="107" t="s">
        <v>226</v>
      </c>
      <c r="J329" s="110">
        <v>0.45</v>
      </c>
      <c r="K329" s="111">
        <v>269.67</v>
      </c>
      <c r="L329" s="112">
        <v>64.199111111111108</v>
      </c>
      <c r="M329" s="15"/>
      <c r="N329" s="44"/>
    </row>
    <row r="330" spans="2:14" ht="18.75" customHeight="1" x14ac:dyDescent="0.3">
      <c r="B330" s="10"/>
      <c r="C330" s="182" t="s">
        <v>2485</v>
      </c>
      <c r="D330" s="118" t="s">
        <v>1210</v>
      </c>
      <c r="E330" s="107" t="s">
        <v>1186</v>
      </c>
      <c r="F330" s="107" t="s">
        <v>1211</v>
      </c>
      <c r="G330" s="120" t="s">
        <v>1213</v>
      </c>
      <c r="H330" s="108" t="s">
        <v>2324</v>
      </c>
      <c r="I330" s="107" t="s">
        <v>226</v>
      </c>
      <c r="J330" s="110">
        <v>0.45</v>
      </c>
      <c r="K330" s="111">
        <v>77.875</v>
      </c>
      <c r="L330" s="112">
        <v>64.199111111111108</v>
      </c>
      <c r="M330" s="15"/>
      <c r="N330" s="44"/>
    </row>
    <row r="331" spans="2:14" ht="18.75" customHeight="1" x14ac:dyDescent="0.3">
      <c r="B331" s="10"/>
      <c r="C331" s="182" t="s">
        <v>2485</v>
      </c>
      <c r="D331" s="106" t="s">
        <v>1312</v>
      </c>
      <c r="E331" s="107" t="s">
        <v>1313</v>
      </c>
      <c r="F331" s="107" t="s">
        <v>1314</v>
      </c>
      <c r="G331" s="121">
        <v>1</v>
      </c>
      <c r="H331" s="108" t="s">
        <v>2223</v>
      </c>
      <c r="I331" s="107" t="s">
        <v>226</v>
      </c>
      <c r="J331" s="110">
        <v>0.45</v>
      </c>
      <c r="K331" s="111">
        <v>70.933000000000007</v>
      </c>
      <c r="L331" s="112">
        <v>64.199111111111108</v>
      </c>
      <c r="M331" s="15"/>
      <c r="N331" s="44"/>
    </row>
    <row r="332" spans="2:14" ht="18.75" customHeight="1" x14ac:dyDescent="0.3">
      <c r="B332" s="10"/>
      <c r="C332" s="182" t="s">
        <v>2485</v>
      </c>
      <c r="D332" s="118" t="s">
        <v>1316</v>
      </c>
      <c r="E332" s="107" t="s">
        <v>1313</v>
      </c>
      <c r="F332" s="121" t="s">
        <v>1317</v>
      </c>
      <c r="G332" s="109">
        <v>1</v>
      </c>
      <c r="H332" s="108" t="s">
        <v>2224</v>
      </c>
      <c r="I332" s="107" t="s">
        <v>226</v>
      </c>
      <c r="J332" s="110">
        <v>0.45</v>
      </c>
      <c r="K332" s="111">
        <v>87.131</v>
      </c>
      <c r="L332" s="112">
        <v>64.199111111111108</v>
      </c>
      <c r="M332" s="15"/>
      <c r="N332" s="44"/>
    </row>
    <row r="333" spans="2:14" ht="18.75" customHeight="1" x14ac:dyDescent="0.3">
      <c r="B333" s="10"/>
      <c r="C333" s="182" t="s">
        <v>2485</v>
      </c>
      <c r="D333" s="118" t="s">
        <v>1318</v>
      </c>
      <c r="E333" s="107" t="s">
        <v>1313</v>
      </c>
      <c r="F333" s="107" t="s">
        <v>1319</v>
      </c>
      <c r="G333" s="107">
        <v>1</v>
      </c>
      <c r="H333" s="108" t="s">
        <v>2225</v>
      </c>
      <c r="I333" s="107" t="s">
        <v>226</v>
      </c>
      <c r="J333" s="110">
        <v>0.45</v>
      </c>
      <c r="K333" s="111">
        <v>87.131</v>
      </c>
      <c r="L333" s="112">
        <v>64.199111111111108</v>
      </c>
      <c r="M333" s="15"/>
      <c r="N333" s="44"/>
    </row>
    <row r="334" spans="2:14" ht="18.75" customHeight="1" x14ac:dyDescent="0.3">
      <c r="B334" s="10"/>
      <c r="C334" s="182" t="s">
        <v>2485</v>
      </c>
      <c r="D334" s="106" t="s">
        <v>1478</v>
      </c>
      <c r="E334" s="107" t="s">
        <v>1475</v>
      </c>
      <c r="F334" s="107" t="s">
        <v>1475</v>
      </c>
      <c r="G334" s="107" t="s">
        <v>1479</v>
      </c>
      <c r="H334" s="108" t="s">
        <v>2238</v>
      </c>
      <c r="I334" s="107" t="s">
        <v>226</v>
      </c>
      <c r="J334" s="110">
        <v>0.45</v>
      </c>
      <c r="K334" s="111">
        <v>36.668000000000006</v>
      </c>
      <c r="L334" s="112">
        <v>64.199111111111108</v>
      </c>
      <c r="M334" s="15"/>
      <c r="N334" s="44"/>
    </row>
    <row r="335" spans="2:14" ht="18.75" customHeight="1" x14ac:dyDescent="0.3">
      <c r="B335" s="10"/>
      <c r="C335" s="182" t="s">
        <v>2485</v>
      </c>
      <c r="D335" s="118" t="s">
        <v>1160</v>
      </c>
      <c r="E335" s="107" t="s">
        <v>1080</v>
      </c>
      <c r="F335" s="107" t="s">
        <v>1161</v>
      </c>
      <c r="G335" s="107"/>
      <c r="H335" s="108" t="s">
        <v>2027</v>
      </c>
      <c r="I335" s="110" t="s">
        <v>3</v>
      </c>
      <c r="J335" s="110">
        <v>0.33</v>
      </c>
      <c r="K335" s="111">
        <v>80.34</v>
      </c>
      <c r="L335" s="112">
        <v>64.391515151515151</v>
      </c>
      <c r="M335" s="15"/>
      <c r="N335" s="44"/>
    </row>
    <row r="336" spans="2:14" ht="18.75" customHeight="1" x14ac:dyDescent="0.3">
      <c r="B336" s="10"/>
      <c r="C336" s="182" t="s">
        <v>2485</v>
      </c>
      <c r="D336" s="118" t="s">
        <v>106</v>
      </c>
      <c r="E336" s="120" t="s">
        <v>107</v>
      </c>
      <c r="F336" s="107"/>
      <c r="G336" s="107"/>
      <c r="H336" s="108" t="s">
        <v>1985</v>
      </c>
      <c r="I336" s="107" t="s">
        <v>226</v>
      </c>
      <c r="J336" s="110">
        <v>0.442</v>
      </c>
      <c r="K336" s="111">
        <v>9.5229999999999997</v>
      </c>
      <c r="L336" s="112">
        <v>65.333936651583713</v>
      </c>
      <c r="M336" s="15"/>
      <c r="N336" s="44"/>
    </row>
    <row r="337" spans="2:14" ht="18.75" customHeight="1" x14ac:dyDescent="0.3">
      <c r="B337" s="10"/>
      <c r="C337" s="182" t="s">
        <v>2485</v>
      </c>
      <c r="D337" s="106" t="s">
        <v>1310</v>
      </c>
      <c r="E337" s="107" t="s">
        <v>1311</v>
      </c>
      <c r="F337" s="107"/>
      <c r="G337" s="120"/>
      <c r="H337" s="108" t="s">
        <v>2457</v>
      </c>
      <c r="I337" s="107" t="s">
        <v>226</v>
      </c>
      <c r="J337" s="110">
        <v>0.442</v>
      </c>
      <c r="K337" s="111">
        <v>30.170999999999999</v>
      </c>
      <c r="L337" s="112">
        <v>65.333936651583713</v>
      </c>
      <c r="M337" s="15"/>
      <c r="N337" s="44"/>
    </row>
    <row r="338" spans="2:14" ht="18.75" customHeight="1" x14ac:dyDescent="0.3">
      <c r="B338" s="10"/>
      <c r="C338" s="182" t="s">
        <v>2485</v>
      </c>
      <c r="D338" s="106" t="s">
        <v>1072</v>
      </c>
      <c r="E338" s="107" t="s">
        <v>117</v>
      </c>
      <c r="F338" s="107" t="s">
        <v>1073</v>
      </c>
      <c r="G338" s="107" t="s">
        <v>1074</v>
      </c>
      <c r="H338" s="108" t="s">
        <v>2205</v>
      </c>
      <c r="I338" s="107" t="s">
        <v>226</v>
      </c>
      <c r="J338" s="110">
        <v>0.44059999999999999</v>
      </c>
      <c r="K338" s="111">
        <v>12.46</v>
      </c>
      <c r="L338" s="112">
        <v>65.536768043576942</v>
      </c>
      <c r="M338" s="15"/>
      <c r="N338" s="44"/>
    </row>
    <row r="339" spans="2:14" ht="18.75" customHeight="1" x14ac:dyDescent="0.3">
      <c r="B339" s="10"/>
      <c r="C339" s="182" t="s">
        <v>2485</v>
      </c>
      <c r="D339" s="106" t="s">
        <v>906</v>
      </c>
      <c r="E339" s="107" t="s">
        <v>128</v>
      </c>
      <c r="F339" s="107" t="s">
        <v>907</v>
      </c>
      <c r="G339" s="120" t="s">
        <v>907</v>
      </c>
      <c r="H339" s="108" t="s">
        <v>2099</v>
      </c>
      <c r="I339" s="107" t="s">
        <v>2</v>
      </c>
      <c r="J339" s="110">
        <v>0.20080000000000001</v>
      </c>
      <c r="K339" s="111">
        <v>85.26</v>
      </c>
      <c r="L339" s="112">
        <v>66.632270916334662</v>
      </c>
      <c r="M339" s="15"/>
      <c r="N339" s="44"/>
    </row>
    <row r="340" spans="2:14" ht="18.75" customHeight="1" x14ac:dyDescent="0.3">
      <c r="B340" s="10"/>
      <c r="C340" s="182" t="s">
        <v>2485</v>
      </c>
      <c r="D340" s="106" t="s">
        <v>1381</v>
      </c>
      <c r="E340" s="107" t="s">
        <v>278</v>
      </c>
      <c r="F340" s="107" t="s">
        <v>1380</v>
      </c>
      <c r="G340" s="120">
        <v>2</v>
      </c>
      <c r="H340" s="108" t="s">
        <v>2053</v>
      </c>
      <c r="I340" s="107" t="s">
        <v>226</v>
      </c>
      <c r="J340" s="110">
        <v>0.432</v>
      </c>
      <c r="K340" s="111">
        <v>391.6</v>
      </c>
      <c r="L340" s="112">
        <v>66.811574074074073</v>
      </c>
      <c r="M340" s="15"/>
      <c r="N340" s="44"/>
    </row>
    <row r="341" spans="2:14" ht="18.75" customHeight="1" x14ac:dyDescent="0.3">
      <c r="B341" s="10"/>
      <c r="C341" s="182" t="s">
        <v>2485</v>
      </c>
      <c r="D341" s="106" t="s">
        <v>1079</v>
      </c>
      <c r="E341" s="107" t="s">
        <v>1080</v>
      </c>
      <c r="F341" s="110" t="s">
        <v>1081</v>
      </c>
      <c r="G341" s="110"/>
      <c r="H341" s="108" t="s">
        <v>2025</v>
      </c>
      <c r="I341" s="107" t="s">
        <v>3</v>
      </c>
      <c r="J341" s="110">
        <v>0.3175</v>
      </c>
      <c r="K341" s="111">
        <v>20.28</v>
      </c>
      <c r="L341" s="112">
        <v>66.875433070866151</v>
      </c>
      <c r="M341" s="15"/>
      <c r="N341" s="44"/>
    </row>
    <row r="342" spans="2:14" ht="18.75" customHeight="1" x14ac:dyDescent="0.3">
      <c r="B342" s="10"/>
      <c r="C342" s="182" t="s">
        <v>2485</v>
      </c>
      <c r="D342" s="106" t="s">
        <v>986</v>
      </c>
      <c r="E342" s="120" t="s">
        <v>987</v>
      </c>
      <c r="F342" s="107"/>
      <c r="G342" s="107"/>
      <c r="H342" s="108" t="s">
        <v>2276</v>
      </c>
      <c r="I342" s="107" t="s">
        <v>226</v>
      </c>
      <c r="J342" s="110">
        <v>0.42799999999999999</v>
      </c>
      <c r="K342" s="111">
        <v>11.747999999999999</v>
      </c>
      <c r="L342" s="112">
        <v>67.421962616822427</v>
      </c>
      <c r="M342" s="15"/>
      <c r="N342" s="44"/>
    </row>
    <row r="343" spans="2:14" ht="18.75" customHeight="1" x14ac:dyDescent="0.3">
      <c r="B343" s="10"/>
      <c r="C343" s="182" t="s">
        <v>2485</v>
      </c>
      <c r="D343" s="118" t="s">
        <v>1164</v>
      </c>
      <c r="E343" s="107" t="s">
        <v>160</v>
      </c>
      <c r="F343" s="107" t="s">
        <v>1165</v>
      </c>
      <c r="G343" s="120" t="s">
        <v>1167</v>
      </c>
      <c r="H343" s="108" t="s">
        <v>1788</v>
      </c>
      <c r="I343" s="107" t="s">
        <v>226</v>
      </c>
      <c r="J343" s="110">
        <v>0.42299999999999999</v>
      </c>
      <c r="K343" s="111">
        <v>103.24</v>
      </c>
      <c r="L343" s="112">
        <v>68.201182033096927</v>
      </c>
      <c r="M343" s="15"/>
      <c r="N343" s="44"/>
    </row>
    <row r="344" spans="2:14" ht="18.75" customHeight="1" x14ac:dyDescent="0.3">
      <c r="B344" s="10"/>
      <c r="C344" s="182" t="s">
        <v>2485</v>
      </c>
      <c r="D344" s="118" t="s">
        <v>1172</v>
      </c>
      <c r="E344" s="107" t="s">
        <v>160</v>
      </c>
      <c r="F344" s="107" t="s">
        <v>1165</v>
      </c>
      <c r="G344" s="107" t="s">
        <v>1173</v>
      </c>
      <c r="H344" s="108" t="s">
        <v>1788</v>
      </c>
      <c r="I344" s="107" t="s">
        <v>226</v>
      </c>
      <c r="J344" s="110">
        <v>0.42299999999999999</v>
      </c>
      <c r="K344" s="111">
        <v>319.51</v>
      </c>
      <c r="L344" s="112">
        <v>68.201182033096927</v>
      </c>
      <c r="M344" s="15"/>
      <c r="N344" s="44"/>
    </row>
    <row r="345" spans="2:14" ht="18.75" customHeight="1" x14ac:dyDescent="0.3">
      <c r="B345" s="10"/>
      <c r="C345" s="182" t="s">
        <v>2485</v>
      </c>
      <c r="D345" s="106" t="s">
        <v>1670</v>
      </c>
      <c r="E345" s="107" t="s">
        <v>1671</v>
      </c>
      <c r="F345" s="120" t="s">
        <v>1672</v>
      </c>
      <c r="G345" s="107"/>
      <c r="H345" s="108" t="s">
        <v>2259</v>
      </c>
      <c r="I345" s="107" t="s">
        <v>96</v>
      </c>
      <c r="J345" s="110">
        <v>0.41639999999999999</v>
      </c>
      <c r="K345" s="111">
        <v>17.355</v>
      </c>
      <c r="L345" s="112">
        <v>68.758405379442848</v>
      </c>
      <c r="M345" s="15"/>
      <c r="N345" s="44"/>
    </row>
    <row r="346" spans="2:14" ht="18.75" customHeight="1" x14ac:dyDescent="0.3">
      <c r="B346" s="10"/>
      <c r="C346" s="182" t="s">
        <v>2485</v>
      </c>
      <c r="D346" s="106" t="s">
        <v>1168</v>
      </c>
      <c r="E346" s="120" t="s">
        <v>160</v>
      </c>
      <c r="F346" s="120" t="s">
        <v>1165</v>
      </c>
      <c r="G346" s="120" t="s">
        <v>1169</v>
      </c>
      <c r="H346" s="108" t="s">
        <v>2117</v>
      </c>
      <c r="I346" s="107" t="s">
        <v>226</v>
      </c>
      <c r="J346" s="110">
        <v>0.41849999999999998</v>
      </c>
      <c r="K346" s="111">
        <v>103.24</v>
      </c>
      <c r="L346" s="112">
        <v>68.918399044205501</v>
      </c>
      <c r="M346" s="15"/>
      <c r="N346" s="44"/>
    </row>
    <row r="347" spans="2:14" ht="18.75" customHeight="1" x14ac:dyDescent="0.3">
      <c r="B347" s="10"/>
      <c r="C347" s="182" t="s">
        <v>2485</v>
      </c>
      <c r="D347" s="106" t="s">
        <v>1170</v>
      </c>
      <c r="E347" s="107" t="s">
        <v>160</v>
      </c>
      <c r="F347" s="107" t="s">
        <v>1165</v>
      </c>
      <c r="G347" s="107" t="s">
        <v>1171</v>
      </c>
      <c r="H347" s="108" t="s">
        <v>2117</v>
      </c>
      <c r="I347" s="107" t="s">
        <v>226</v>
      </c>
      <c r="J347" s="110">
        <v>0.41849999999999998</v>
      </c>
      <c r="K347" s="111">
        <v>319.51</v>
      </c>
      <c r="L347" s="112">
        <v>68.918399044205501</v>
      </c>
      <c r="M347" s="15"/>
      <c r="N347" s="44"/>
    </row>
    <row r="348" spans="2:14" ht="18.75" customHeight="1" x14ac:dyDescent="0.3">
      <c r="B348" s="10"/>
      <c r="C348" s="182" t="s">
        <v>2485</v>
      </c>
      <c r="D348" s="106" t="s">
        <v>1379</v>
      </c>
      <c r="E348" s="107" t="s">
        <v>278</v>
      </c>
      <c r="F348" s="107" t="s">
        <v>1380</v>
      </c>
      <c r="G348" s="120">
        <v>1</v>
      </c>
      <c r="H348" s="123" t="s">
        <v>2117</v>
      </c>
      <c r="I348" s="107" t="s">
        <v>226</v>
      </c>
      <c r="J348" s="110">
        <v>0.41849999999999998</v>
      </c>
      <c r="K348" s="111">
        <v>340.87</v>
      </c>
      <c r="L348" s="112">
        <v>68.918399044205501</v>
      </c>
      <c r="M348" s="15"/>
      <c r="N348" s="44"/>
    </row>
    <row r="349" spans="2:14" ht="18.75" customHeight="1" x14ac:dyDescent="0.3">
      <c r="B349" s="10"/>
      <c r="C349" s="182" t="s">
        <v>2485</v>
      </c>
      <c r="D349" s="106" t="s">
        <v>1829</v>
      </c>
      <c r="E349" s="120" t="s">
        <v>160</v>
      </c>
      <c r="F349" s="107" t="s">
        <v>161</v>
      </c>
      <c r="G349" s="120" t="s">
        <v>1830</v>
      </c>
      <c r="H349" s="108" t="s">
        <v>2117</v>
      </c>
      <c r="I349" s="107" t="s">
        <v>226</v>
      </c>
      <c r="J349" s="110">
        <v>0.41849999999999998</v>
      </c>
      <c r="K349" s="111">
        <v>48.95</v>
      </c>
      <c r="L349" s="112">
        <v>68.918399044205501</v>
      </c>
      <c r="M349" s="15"/>
      <c r="N349" s="44"/>
    </row>
    <row r="350" spans="2:14" ht="18.75" customHeight="1" x14ac:dyDescent="0.3">
      <c r="B350" s="10"/>
      <c r="C350" s="182" t="s">
        <v>2485</v>
      </c>
      <c r="D350" s="118" t="s">
        <v>1831</v>
      </c>
      <c r="E350" s="107" t="s">
        <v>160</v>
      </c>
      <c r="F350" s="110" t="s">
        <v>161</v>
      </c>
      <c r="G350" s="129" t="s">
        <v>1832</v>
      </c>
      <c r="H350" s="108" t="s">
        <v>2117</v>
      </c>
      <c r="I350" s="107" t="s">
        <v>226</v>
      </c>
      <c r="J350" s="110">
        <v>0.41849999999999998</v>
      </c>
      <c r="K350" s="111">
        <v>48.95</v>
      </c>
      <c r="L350" s="112">
        <v>68.918399044205501</v>
      </c>
      <c r="M350" s="15"/>
      <c r="N350" s="44"/>
    </row>
    <row r="351" spans="2:14" ht="18.75" customHeight="1" x14ac:dyDescent="0.3">
      <c r="B351" s="10"/>
      <c r="C351" s="182" t="s">
        <v>2485</v>
      </c>
      <c r="D351" s="118" t="s">
        <v>1833</v>
      </c>
      <c r="E351" s="117" t="s">
        <v>160</v>
      </c>
      <c r="F351" s="110" t="s">
        <v>161</v>
      </c>
      <c r="G351" s="110" t="s">
        <v>1834</v>
      </c>
      <c r="H351" s="108" t="s">
        <v>2117</v>
      </c>
      <c r="I351" s="107" t="s">
        <v>226</v>
      </c>
      <c r="J351" s="110">
        <v>0.41849999999999998</v>
      </c>
      <c r="K351" s="111">
        <v>315.95</v>
      </c>
      <c r="L351" s="112">
        <v>68.918399044205501</v>
      </c>
      <c r="M351" s="15"/>
      <c r="N351" s="44"/>
    </row>
    <row r="352" spans="2:14" ht="18.75" customHeight="1" x14ac:dyDescent="0.3">
      <c r="B352" s="10"/>
      <c r="C352" s="182" t="s">
        <v>2485</v>
      </c>
      <c r="D352" s="106" t="s">
        <v>920</v>
      </c>
      <c r="E352" s="107" t="s">
        <v>918</v>
      </c>
      <c r="F352" s="120" t="s">
        <v>921</v>
      </c>
      <c r="G352" s="120"/>
      <c r="H352" s="108" t="s">
        <v>2193</v>
      </c>
      <c r="I352" s="107" t="s">
        <v>96</v>
      </c>
      <c r="J352" s="110">
        <v>0.41120000000000001</v>
      </c>
      <c r="K352" s="111">
        <v>85.885000000000005</v>
      </c>
      <c r="L352" s="112">
        <v>69.615272373540847</v>
      </c>
      <c r="M352" s="15"/>
      <c r="N352" s="44"/>
    </row>
    <row r="353" spans="2:14" ht="18.75" customHeight="1" x14ac:dyDescent="0.3">
      <c r="B353" s="10"/>
      <c r="C353" s="182" t="s">
        <v>2485</v>
      </c>
      <c r="D353" s="118" t="s">
        <v>1682</v>
      </c>
      <c r="E353" s="107" t="s">
        <v>1683</v>
      </c>
      <c r="F353" s="107" t="s">
        <v>1684</v>
      </c>
      <c r="G353" s="120" t="s">
        <v>1687</v>
      </c>
      <c r="H353" s="108" t="s">
        <v>2261</v>
      </c>
      <c r="I353" s="107" t="s">
        <v>96</v>
      </c>
      <c r="J353" s="110">
        <v>0.41120000000000001</v>
      </c>
      <c r="K353" s="111">
        <v>27.340799999999998</v>
      </c>
      <c r="L353" s="112">
        <v>69.615272373540847</v>
      </c>
      <c r="M353" s="15"/>
      <c r="N353" s="44"/>
    </row>
    <row r="354" spans="2:14" ht="18.75" customHeight="1" x14ac:dyDescent="0.3">
      <c r="B354" s="10"/>
      <c r="C354" s="182" t="s">
        <v>2485</v>
      </c>
      <c r="D354" s="106" t="s">
        <v>433</v>
      </c>
      <c r="E354" s="107" t="s">
        <v>434</v>
      </c>
      <c r="F354" s="120"/>
      <c r="G354" s="120"/>
      <c r="H354" s="108" t="s">
        <v>436</v>
      </c>
      <c r="I354" s="107" t="s">
        <v>226</v>
      </c>
      <c r="J354" s="110">
        <v>0.41399999999999998</v>
      </c>
      <c r="K354" s="111">
        <v>14.24</v>
      </c>
      <c r="L354" s="112">
        <v>69.651207729468595</v>
      </c>
      <c r="M354" s="15"/>
      <c r="N354" s="44"/>
    </row>
    <row r="355" spans="2:14" ht="18.75" customHeight="1" x14ac:dyDescent="0.3">
      <c r="B355" s="10"/>
      <c r="C355" s="182" t="s">
        <v>2485</v>
      </c>
      <c r="D355" s="106" t="s">
        <v>281</v>
      </c>
      <c r="E355" s="120" t="s">
        <v>282</v>
      </c>
      <c r="F355" s="107" t="s">
        <v>283</v>
      </c>
      <c r="G355" s="120" t="s">
        <v>285</v>
      </c>
      <c r="H355" s="108" t="s">
        <v>2135</v>
      </c>
      <c r="I355" s="107" t="s">
        <v>226</v>
      </c>
      <c r="J355" s="110">
        <v>0.40949999999999998</v>
      </c>
      <c r="K355" s="111">
        <v>17.8</v>
      </c>
      <c r="L355" s="112">
        <v>70.400122100122104</v>
      </c>
      <c r="M355" s="15"/>
      <c r="N355" s="44"/>
    </row>
    <row r="356" spans="2:14" ht="18.75" customHeight="1" x14ac:dyDescent="0.3">
      <c r="B356" s="10"/>
      <c r="C356" s="182" t="s">
        <v>2485</v>
      </c>
      <c r="D356" s="106" t="s">
        <v>1916</v>
      </c>
      <c r="E356" s="120" t="s">
        <v>1917</v>
      </c>
      <c r="F356" s="107" t="s">
        <v>1918</v>
      </c>
      <c r="G356" s="107" t="s">
        <v>1920</v>
      </c>
      <c r="H356" s="108" t="s">
        <v>2026</v>
      </c>
      <c r="I356" s="107" t="s">
        <v>226</v>
      </c>
      <c r="J356" s="110">
        <v>0.40949999999999998</v>
      </c>
      <c r="K356" s="111">
        <v>20.47</v>
      </c>
      <c r="L356" s="112">
        <v>70.400122100122104</v>
      </c>
      <c r="M356" s="15"/>
      <c r="N356" s="44"/>
    </row>
    <row r="357" spans="2:14" ht="18.75" customHeight="1" x14ac:dyDescent="0.3">
      <c r="B357" s="10"/>
      <c r="C357" s="182" t="s">
        <v>2485</v>
      </c>
      <c r="D357" s="106" t="s">
        <v>657</v>
      </c>
      <c r="E357" s="107" t="s">
        <v>519</v>
      </c>
      <c r="F357" s="120" t="s">
        <v>658</v>
      </c>
      <c r="G357" s="107" t="s">
        <v>659</v>
      </c>
      <c r="H357" s="108" t="s">
        <v>2171</v>
      </c>
      <c r="I357" s="107" t="s">
        <v>226</v>
      </c>
      <c r="J357" s="110">
        <v>0.40479999999999999</v>
      </c>
      <c r="K357" s="111">
        <v>34.443000000000005</v>
      </c>
      <c r="L357" s="112">
        <v>71.20009881422925</v>
      </c>
      <c r="M357" s="15"/>
      <c r="N357" s="44"/>
    </row>
    <row r="358" spans="2:14" ht="18.75" customHeight="1" x14ac:dyDescent="0.3">
      <c r="B358" s="10"/>
      <c r="C358" s="182" t="s">
        <v>2485</v>
      </c>
      <c r="D358" s="118" t="s">
        <v>1970</v>
      </c>
      <c r="E358" s="107" t="s">
        <v>40</v>
      </c>
      <c r="F358" s="107" t="s">
        <v>1971</v>
      </c>
      <c r="G358" s="107" t="s">
        <v>1972</v>
      </c>
      <c r="H358" s="108" t="s">
        <v>2283</v>
      </c>
      <c r="I358" s="107" t="s">
        <v>226</v>
      </c>
      <c r="J358" s="110">
        <v>0.40479999999999999</v>
      </c>
      <c r="K358" s="111">
        <v>25.944389999999999</v>
      </c>
      <c r="L358" s="112">
        <v>71.20009881422925</v>
      </c>
      <c r="M358" s="15"/>
      <c r="N358" s="44"/>
    </row>
    <row r="359" spans="2:14" ht="18.75" customHeight="1" x14ac:dyDescent="0.3">
      <c r="B359" s="10"/>
      <c r="C359" s="182" t="s">
        <v>2485</v>
      </c>
      <c r="D359" s="118" t="s">
        <v>169</v>
      </c>
      <c r="E359" s="107" t="s">
        <v>163</v>
      </c>
      <c r="F359" s="107" t="s">
        <v>170</v>
      </c>
      <c r="G359" s="120" t="s">
        <v>170</v>
      </c>
      <c r="H359" s="108" t="s">
        <v>2124</v>
      </c>
      <c r="I359" s="107" t="s">
        <v>226</v>
      </c>
      <c r="J359" s="110">
        <v>0.4037</v>
      </c>
      <c r="K359" s="111">
        <v>145.96</v>
      </c>
      <c r="L359" s="112">
        <v>71.390017339608619</v>
      </c>
      <c r="M359" s="15"/>
      <c r="N359" s="44"/>
    </row>
    <row r="360" spans="2:14" ht="18.75" customHeight="1" x14ac:dyDescent="0.3">
      <c r="B360" s="10"/>
      <c r="C360" s="182" t="s">
        <v>2485</v>
      </c>
      <c r="D360" s="118" t="s">
        <v>721</v>
      </c>
      <c r="E360" s="107" t="s">
        <v>722</v>
      </c>
      <c r="F360" s="107" t="s">
        <v>723</v>
      </c>
      <c r="G360" s="120"/>
      <c r="H360" s="108" t="s">
        <v>2178</v>
      </c>
      <c r="I360" s="107" t="s">
        <v>226</v>
      </c>
      <c r="J360" s="123">
        <v>0.4037</v>
      </c>
      <c r="K360" s="111">
        <v>26.7</v>
      </c>
      <c r="L360" s="112">
        <v>71.390017339608619</v>
      </c>
      <c r="M360" s="15"/>
      <c r="N360" s="44"/>
    </row>
    <row r="361" spans="2:14" ht="18.75" customHeight="1" x14ac:dyDescent="0.3">
      <c r="B361" s="10"/>
      <c r="C361" s="182" t="s">
        <v>2485</v>
      </c>
      <c r="D361" s="118" t="s">
        <v>1100</v>
      </c>
      <c r="E361" s="107" t="s">
        <v>622</v>
      </c>
      <c r="F361" s="107" t="s">
        <v>1101</v>
      </c>
      <c r="G361" s="364" t="s">
        <v>1104</v>
      </c>
      <c r="H361" s="108" t="s">
        <v>2208</v>
      </c>
      <c r="I361" s="107" t="s">
        <v>226</v>
      </c>
      <c r="J361" s="110">
        <v>0.4037</v>
      </c>
      <c r="K361" s="111">
        <v>9.0779999999999994</v>
      </c>
      <c r="L361" s="112">
        <v>71.390017339608619</v>
      </c>
      <c r="M361" s="15"/>
      <c r="N361" s="44"/>
    </row>
    <row r="362" spans="2:14" ht="18.75" customHeight="1" x14ac:dyDescent="0.3">
      <c r="B362" s="10"/>
      <c r="C362" s="182" t="s">
        <v>2485</v>
      </c>
      <c r="D362" s="118" t="s">
        <v>422</v>
      </c>
      <c r="E362" s="107" t="s">
        <v>423</v>
      </c>
      <c r="F362" s="107" t="s">
        <v>424</v>
      </c>
      <c r="G362" s="120" t="s">
        <v>427</v>
      </c>
      <c r="H362" s="108" t="s">
        <v>2148</v>
      </c>
      <c r="I362" s="107" t="s">
        <v>226</v>
      </c>
      <c r="J362" s="110">
        <v>0.4037</v>
      </c>
      <c r="K362" s="111">
        <v>14.24</v>
      </c>
      <c r="L362" s="112">
        <v>71.390017339608619</v>
      </c>
      <c r="M362" s="15"/>
      <c r="N362" s="44"/>
    </row>
    <row r="363" spans="2:14" ht="18.75" customHeight="1" x14ac:dyDescent="0.3">
      <c r="B363" s="10"/>
      <c r="C363" s="182" t="s">
        <v>2485</v>
      </c>
      <c r="D363" s="106" t="s">
        <v>1267</v>
      </c>
      <c r="E363" s="130" t="s">
        <v>1260</v>
      </c>
      <c r="F363" s="107" t="s">
        <v>1268</v>
      </c>
      <c r="G363" s="120">
        <v>1</v>
      </c>
      <c r="H363" s="108" t="s">
        <v>2221</v>
      </c>
      <c r="I363" s="107" t="s">
        <v>226</v>
      </c>
      <c r="J363" s="110">
        <v>0.40260000000000001</v>
      </c>
      <c r="K363" s="111">
        <v>54.0764</v>
      </c>
      <c r="L363" s="112">
        <v>71.580973671137599</v>
      </c>
      <c r="M363" s="15"/>
      <c r="N363" s="44"/>
    </row>
    <row r="364" spans="2:14" ht="18.75" customHeight="1" x14ac:dyDescent="0.3">
      <c r="B364" s="10"/>
      <c r="C364" s="182" t="s">
        <v>2485</v>
      </c>
      <c r="D364" s="106" t="s">
        <v>1021</v>
      </c>
      <c r="E364" s="107" t="s">
        <v>1013</v>
      </c>
      <c r="F364" s="120" t="s">
        <v>1022</v>
      </c>
      <c r="G364" s="120" t="s">
        <v>1023</v>
      </c>
      <c r="H364" s="108" t="s">
        <v>2204</v>
      </c>
      <c r="I364" s="107" t="s">
        <v>226</v>
      </c>
      <c r="J364" s="110">
        <v>0.40260000000000001</v>
      </c>
      <c r="K364" s="111">
        <v>409.31099999999998</v>
      </c>
      <c r="L364" s="112">
        <v>71.580973671137599</v>
      </c>
      <c r="M364" s="15"/>
      <c r="N364" s="44"/>
    </row>
    <row r="365" spans="2:14" ht="18.75" customHeight="1" x14ac:dyDescent="0.3">
      <c r="B365" s="10"/>
      <c r="C365" s="182" t="s">
        <v>2485</v>
      </c>
      <c r="D365" s="106" t="s">
        <v>1599</v>
      </c>
      <c r="E365" s="107" t="s">
        <v>1600</v>
      </c>
      <c r="F365" s="107" t="s">
        <v>1601</v>
      </c>
      <c r="G365" s="120"/>
      <c r="H365" s="108" t="s">
        <v>2255</v>
      </c>
      <c r="I365" s="107" t="s">
        <v>226</v>
      </c>
      <c r="J365" s="110">
        <v>0.40260000000000001</v>
      </c>
      <c r="K365" s="111">
        <v>19.580000000000002</v>
      </c>
      <c r="L365" s="112">
        <v>71.580973671137599</v>
      </c>
      <c r="M365" s="15"/>
      <c r="N365" s="44"/>
    </row>
    <row r="366" spans="2:14" ht="18.75" customHeight="1" x14ac:dyDescent="0.3">
      <c r="B366" s="10"/>
      <c r="C366" s="182" t="s">
        <v>2485</v>
      </c>
      <c r="D366" s="106" t="s">
        <v>1521</v>
      </c>
      <c r="E366" s="107" t="s">
        <v>423</v>
      </c>
      <c r="F366" s="107" t="s">
        <v>1519</v>
      </c>
      <c r="G366" s="107"/>
      <c r="H366" s="108" t="s">
        <v>2242</v>
      </c>
      <c r="I366" s="107" t="s">
        <v>226</v>
      </c>
      <c r="J366" s="110">
        <v>0.40260000000000001</v>
      </c>
      <c r="K366" s="111">
        <v>2.3584999999999998</v>
      </c>
      <c r="L366" s="112">
        <v>71.580973671137599</v>
      </c>
      <c r="M366" s="15"/>
      <c r="N366" s="44"/>
    </row>
    <row r="367" spans="2:14" ht="18.75" customHeight="1" x14ac:dyDescent="0.3">
      <c r="B367" s="10"/>
      <c r="C367" s="182" t="s">
        <v>2485</v>
      </c>
      <c r="D367" s="106" t="s">
        <v>1968</v>
      </c>
      <c r="E367" s="120" t="s">
        <v>630</v>
      </c>
      <c r="F367" s="120" t="s">
        <v>1969</v>
      </c>
      <c r="G367" s="107"/>
      <c r="H367" s="108" t="s">
        <v>2138</v>
      </c>
      <c r="I367" s="107" t="s">
        <v>226</v>
      </c>
      <c r="J367" s="110">
        <v>0.40260000000000001</v>
      </c>
      <c r="K367" s="111">
        <v>25.81</v>
      </c>
      <c r="L367" s="112">
        <v>71.580973671137599</v>
      </c>
      <c r="M367" s="15"/>
      <c r="N367" s="44"/>
    </row>
    <row r="368" spans="2:14" ht="18.75" customHeight="1" x14ac:dyDescent="0.3">
      <c r="B368" s="10"/>
      <c r="C368" s="182" t="s">
        <v>2485</v>
      </c>
      <c r="D368" s="118" t="s">
        <v>1618</v>
      </c>
      <c r="E368" s="107" t="s">
        <v>1614</v>
      </c>
      <c r="F368" s="107" t="s">
        <v>1619</v>
      </c>
      <c r="G368" s="129" t="s">
        <v>1620</v>
      </c>
      <c r="H368" s="108" t="s">
        <v>2256</v>
      </c>
      <c r="I368" s="107" t="s">
        <v>226</v>
      </c>
      <c r="J368" s="110">
        <v>0.40039999999999998</v>
      </c>
      <c r="K368" s="111">
        <v>67.64</v>
      </c>
      <c r="L368" s="112">
        <v>71.966033966033962</v>
      </c>
      <c r="M368" s="15"/>
      <c r="N368" s="44"/>
    </row>
    <row r="369" spans="2:14" ht="18.75" customHeight="1" x14ac:dyDescent="0.3">
      <c r="B369" s="10"/>
      <c r="C369" s="182" t="s">
        <v>2485</v>
      </c>
      <c r="D369" s="118" t="s">
        <v>848</v>
      </c>
      <c r="E369" s="107" t="s">
        <v>256</v>
      </c>
      <c r="F369" s="107" t="s">
        <v>849</v>
      </c>
      <c r="G369" s="107" t="s">
        <v>852</v>
      </c>
      <c r="H369" s="108" t="s">
        <v>2187</v>
      </c>
      <c r="I369" s="107" t="s">
        <v>226</v>
      </c>
      <c r="J369" s="110">
        <v>0.40039999999999998</v>
      </c>
      <c r="K369" s="111">
        <v>16.820999999999998</v>
      </c>
      <c r="L369" s="112">
        <v>71.966033966033962</v>
      </c>
      <c r="M369" s="15"/>
      <c r="N369" s="44"/>
    </row>
    <row r="370" spans="2:14" ht="18.75" customHeight="1" x14ac:dyDescent="0.3">
      <c r="B370" s="10"/>
      <c r="C370" s="182" t="s">
        <v>2485</v>
      </c>
      <c r="D370" s="106" t="s">
        <v>1874</v>
      </c>
      <c r="E370" s="107" t="s">
        <v>124</v>
      </c>
      <c r="F370" s="120" t="s">
        <v>1875</v>
      </c>
      <c r="G370" s="120"/>
      <c r="H370" s="108" t="s">
        <v>2279</v>
      </c>
      <c r="I370" s="107" t="s">
        <v>226</v>
      </c>
      <c r="J370" s="110">
        <v>0.40039999999999998</v>
      </c>
      <c r="K370" s="111">
        <v>9.2560000000000002</v>
      </c>
      <c r="L370" s="112">
        <v>71.966033966033962</v>
      </c>
      <c r="M370" s="15"/>
      <c r="N370" s="44"/>
    </row>
    <row r="371" spans="2:14" ht="18.75" customHeight="1" x14ac:dyDescent="0.3">
      <c r="B371" s="10"/>
      <c r="C371" s="182" t="s">
        <v>2485</v>
      </c>
      <c r="D371" s="118" t="s">
        <v>1332</v>
      </c>
      <c r="E371" s="107" t="s">
        <v>1326</v>
      </c>
      <c r="F371" s="107" t="s">
        <v>1333</v>
      </c>
      <c r="G371" s="119"/>
      <c r="H371" s="108" t="s">
        <v>2228</v>
      </c>
      <c r="I371" s="107" t="s">
        <v>226</v>
      </c>
      <c r="J371" s="110">
        <v>0.40039999999999998</v>
      </c>
      <c r="K371" s="111">
        <v>14.952000000000002</v>
      </c>
      <c r="L371" s="112">
        <v>71.966033966033962</v>
      </c>
      <c r="M371" s="15"/>
      <c r="N371" s="44"/>
    </row>
    <row r="372" spans="2:14" ht="18.75" customHeight="1" x14ac:dyDescent="0.3">
      <c r="B372" s="10"/>
      <c r="C372" s="182" t="s">
        <v>2485</v>
      </c>
      <c r="D372" s="118" t="s">
        <v>1603</v>
      </c>
      <c r="E372" s="107" t="s">
        <v>1604</v>
      </c>
      <c r="F372" s="107" t="s">
        <v>1605</v>
      </c>
      <c r="G372" s="107" t="s">
        <v>1607</v>
      </c>
      <c r="H372" s="108" t="s">
        <v>2326</v>
      </c>
      <c r="I372" s="107" t="s">
        <v>226</v>
      </c>
      <c r="J372" s="110">
        <v>0.4</v>
      </c>
      <c r="K372" s="111">
        <v>84.105000000000004</v>
      </c>
      <c r="L372" s="112">
        <v>72.03649999999999</v>
      </c>
      <c r="M372" s="15"/>
      <c r="N372" s="44"/>
    </row>
    <row r="373" spans="2:14" ht="18.75" customHeight="1" x14ac:dyDescent="0.3">
      <c r="B373" s="10"/>
      <c r="C373" s="182" t="s">
        <v>2485</v>
      </c>
      <c r="D373" s="106" t="s">
        <v>67</v>
      </c>
      <c r="E373" s="107"/>
      <c r="F373" s="107"/>
      <c r="G373" s="120"/>
      <c r="H373" s="108" t="s">
        <v>2449</v>
      </c>
      <c r="I373" s="107" t="s">
        <v>226</v>
      </c>
      <c r="J373" s="110">
        <v>0.4</v>
      </c>
      <c r="K373" s="111">
        <v>24.875499999999999</v>
      </c>
      <c r="L373" s="112">
        <v>72.03649999999999</v>
      </c>
      <c r="M373" s="15"/>
      <c r="N373" s="44"/>
    </row>
    <row r="374" spans="2:14" ht="18.75" customHeight="1" x14ac:dyDescent="0.3">
      <c r="B374" s="10"/>
      <c r="C374" s="182" t="s">
        <v>2485</v>
      </c>
      <c r="D374" s="106" t="s">
        <v>893</v>
      </c>
      <c r="E374" s="107" t="s">
        <v>894</v>
      </c>
      <c r="F374" s="107"/>
      <c r="G374" s="120"/>
      <c r="H374" s="108" t="s">
        <v>554</v>
      </c>
      <c r="I374" s="107" t="s">
        <v>226</v>
      </c>
      <c r="J374" s="123">
        <v>0.4</v>
      </c>
      <c r="K374" s="111">
        <v>17.355</v>
      </c>
      <c r="L374" s="112">
        <v>72.03649999999999</v>
      </c>
      <c r="M374" s="15"/>
      <c r="N374" s="44"/>
    </row>
    <row r="375" spans="2:14" ht="18.75" customHeight="1" x14ac:dyDescent="0.3">
      <c r="B375" s="10"/>
      <c r="C375" s="182" t="s">
        <v>2485</v>
      </c>
      <c r="D375" s="118" t="s">
        <v>243</v>
      </c>
      <c r="E375" s="107" t="s">
        <v>244</v>
      </c>
      <c r="F375" s="119" t="s">
        <v>245</v>
      </c>
      <c r="G375" s="124"/>
      <c r="H375" s="108" t="s">
        <v>2131</v>
      </c>
      <c r="I375" s="107" t="s">
        <v>226</v>
      </c>
      <c r="J375" s="110">
        <v>0.39929999999999999</v>
      </c>
      <c r="K375" s="111">
        <v>39.160000000000004</v>
      </c>
      <c r="L375" s="112">
        <v>72.160155271725515</v>
      </c>
      <c r="M375" s="15"/>
      <c r="N375" s="44"/>
    </row>
    <row r="376" spans="2:14" ht="18.75" customHeight="1" x14ac:dyDescent="0.3">
      <c r="B376" s="10"/>
      <c r="C376" s="182" t="s">
        <v>2485</v>
      </c>
      <c r="D376" s="118" t="s">
        <v>264</v>
      </c>
      <c r="E376" s="107" t="s">
        <v>261</v>
      </c>
      <c r="F376" s="107" t="s">
        <v>262</v>
      </c>
      <c r="G376" s="107" t="s">
        <v>262</v>
      </c>
      <c r="H376" s="108" t="s">
        <v>2133</v>
      </c>
      <c r="I376" s="107" t="s">
        <v>226</v>
      </c>
      <c r="J376" s="110">
        <v>0.39929999999999999</v>
      </c>
      <c r="K376" s="111">
        <v>84.55</v>
      </c>
      <c r="L376" s="112">
        <v>72.160155271725515</v>
      </c>
      <c r="M376" s="15"/>
      <c r="N376" s="44"/>
    </row>
    <row r="377" spans="2:14" ht="18.75" customHeight="1" x14ac:dyDescent="0.3">
      <c r="B377" s="10"/>
      <c r="C377" s="182" t="s">
        <v>2485</v>
      </c>
      <c r="D377" s="118" t="s">
        <v>1488</v>
      </c>
      <c r="E377" s="107" t="s">
        <v>875</v>
      </c>
      <c r="F377" s="107" t="s">
        <v>1489</v>
      </c>
      <c r="G377" s="129" t="s">
        <v>1489</v>
      </c>
      <c r="H377" s="108" t="s">
        <v>2028</v>
      </c>
      <c r="I377" s="107" t="s">
        <v>226</v>
      </c>
      <c r="J377" s="110">
        <v>0.39929999999999999</v>
      </c>
      <c r="K377" s="111">
        <v>31.150000000000002</v>
      </c>
      <c r="L377" s="112">
        <v>72.160155271725515</v>
      </c>
      <c r="M377" s="15"/>
      <c r="N377" s="44"/>
    </row>
    <row r="378" spans="2:14" ht="18.75" customHeight="1" x14ac:dyDescent="0.3">
      <c r="B378" s="10"/>
      <c r="C378" s="182" t="s">
        <v>2485</v>
      </c>
      <c r="D378" s="106" t="s">
        <v>1491</v>
      </c>
      <c r="E378" s="107" t="s">
        <v>875</v>
      </c>
      <c r="F378" s="107" t="s">
        <v>1489</v>
      </c>
      <c r="G378" s="120" t="s">
        <v>1489</v>
      </c>
      <c r="H378" s="108" t="s">
        <v>2028</v>
      </c>
      <c r="I378" s="107" t="s">
        <v>226</v>
      </c>
      <c r="J378" s="110">
        <v>0.39929999999999999</v>
      </c>
      <c r="K378" s="111">
        <v>15.13</v>
      </c>
      <c r="L378" s="112">
        <v>72.160155271725515</v>
      </c>
      <c r="M378" s="15"/>
      <c r="N378" s="44"/>
    </row>
    <row r="379" spans="2:14" ht="18.75" customHeight="1" x14ac:dyDescent="0.3">
      <c r="B379" s="10"/>
      <c r="C379" s="182" t="s">
        <v>2485</v>
      </c>
      <c r="D379" s="118" t="s">
        <v>1657</v>
      </c>
      <c r="E379" s="107" t="s">
        <v>512</v>
      </c>
      <c r="F379" s="107" t="s">
        <v>1658</v>
      </c>
      <c r="G379" s="107" t="s">
        <v>1660</v>
      </c>
      <c r="H379" s="108" t="s">
        <v>2258</v>
      </c>
      <c r="I379" s="107" t="s">
        <v>226</v>
      </c>
      <c r="J379" s="110">
        <v>0.39929999999999999</v>
      </c>
      <c r="K379" s="111">
        <v>84.55</v>
      </c>
      <c r="L379" s="112">
        <v>72.160155271725515</v>
      </c>
      <c r="M379" s="15"/>
      <c r="N379" s="44"/>
    </row>
    <row r="380" spans="2:14" ht="18.75" customHeight="1" x14ac:dyDescent="0.3">
      <c r="B380" s="10"/>
      <c r="C380" s="182" t="s">
        <v>2485</v>
      </c>
      <c r="D380" s="118" t="s">
        <v>1867</v>
      </c>
      <c r="E380" s="107" t="s">
        <v>512</v>
      </c>
      <c r="F380" s="107" t="s">
        <v>1868</v>
      </c>
      <c r="G380" s="120"/>
      <c r="H380" s="108" t="s">
        <v>2277</v>
      </c>
      <c r="I380" s="107" t="s">
        <v>226</v>
      </c>
      <c r="J380" s="110">
        <v>0.39929999999999999</v>
      </c>
      <c r="K380" s="111">
        <v>11.605599999999999</v>
      </c>
      <c r="L380" s="112">
        <v>72.160155271725515</v>
      </c>
      <c r="M380" s="15"/>
      <c r="N380" s="44"/>
    </row>
    <row r="381" spans="2:14" ht="18.75" customHeight="1" x14ac:dyDescent="0.3">
      <c r="B381" s="10"/>
      <c r="C381" s="182" t="s">
        <v>2485</v>
      </c>
      <c r="D381" s="118" t="s">
        <v>1182</v>
      </c>
      <c r="E381" s="107" t="s">
        <v>1183</v>
      </c>
      <c r="F381" s="107" t="s">
        <v>1184</v>
      </c>
      <c r="G381" s="120"/>
      <c r="H381" s="108" t="s">
        <v>2131</v>
      </c>
      <c r="I381" s="107" t="s">
        <v>226</v>
      </c>
      <c r="J381" s="110">
        <v>0.39929999999999999</v>
      </c>
      <c r="K381" s="111">
        <v>33.82</v>
      </c>
      <c r="L381" s="112">
        <v>72.160155271725515</v>
      </c>
      <c r="M381" s="15"/>
      <c r="N381" s="44"/>
    </row>
    <row r="382" spans="2:14" ht="18.75" customHeight="1" x14ac:dyDescent="0.3">
      <c r="B382" s="10"/>
      <c r="C382" s="182" t="s">
        <v>2485</v>
      </c>
      <c r="D382" s="106" t="s">
        <v>671</v>
      </c>
      <c r="E382" s="107" t="s">
        <v>672</v>
      </c>
      <c r="F382" s="120" t="s">
        <v>673</v>
      </c>
      <c r="G382" s="120"/>
      <c r="H382" s="108" t="s">
        <v>2172</v>
      </c>
      <c r="I382" s="107" t="s">
        <v>226</v>
      </c>
      <c r="J382" s="110">
        <v>0.39929999999999999</v>
      </c>
      <c r="K382" s="111">
        <v>11.910869999999999</v>
      </c>
      <c r="L382" s="112">
        <v>72.160155271725515</v>
      </c>
      <c r="M382" s="15"/>
      <c r="N382" s="44"/>
    </row>
    <row r="383" spans="2:14" ht="18.75" customHeight="1" x14ac:dyDescent="0.3">
      <c r="B383" s="10"/>
      <c r="C383" s="182" t="s">
        <v>2485</v>
      </c>
      <c r="D383" s="106" t="s">
        <v>551</v>
      </c>
      <c r="E383" s="107" t="s">
        <v>278</v>
      </c>
      <c r="F383" s="115" t="s">
        <v>552</v>
      </c>
      <c r="G383" s="107"/>
      <c r="H383" s="108" t="s">
        <v>554</v>
      </c>
      <c r="I383" s="107" t="s">
        <v>96</v>
      </c>
      <c r="J383" s="110">
        <v>0.39560000000000001</v>
      </c>
      <c r="K383" s="111">
        <v>285.69</v>
      </c>
      <c r="L383" s="112">
        <v>72.321031344792715</v>
      </c>
      <c r="M383" s="15"/>
      <c r="N383" s="44"/>
    </row>
    <row r="384" spans="2:14" ht="18.75" customHeight="1" x14ac:dyDescent="0.3">
      <c r="B384" s="10"/>
      <c r="C384" s="182" t="s">
        <v>2485</v>
      </c>
      <c r="D384" s="106" t="s">
        <v>610</v>
      </c>
      <c r="E384" s="107" t="s">
        <v>128</v>
      </c>
      <c r="F384" s="120" t="s">
        <v>603</v>
      </c>
      <c r="G384" s="120" t="s">
        <v>611</v>
      </c>
      <c r="H384" s="108" t="s">
        <v>2169</v>
      </c>
      <c r="I384" s="107" t="s">
        <v>96</v>
      </c>
      <c r="J384" s="110">
        <v>0.39560000000000001</v>
      </c>
      <c r="K384" s="111">
        <v>178</v>
      </c>
      <c r="L384" s="112">
        <v>72.321031344792715</v>
      </c>
      <c r="M384" s="15"/>
      <c r="N384" s="44"/>
    </row>
    <row r="385" spans="2:14" ht="18.75" customHeight="1" x14ac:dyDescent="0.3">
      <c r="B385" s="10"/>
      <c r="C385" s="182" t="s">
        <v>2485</v>
      </c>
      <c r="D385" s="106" t="s">
        <v>612</v>
      </c>
      <c r="E385" s="107" t="s">
        <v>128</v>
      </c>
      <c r="F385" s="107" t="s">
        <v>603</v>
      </c>
      <c r="G385" s="107" t="s">
        <v>613</v>
      </c>
      <c r="H385" s="108" t="s">
        <v>2170</v>
      </c>
      <c r="I385" s="107" t="s">
        <v>96</v>
      </c>
      <c r="J385" s="110">
        <v>0.39560000000000001</v>
      </c>
      <c r="K385" s="111">
        <v>178</v>
      </c>
      <c r="L385" s="112">
        <v>72.321031344792715</v>
      </c>
      <c r="M385" s="15"/>
      <c r="N385" s="44"/>
    </row>
    <row r="386" spans="2:14" ht="18.75" customHeight="1" x14ac:dyDescent="0.3">
      <c r="B386" s="10"/>
      <c r="C386" s="182" t="s">
        <v>2485</v>
      </c>
      <c r="D386" s="106" t="s">
        <v>1588</v>
      </c>
      <c r="E386" s="107" t="s">
        <v>1589</v>
      </c>
      <c r="F386" s="120" t="s">
        <v>1590</v>
      </c>
      <c r="G386" s="107"/>
      <c r="H386" s="108" t="s">
        <v>2254</v>
      </c>
      <c r="I386" s="107" t="s">
        <v>226</v>
      </c>
      <c r="J386" s="110">
        <v>0.3982</v>
      </c>
      <c r="K386" s="111">
        <v>34.362900000000003</v>
      </c>
      <c r="L386" s="112">
        <v>72.355349070818676</v>
      </c>
      <c r="M386" s="15"/>
      <c r="N386" s="44"/>
    </row>
    <row r="387" spans="2:14" ht="18.75" customHeight="1" x14ac:dyDescent="0.3">
      <c r="B387" s="10"/>
      <c r="C387" s="182" t="s">
        <v>2485</v>
      </c>
      <c r="D387" s="118" t="s">
        <v>684</v>
      </c>
      <c r="E387" s="107" t="s">
        <v>685</v>
      </c>
      <c r="F387" s="107" t="s">
        <v>686</v>
      </c>
      <c r="G387" s="107"/>
      <c r="H387" s="108" t="s">
        <v>2175</v>
      </c>
      <c r="I387" s="107" t="s">
        <v>226</v>
      </c>
      <c r="J387" s="110">
        <v>0.3982</v>
      </c>
      <c r="K387" s="111">
        <v>23.318000000000001</v>
      </c>
      <c r="L387" s="112">
        <v>72.355349070818676</v>
      </c>
      <c r="M387" s="15"/>
      <c r="N387" s="44"/>
    </row>
    <row r="388" spans="2:14" ht="18.75" customHeight="1" x14ac:dyDescent="0.3">
      <c r="B388" s="10"/>
      <c r="C388" s="182" t="s">
        <v>2485</v>
      </c>
      <c r="D388" s="106" t="s">
        <v>511</v>
      </c>
      <c r="E388" s="107" t="s">
        <v>512</v>
      </c>
      <c r="F388" s="107" t="s">
        <v>513</v>
      </c>
      <c r="G388" s="120"/>
      <c r="H388" s="108" t="s">
        <v>2159</v>
      </c>
      <c r="I388" s="107" t="s">
        <v>226</v>
      </c>
      <c r="J388" s="110">
        <v>0.3982</v>
      </c>
      <c r="K388" s="111">
        <v>18.779</v>
      </c>
      <c r="L388" s="112">
        <v>72.355349070818676</v>
      </c>
      <c r="M388" s="15"/>
      <c r="N388" s="44"/>
    </row>
    <row r="389" spans="2:14" ht="18.75" customHeight="1" x14ac:dyDescent="0.3">
      <c r="B389" s="10"/>
      <c r="C389" s="182" t="s">
        <v>2485</v>
      </c>
      <c r="D389" s="118" t="s">
        <v>1518</v>
      </c>
      <c r="E389" s="107" t="s">
        <v>423</v>
      </c>
      <c r="F389" s="107" t="s">
        <v>1519</v>
      </c>
      <c r="G389" s="120"/>
      <c r="H389" s="108" t="s">
        <v>2241</v>
      </c>
      <c r="I389" s="107" t="s">
        <v>226</v>
      </c>
      <c r="J389" s="110">
        <v>0.3982</v>
      </c>
      <c r="K389" s="111">
        <v>9.4339999999999993</v>
      </c>
      <c r="L389" s="112">
        <v>72.355349070818676</v>
      </c>
      <c r="M389" s="15"/>
      <c r="N389" s="44"/>
    </row>
    <row r="390" spans="2:14" ht="18.75" customHeight="1" x14ac:dyDescent="0.3">
      <c r="B390" s="10"/>
      <c r="C390" s="182" t="s">
        <v>2485</v>
      </c>
      <c r="D390" s="106" t="s">
        <v>1076</v>
      </c>
      <c r="E390" s="107" t="s">
        <v>1077</v>
      </c>
      <c r="F390" s="107" t="s">
        <v>1078</v>
      </c>
      <c r="G390" s="120"/>
      <c r="H390" s="108" t="s">
        <v>2067</v>
      </c>
      <c r="I390" s="107" t="s">
        <v>226</v>
      </c>
      <c r="J390" s="110">
        <v>0.39710000000000001</v>
      </c>
      <c r="K390" s="111">
        <v>11.214</v>
      </c>
      <c r="L390" s="112">
        <v>72.551624276001007</v>
      </c>
      <c r="M390" s="15"/>
      <c r="N390" s="44"/>
    </row>
    <row r="391" spans="2:14" ht="18.75" customHeight="1" x14ac:dyDescent="0.3">
      <c r="B391" s="10"/>
      <c r="C391" s="182" t="s">
        <v>2485</v>
      </c>
      <c r="D391" s="118" t="s">
        <v>547</v>
      </c>
      <c r="E391" s="107" t="s">
        <v>548</v>
      </c>
      <c r="F391" s="119" t="s">
        <v>544</v>
      </c>
      <c r="G391" s="124" t="s">
        <v>549</v>
      </c>
      <c r="H391" s="108" t="s">
        <v>2146</v>
      </c>
      <c r="I391" s="107" t="s">
        <v>226</v>
      </c>
      <c r="J391" s="110">
        <v>0.39600000000000002</v>
      </c>
      <c r="K391" s="111">
        <v>49.84</v>
      </c>
      <c r="L391" s="112">
        <v>72.74898989898989</v>
      </c>
      <c r="M391" s="15"/>
      <c r="N391" s="44"/>
    </row>
    <row r="392" spans="2:14" ht="18.75" customHeight="1" x14ac:dyDescent="0.3">
      <c r="B392" s="10"/>
      <c r="C392" s="182" t="s">
        <v>2485</v>
      </c>
      <c r="D392" s="118" t="s">
        <v>1609</v>
      </c>
      <c r="E392" s="107" t="s">
        <v>1604</v>
      </c>
      <c r="F392" s="107" t="s">
        <v>1605</v>
      </c>
      <c r="G392" s="110" t="s">
        <v>653</v>
      </c>
      <c r="H392" s="108" t="s">
        <v>2327</v>
      </c>
      <c r="I392" s="107" t="s">
        <v>226</v>
      </c>
      <c r="J392" s="110">
        <v>0.39600000000000002</v>
      </c>
      <c r="K392" s="111">
        <v>86.33</v>
      </c>
      <c r="L392" s="112">
        <v>72.74898989898989</v>
      </c>
      <c r="M392" s="15"/>
      <c r="N392" s="44"/>
    </row>
    <row r="393" spans="2:14" ht="18.75" customHeight="1" x14ac:dyDescent="0.3">
      <c r="B393" s="10"/>
      <c r="C393" s="182" t="s">
        <v>2485</v>
      </c>
      <c r="D393" s="106" t="s">
        <v>1610</v>
      </c>
      <c r="E393" s="107" t="s">
        <v>1604</v>
      </c>
      <c r="F393" s="107" t="s">
        <v>1605</v>
      </c>
      <c r="G393" s="107" t="s">
        <v>469</v>
      </c>
      <c r="H393" s="108" t="s">
        <v>2328</v>
      </c>
      <c r="I393" s="107" t="s">
        <v>226</v>
      </c>
      <c r="J393" s="110">
        <v>0.39600000000000002</v>
      </c>
      <c r="K393" s="111">
        <v>86.33</v>
      </c>
      <c r="L393" s="112">
        <v>72.74898989898989</v>
      </c>
      <c r="M393" s="15"/>
      <c r="N393" s="44"/>
    </row>
    <row r="394" spans="2:14" ht="18.75" customHeight="1" x14ac:dyDescent="0.3">
      <c r="B394" s="10"/>
      <c r="C394" s="182" t="s">
        <v>2485</v>
      </c>
      <c r="D394" s="118" t="s">
        <v>414</v>
      </c>
      <c r="E394" s="107" t="s">
        <v>415</v>
      </c>
      <c r="F394" s="107" t="s">
        <v>416</v>
      </c>
      <c r="G394" s="107"/>
      <c r="H394" s="108" t="s">
        <v>2313</v>
      </c>
      <c r="I394" s="107" t="s">
        <v>226</v>
      </c>
      <c r="J394" s="110">
        <v>0.39600000000000002</v>
      </c>
      <c r="K394" s="111">
        <v>75.650000000000006</v>
      </c>
      <c r="L394" s="112">
        <v>72.74898989898989</v>
      </c>
      <c r="M394" s="15"/>
      <c r="N394" s="44"/>
    </row>
    <row r="395" spans="2:14" ht="18.75" customHeight="1" x14ac:dyDescent="0.3">
      <c r="B395" s="10"/>
      <c r="C395" s="182" t="s">
        <v>2485</v>
      </c>
      <c r="D395" s="118" t="s">
        <v>1018</v>
      </c>
      <c r="E395" s="107" t="s">
        <v>1013</v>
      </c>
      <c r="F395" s="107" t="s">
        <v>1014</v>
      </c>
      <c r="G395" s="120" t="s">
        <v>319</v>
      </c>
      <c r="H395" s="108" t="s">
        <v>2202</v>
      </c>
      <c r="I395" s="107" t="s">
        <v>226</v>
      </c>
      <c r="J395" s="110">
        <v>0.39600000000000002</v>
      </c>
      <c r="K395" s="111">
        <v>13.795</v>
      </c>
      <c r="L395" s="112">
        <v>72.74898989898989</v>
      </c>
      <c r="M395" s="15"/>
      <c r="N395" s="44"/>
    </row>
    <row r="396" spans="2:14" ht="18.75" customHeight="1" x14ac:dyDescent="0.3">
      <c r="B396" s="10"/>
      <c r="C396" s="182" t="s">
        <v>2485</v>
      </c>
      <c r="D396" s="106" t="s">
        <v>1203</v>
      </c>
      <c r="E396" s="120" t="s">
        <v>641</v>
      </c>
      <c r="F396" s="107" t="s">
        <v>1204</v>
      </c>
      <c r="G396" s="107" t="s">
        <v>1206</v>
      </c>
      <c r="H396" s="108" t="s">
        <v>2217</v>
      </c>
      <c r="I396" s="107" t="s">
        <v>226</v>
      </c>
      <c r="J396" s="110">
        <v>0.39379999999999998</v>
      </c>
      <c r="K396" s="111">
        <v>11.125</v>
      </c>
      <c r="L396" s="112">
        <v>73.147028948704929</v>
      </c>
      <c r="M396" s="15"/>
      <c r="N396" s="44"/>
    </row>
    <row r="397" spans="2:14" ht="18.75" customHeight="1" x14ac:dyDescent="0.3">
      <c r="B397" s="10"/>
      <c r="C397" s="182" t="s">
        <v>2485</v>
      </c>
      <c r="D397" s="118" t="s">
        <v>94</v>
      </c>
      <c r="E397" s="107" t="s">
        <v>95</v>
      </c>
      <c r="F397" s="110" t="s">
        <v>96</v>
      </c>
      <c r="G397" s="110" t="s">
        <v>99</v>
      </c>
      <c r="H397" s="108" t="s">
        <v>2120</v>
      </c>
      <c r="I397" s="107" t="s">
        <v>96</v>
      </c>
      <c r="J397" s="110">
        <v>0.39040000000000002</v>
      </c>
      <c r="K397" s="111">
        <v>27.323</v>
      </c>
      <c r="L397" s="112">
        <v>73.271004098360649</v>
      </c>
      <c r="M397" s="15"/>
      <c r="N397" s="44"/>
    </row>
    <row r="398" spans="2:14" ht="18.75" customHeight="1" x14ac:dyDescent="0.3">
      <c r="B398" s="10"/>
      <c r="C398" s="182" t="s">
        <v>2485</v>
      </c>
      <c r="D398" s="106" t="s">
        <v>556</v>
      </c>
      <c r="E398" s="107" t="s">
        <v>557</v>
      </c>
      <c r="F398" s="107" t="s">
        <v>558</v>
      </c>
      <c r="G398" s="107"/>
      <c r="H398" s="108" t="s">
        <v>2163</v>
      </c>
      <c r="I398" s="107" t="s">
        <v>226</v>
      </c>
      <c r="J398" s="110">
        <v>0.39269999999999999</v>
      </c>
      <c r="K398" s="111">
        <v>50.730000000000004</v>
      </c>
      <c r="L398" s="112">
        <v>73.347720906544438</v>
      </c>
      <c r="M398" s="15"/>
      <c r="N398" s="44"/>
    </row>
    <row r="399" spans="2:14" ht="18.75" customHeight="1" x14ac:dyDescent="0.3">
      <c r="B399" s="10"/>
      <c r="C399" s="182" t="s">
        <v>2485</v>
      </c>
      <c r="D399" s="118" t="s">
        <v>1895</v>
      </c>
      <c r="E399" s="107" t="s">
        <v>557</v>
      </c>
      <c r="F399" s="107" t="s">
        <v>1896</v>
      </c>
      <c r="G399" s="120"/>
      <c r="H399" s="108" t="s">
        <v>2281</v>
      </c>
      <c r="I399" s="107" t="s">
        <v>226</v>
      </c>
      <c r="J399" s="110">
        <v>0.39269999999999999</v>
      </c>
      <c r="K399" s="111">
        <v>52.51</v>
      </c>
      <c r="L399" s="112">
        <v>73.347720906544438</v>
      </c>
      <c r="M399" s="15"/>
      <c r="N399" s="44"/>
    </row>
    <row r="400" spans="2:14" ht="18.75" customHeight="1" x14ac:dyDescent="0.3">
      <c r="B400" s="10"/>
      <c r="C400" s="182" t="s">
        <v>2485</v>
      </c>
      <c r="D400" s="106" t="s">
        <v>1854</v>
      </c>
      <c r="E400" s="107" t="s">
        <v>1852</v>
      </c>
      <c r="F400" s="120" t="s">
        <v>1853</v>
      </c>
      <c r="G400" s="107" t="s">
        <v>653</v>
      </c>
      <c r="H400" s="108" t="s">
        <v>2275</v>
      </c>
      <c r="I400" s="107" t="s">
        <v>226</v>
      </c>
      <c r="J400" s="110">
        <v>0.3916</v>
      </c>
      <c r="K400" s="111">
        <v>22.263349999999999</v>
      </c>
      <c r="L400" s="112">
        <v>73.54954034729316</v>
      </c>
      <c r="M400" s="15"/>
      <c r="N400" s="44"/>
    </row>
    <row r="401" spans="2:14" ht="18.75" customHeight="1" x14ac:dyDescent="0.3">
      <c r="B401" s="10"/>
      <c r="C401" s="182" t="s">
        <v>2485</v>
      </c>
      <c r="D401" s="106" t="s">
        <v>763</v>
      </c>
      <c r="E401" s="107" t="s">
        <v>764</v>
      </c>
      <c r="F401" s="107" t="s">
        <v>765</v>
      </c>
      <c r="G401" s="120" t="s">
        <v>768</v>
      </c>
      <c r="H401" s="108" t="s">
        <v>2180</v>
      </c>
      <c r="I401" s="107" t="s">
        <v>226</v>
      </c>
      <c r="J401" s="110">
        <v>0.39050000000000001</v>
      </c>
      <c r="K401" s="111">
        <v>86.33</v>
      </c>
      <c r="L401" s="112">
        <v>73.75249679897567</v>
      </c>
      <c r="M401" s="15"/>
      <c r="N401" s="44"/>
    </row>
    <row r="402" spans="2:14" ht="18.75" customHeight="1" x14ac:dyDescent="0.3">
      <c r="B402" s="10"/>
      <c r="C402" s="182" t="s">
        <v>2485</v>
      </c>
      <c r="D402" s="118" t="s">
        <v>991</v>
      </c>
      <c r="E402" s="107" t="s">
        <v>992</v>
      </c>
      <c r="F402" s="107" t="s">
        <v>993</v>
      </c>
      <c r="G402" s="120"/>
      <c r="H402" s="108" t="s">
        <v>2198</v>
      </c>
      <c r="I402" s="107" t="s">
        <v>226</v>
      </c>
      <c r="J402" s="110">
        <v>0.39050000000000001</v>
      </c>
      <c r="K402" s="111">
        <v>19.135000000000002</v>
      </c>
      <c r="L402" s="112">
        <v>73.75249679897567</v>
      </c>
      <c r="M402" s="15"/>
      <c r="N402" s="44"/>
    </row>
    <row r="403" spans="2:14" ht="18.75" customHeight="1" x14ac:dyDescent="0.3">
      <c r="B403" s="10"/>
      <c r="C403" s="182" t="s">
        <v>2485</v>
      </c>
      <c r="D403" s="106" t="s">
        <v>371</v>
      </c>
      <c r="E403" s="117" t="s">
        <v>372</v>
      </c>
      <c r="F403" s="107" t="s">
        <v>373</v>
      </c>
      <c r="G403" s="120" t="s">
        <v>376</v>
      </c>
      <c r="H403" s="108" t="s">
        <v>2144</v>
      </c>
      <c r="I403" s="107" t="s">
        <v>226</v>
      </c>
      <c r="J403" s="110">
        <v>0.39050000000000001</v>
      </c>
      <c r="K403" s="111">
        <v>0.78320000000000001</v>
      </c>
      <c r="L403" s="112">
        <v>73.75249679897567</v>
      </c>
      <c r="M403" s="15"/>
      <c r="N403" s="44"/>
    </row>
    <row r="404" spans="2:14" ht="18.75" customHeight="1" x14ac:dyDescent="0.3">
      <c r="B404" s="10"/>
      <c r="C404" s="182" t="s">
        <v>2485</v>
      </c>
      <c r="D404" s="118" t="s">
        <v>430</v>
      </c>
      <c r="E404" s="107" t="s">
        <v>160</v>
      </c>
      <c r="F404" s="107" t="s">
        <v>431</v>
      </c>
      <c r="G404" s="120" t="s">
        <v>432</v>
      </c>
      <c r="H404" s="108" t="s">
        <v>2150</v>
      </c>
      <c r="I404" s="107" t="s">
        <v>226</v>
      </c>
      <c r="J404" s="110">
        <v>0.38940000000000002</v>
      </c>
      <c r="K404" s="111">
        <v>23.14</v>
      </c>
      <c r="L404" s="112">
        <v>73.956599897277869</v>
      </c>
      <c r="M404" s="15"/>
      <c r="N404" s="44"/>
    </row>
    <row r="405" spans="2:14" ht="18.75" customHeight="1" x14ac:dyDescent="0.3">
      <c r="B405" s="10"/>
      <c r="C405" s="182" t="s">
        <v>2485</v>
      </c>
      <c r="D405" s="118" t="s">
        <v>650</v>
      </c>
      <c r="E405" s="107" t="s">
        <v>519</v>
      </c>
      <c r="F405" s="107" t="s">
        <v>651</v>
      </c>
      <c r="G405" s="120" t="s">
        <v>653</v>
      </c>
      <c r="H405" s="108" t="s">
        <v>1984</v>
      </c>
      <c r="I405" s="107" t="s">
        <v>226</v>
      </c>
      <c r="J405" s="110">
        <v>0.38940000000000002</v>
      </c>
      <c r="K405" s="111">
        <v>62.300000000000004</v>
      </c>
      <c r="L405" s="112">
        <v>73.956599897277869</v>
      </c>
      <c r="M405" s="15"/>
      <c r="N405" s="44"/>
    </row>
    <row r="406" spans="2:14" ht="18.75" customHeight="1" x14ac:dyDescent="0.3">
      <c r="B406" s="10"/>
      <c r="C406" s="182" t="s">
        <v>2485</v>
      </c>
      <c r="D406" s="118" t="s">
        <v>1328</v>
      </c>
      <c r="E406" s="107" t="s">
        <v>1329</v>
      </c>
      <c r="F406" s="122" t="s">
        <v>1330</v>
      </c>
      <c r="G406" s="120" t="s">
        <v>1331</v>
      </c>
      <c r="H406" s="108" t="s">
        <v>2227</v>
      </c>
      <c r="I406" s="107" t="s">
        <v>226</v>
      </c>
      <c r="J406" s="110">
        <v>0.38829999999999998</v>
      </c>
      <c r="K406" s="111">
        <v>6.6216000000000008</v>
      </c>
      <c r="L406" s="112">
        <v>74.161859387071857</v>
      </c>
      <c r="M406" s="15"/>
      <c r="N406" s="44"/>
    </row>
    <row r="407" spans="2:14" ht="18.75" customHeight="1" x14ac:dyDescent="0.3">
      <c r="B407" s="10"/>
      <c r="C407" s="182" t="s">
        <v>2485</v>
      </c>
      <c r="D407" s="118" t="s">
        <v>369</v>
      </c>
      <c r="E407" s="120" t="s">
        <v>368</v>
      </c>
      <c r="F407" s="107" t="s">
        <v>370</v>
      </c>
      <c r="G407" s="107"/>
      <c r="H407" s="108" t="s">
        <v>2143</v>
      </c>
      <c r="I407" s="107" t="s">
        <v>226</v>
      </c>
      <c r="J407" s="110">
        <v>0.38719999999999999</v>
      </c>
      <c r="K407" s="111">
        <v>65.058999999999997</v>
      </c>
      <c r="L407" s="112">
        <v>74.368285123966942</v>
      </c>
      <c r="M407" s="15"/>
      <c r="N407" s="44"/>
    </row>
    <row r="408" spans="2:14" ht="18.75" customHeight="1" x14ac:dyDescent="0.3">
      <c r="B408" s="10"/>
      <c r="C408" s="182" t="s">
        <v>2485</v>
      </c>
      <c r="D408" s="106" t="s">
        <v>451</v>
      </c>
      <c r="E408" s="117" t="s">
        <v>452</v>
      </c>
      <c r="F408" s="110" t="s">
        <v>453</v>
      </c>
      <c r="G408" s="129" t="s">
        <v>453</v>
      </c>
      <c r="H408" s="108" t="s">
        <v>2152</v>
      </c>
      <c r="I408" s="107" t="s">
        <v>226</v>
      </c>
      <c r="J408" s="110">
        <v>0.38719999999999999</v>
      </c>
      <c r="K408" s="111">
        <v>35.6</v>
      </c>
      <c r="L408" s="112">
        <v>74.368285123966942</v>
      </c>
      <c r="M408" s="15"/>
      <c r="N408" s="44"/>
    </row>
    <row r="409" spans="2:14" ht="18.75" customHeight="1" x14ac:dyDescent="0.3">
      <c r="B409" s="10"/>
      <c r="C409" s="182" t="s">
        <v>2485</v>
      </c>
      <c r="D409" s="118" t="s">
        <v>945</v>
      </c>
      <c r="E409" s="120" t="s">
        <v>622</v>
      </c>
      <c r="F409" s="107" t="s">
        <v>946</v>
      </c>
      <c r="G409" s="107" t="s">
        <v>949</v>
      </c>
      <c r="H409" s="108" t="s">
        <v>2196</v>
      </c>
      <c r="I409" s="107" t="s">
        <v>226</v>
      </c>
      <c r="J409" s="110">
        <v>0.38719999999999999</v>
      </c>
      <c r="K409" s="111">
        <v>10.146000000000001</v>
      </c>
      <c r="L409" s="112">
        <v>74.368285123966942</v>
      </c>
      <c r="M409" s="15"/>
      <c r="N409" s="44"/>
    </row>
    <row r="410" spans="2:14" ht="18.75" customHeight="1" x14ac:dyDescent="0.3">
      <c r="B410" s="10"/>
      <c r="C410" s="182" t="s">
        <v>2485</v>
      </c>
      <c r="D410" s="118" t="s">
        <v>844</v>
      </c>
      <c r="E410" s="107" t="s">
        <v>28</v>
      </c>
      <c r="F410" s="107" t="s">
        <v>845</v>
      </c>
      <c r="G410" s="107"/>
      <c r="H410" s="108" t="s">
        <v>2186</v>
      </c>
      <c r="I410" s="107" t="s">
        <v>226</v>
      </c>
      <c r="J410" s="110">
        <v>0.3861</v>
      </c>
      <c r="K410" s="111">
        <v>12.015000000000001</v>
      </c>
      <c r="L410" s="112">
        <v>74.575887075887081</v>
      </c>
      <c r="M410" s="15"/>
      <c r="N410" s="44"/>
    </row>
    <row r="411" spans="2:14" ht="18.75" customHeight="1" x14ac:dyDescent="0.3">
      <c r="B411" s="10"/>
      <c r="C411" s="182" t="s">
        <v>2485</v>
      </c>
      <c r="D411" s="118" t="s">
        <v>1119</v>
      </c>
      <c r="E411" s="120" t="s">
        <v>1116</v>
      </c>
      <c r="F411" s="107" t="s">
        <v>1120</v>
      </c>
      <c r="G411" s="120"/>
      <c r="H411" s="108" t="s">
        <v>2211</v>
      </c>
      <c r="I411" s="107" t="s">
        <v>226</v>
      </c>
      <c r="J411" s="110">
        <v>0.3861</v>
      </c>
      <c r="K411" s="111">
        <v>11.392000000000001</v>
      </c>
      <c r="L411" s="112">
        <v>74.575887075887081</v>
      </c>
      <c r="M411" s="15"/>
      <c r="N411" s="44"/>
    </row>
    <row r="412" spans="2:14" ht="18.75" customHeight="1" x14ac:dyDescent="0.3">
      <c r="B412" s="10"/>
      <c r="C412" s="182" t="s">
        <v>2485</v>
      </c>
      <c r="D412" s="106" t="s">
        <v>680</v>
      </c>
      <c r="E412" s="120" t="s">
        <v>681</v>
      </c>
      <c r="F412" s="107" t="s">
        <v>276</v>
      </c>
      <c r="G412" s="120" t="s">
        <v>276</v>
      </c>
      <c r="H412" s="108" t="s">
        <v>2174</v>
      </c>
      <c r="I412" s="107" t="s">
        <v>226</v>
      </c>
      <c r="J412" s="110">
        <v>0.3861</v>
      </c>
      <c r="K412" s="111">
        <v>24.03</v>
      </c>
      <c r="L412" s="112">
        <v>74.575887075887081</v>
      </c>
      <c r="M412" s="15"/>
      <c r="N412" s="44"/>
    </row>
    <row r="413" spans="2:14" ht="18.75" customHeight="1" x14ac:dyDescent="0.3">
      <c r="B413" s="10"/>
      <c r="C413" s="182" t="s">
        <v>2485</v>
      </c>
      <c r="D413" s="118" t="s">
        <v>1512</v>
      </c>
      <c r="E413" s="117" t="s">
        <v>1513</v>
      </c>
      <c r="F413" s="110" t="s">
        <v>1514</v>
      </c>
      <c r="G413" s="129" t="s">
        <v>1517</v>
      </c>
      <c r="H413" s="108" t="s">
        <v>2240</v>
      </c>
      <c r="I413" s="107" t="s">
        <v>226</v>
      </c>
      <c r="J413" s="110">
        <v>0.3861</v>
      </c>
      <c r="K413" s="111">
        <v>21.36</v>
      </c>
      <c r="L413" s="112">
        <v>74.575887075887081</v>
      </c>
      <c r="M413" s="15"/>
      <c r="N413" s="44"/>
    </row>
    <row r="414" spans="2:14" ht="18.75" customHeight="1" x14ac:dyDescent="0.3">
      <c r="B414" s="10"/>
      <c r="C414" s="182" t="s">
        <v>2485</v>
      </c>
      <c r="D414" s="106" t="s">
        <v>1149</v>
      </c>
      <c r="E414" s="107" t="s">
        <v>1133</v>
      </c>
      <c r="F414" s="120" t="s">
        <v>1150</v>
      </c>
      <c r="G414" s="107" t="s">
        <v>1151</v>
      </c>
      <c r="H414" s="108" t="s">
        <v>2322</v>
      </c>
      <c r="I414" s="107" t="s">
        <v>226</v>
      </c>
      <c r="J414" s="110">
        <v>0.38500000000000001</v>
      </c>
      <c r="K414" s="111">
        <v>12.46</v>
      </c>
      <c r="L414" s="112">
        <v>74.784675324675334</v>
      </c>
      <c r="M414" s="15"/>
      <c r="N414" s="44"/>
    </row>
    <row r="415" spans="2:14" ht="18.75" customHeight="1" x14ac:dyDescent="0.3">
      <c r="B415" s="10"/>
      <c r="C415" s="182" t="s">
        <v>2485</v>
      </c>
      <c r="D415" s="118" t="s">
        <v>1759</v>
      </c>
      <c r="E415" s="107" t="s">
        <v>1760</v>
      </c>
      <c r="F415" s="107" t="s">
        <v>1761</v>
      </c>
      <c r="G415" s="107" t="s">
        <v>1763</v>
      </c>
      <c r="H415" s="108" t="s">
        <v>2269</v>
      </c>
      <c r="I415" s="107" t="s">
        <v>226</v>
      </c>
      <c r="J415" s="110">
        <v>0.38500000000000001</v>
      </c>
      <c r="K415" s="111">
        <v>11.926</v>
      </c>
      <c r="L415" s="112">
        <v>74.784675324675334</v>
      </c>
      <c r="M415" s="15"/>
      <c r="N415" s="44"/>
    </row>
    <row r="416" spans="2:14" ht="18.75" customHeight="1" x14ac:dyDescent="0.3">
      <c r="B416" s="10"/>
      <c r="C416" s="182" t="s">
        <v>2485</v>
      </c>
      <c r="D416" s="106" t="s">
        <v>579</v>
      </c>
      <c r="E416" s="107" t="s">
        <v>580</v>
      </c>
      <c r="F416" s="107" t="s">
        <v>581</v>
      </c>
      <c r="G416" s="120" t="s">
        <v>584</v>
      </c>
      <c r="H416" s="108" t="s">
        <v>2166</v>
      </c>
      <c r="I416" s="107" t="s">
        <v>226</v>
      </c>
      <c r="J416" s="110">
        <v>0.38500000000000001</v>
      </c>
      <c r="K416" s="111">
        <v>9.0779999999999994</v>
      </c>
      <c r="L416" s="112">
        <v>74.784675324675334</v>
      </c>
      <c r="M416" s="15"/>
      <c r="N416" s="44"/>
    </row>
    <row r="417" spans="2:14" ht="18.75" customHeight="1" x14ac:dyDescent="0.3">
      <c r="B417" s="10"/>
      <c r="C417" s="182" t="s">
        <v>2485</v>
      </c>
      <c r="D417" s="118" t="s">
        <v>1522</v>
      </c>
      <c r="E417" s="107" t="s">
        <v>1523</v>
      </c>
      <c r="F417" s="107" t="s">
        <v>1524</v>
      </c>
      <c r="G417" s="107"/>
      <c r="H417" s="108" t="s">
        <v>2243</v>
      </c>
      <c r="I417" s="107" t="s">
        <v>226</v>
      </c>
      <c r="J417" s="110">
        <v>0.38500000000000001</v>
      </c>
      <c r="K417" s="111">
        <v>13.439</v>
      </c>
      <c r="L417" s="112">
        <v>74.784675324675334</v>
      </c>
      <c r="M417" s="15"/>
      <c r="N417" s="44"/>
    </row>
    <row r="418" spans="2:14" ht="18.75" customHeight="1" x14ac:dyDescent="0.3">
      <c r="B418" s="10"/>
      <c r="C418" s="182" t="s">
        <v>2485</v>
      </c>
      <c r="D418" s="106" t="s">
        <v>1069</v>
      </c>
      <c r="E418" s="120" t="s">
        <v>117</v>
      </c>
      <c r="F418" s="107" t="s">
        <v>1070</v>
      </c>
      <c r="G418" s="107" t="s">
        <v>565</v>
      </c>
      <c r="H418" s="108" t="s">
        <v>2205</v>
      </c>
      <c r="I418" s="107" t="s">
        <v>226</v>
      </c>
      <c r="J418" s="110">
        <v>0.38390000000000002</v>
      </c>
      <c r="K418" s="111">
        <v>22.962</v>
      </c>
      <c r="L418" s="112">
        <v>74.99466006772596</v>
      </c>
      <c r="M418" s="15"/>
      <c r="N418" s="44"/>
    </row>
    <row r="419" spans="2:14" ht="18.75" customHeight="1" x14ac:dyDescent="0.3">
      <c r="B419" s="10"/>
      <c r="C419" s="182" t="s">
        <v>2485</v>
      </c>
      <c r="D419" s="118" t="s">
        <v>340</v>
      </c>
      <c r="E419" s="107" t="s">
        <v>341</v>
      </c>
      <c r="F419" s="107" t="s">
        <v>342</v>
      </c>
      <c r="G419" s="120"/>
      <c r="H419" s="108" t="s">
        <v>2139</v>
      </c>
      <c r="I419" s="107" t="s">
        <v>226</v>
      </c>
      <c r="J419" s="110">
        <v>0.38390000000000002</v>
      </c>
      <c r="K419" s="111">
        <v>10.146000000000001</v>
      </c>
      <c r="L419" s="112">
        <v>74.99466006772596</v>
      </c>
      <c r="M419" s="15"/>
      <c r="N419" s="44"/>
    </row>
    <row r="420" spans="2:14" ht="18.75" customHeight="1" x14ac:dyDescent="0.3">
      <c r="B420" s="10"/>
      <c r="C420" s="182" t="s">
        <v>2485</v>
      </c>
      <c r="D420" s="106" t="s">
        <v>1700</v>
      </c>
      <c r="E420" s="117" t="s">
        <v>1701</v>
      </c>
      <c r="F420" s="107" t="s">
        <v>1702</v>
      </c>
      <c r="G420" s="107" t="s">
        <v>1517</v>
      </c>
      <c r="H420" s="108" t="s">
        <v>2263</v>
      </c>
      <c r="I420" s="107" t="s">
        <v>226</v>
      </c>
      <c r="J420" s="110">
        <v>0.38390000000000002</v>
      </c>
      <c r="K420" s="111">
        <v>10.1015</v>
      </c>
      <c r="L420" s="112">
        <v>74.99466006772596</v>
      </c>
      <c r="M420" s="15"/>
      <c r="N420" s="44"/>
    </row>
    <row r="421" spans="2:14" ht="18.75" customHeight="1" x14ac:dyDescent="0.3">
      <c r="B421" s="10"/>
      <c r="C421" s="182" t="s">
        <v>2485</v>
      </c>
      <c r="D421" s="106" t="s">
        <v>181</v>
      </c>
      <c r="E421" s="107" t="s">
        <v>163</v>
      </c>
      <c r="F421" s="120" t="s">
        <v>182</v>
      </c>
      <c r="G421" s="120" t="s">
        <v>184</v>
      </c>
      <c r="H421" s="108" t="s">
        <v>2126</v>
      </c>
      <c r="I421" s="107" t="s">
        <v>226</v>
      </c>
      <c r="J421" s="110">
        <v>0.38279999999999997</v>
      </c>
      <c r="K421" s="111">
        <v>128.16</v>
      </c>
      <c r="L421" s="112">
        <v>75.205851619644733</v>
      </c>
      <c r="M421" s="15"/>
      <c r="N421" s="44"/>
    </row>
    <row r="422" spans="2:14" ht="18.75" customHeight="1" x14ac:dyDescent="0.3">
      <c r="B422" s="10"/>
      <c r="C422" s="182" t="s">
        <v>2485</v>
      </c>
      <c r="D422" s="106" t="s">
        <v>712</v>
      </c>
      <c r="E422" s="107" t="s">
        <v>713</v>
      </c>
      <c r="F422" s="107" t="s">
        <v>714</v>
      </c>
      <c r="G422" s="107"/>
      <c r="H422" s="108" t="s">
        <v>2177</v>
      </c>
      <c r="I422" s="107" t="s">
        <v>226</v>
      </c>
      <c r="J422" s="110">
        <v>0.38279999999999997</v>
      </c>
      <c r="K422" s="111">
        <v>16.731999999999999</v>
      </c>
      <c r="L422" s="112">
        <v>75.205851619644733</v>
      </c>
      <c r="M422" s="15"/>
      <c r="N422" s="44"/>
    </row>
    <row r="423" spans="2:14" ht="18.75" customHeight="1" x14ac:dyDescent="0.3">
      <c r="B423" s="10"/>
      <c r="C423" s="182" t="s">
        <v>2485</v>
      </c>
      <c r="D423" s="118" t="s">
        <v>1304</v>
      </c>
      <c r="E423" s="120" t="s">
        <v>1305</v>
      </c>
      <c r="F423" s="107" t="s">
        <v>1306</v>
      </c>
      <c r="G423" s="107" t="s">
        <v>1309</v>
      </c>
      <c r="H423" s="108" t="s">
        <v>2173</v>
      </c>
      <c r="I423" s="107" t="s">
        <v>226</v>
      </c>
      <c r="J423" s="110">
        <v>0.38279999999999997</v>
      </c>
      <c r="K423" s="111">
        <v>30.526999999999997</v>
      </c>
      <c r="L423" s="112">
        <v>75.205851619644733</v>
      </c>
      <c r="M423" s="15"/>
      <c r="N423" s="44"/>
    </row>
    <row r="424" spans="2:14" ht="18.75" customHeight="1" x14ac:dyDescent="0.3">
      <c r="B424" s="10"/>
      <c r="C424" s="182" t="s">
        <v>2485</v>
      </c>
      <c r="D424" s="106" t="s">
        <v>177</v>
      </c>
      <c r="E424" s="107" t="s">
        <v>163</v>
      </c>
      <c r="F424" s="107" t="s">
        <v>178</v>
      </c>
      <c r="G424" s="120" t="s">
        <v>178</v>
      </c>
      <c r="H424" s="108" t="s">
        <v>2062</v>
      </c>
      <c r="I424" s="107" t="s">
        <v>96</v>
      </c>
      <c r="J424" s="110">
        <v>0.38</v>
      </c>
      <c r="K424" s="111">
        <v>128.16</v>
      </c>
      <c r="L424" s="112">
        <v>75.248947368421057</v>
      </c>
      <c r="M424" s="15"/>
      <c r="N424" s="44"/>
    </row>
    <row r="425" spans="2:14" ht="18.75" customHeight="1" x14ac:dyDescent="0.3">
      <c r="B425" s="10"/>
      <c r="C425" s="182" t="s">
        <v>2485</v>
      </c>
      <c r="D425" s="106" t="s">
        <v>274</v>
      </c>
      <c r="E425" s="107" t="s">
        <v>275</v>
      </c>
      <c r="F425" s="107" t="s">
        <v>276</v>
      </c>
      <c r="G425" s="120"/>
      <c r="H425" s="108" t="s">
        <v>2134</v>
      </c>
      <c r="I425" s="107" t="s">
        <v>226</v>
      </c>
      <c r="J425" s="110">
        <v>0.38169999999999998</v>
      </c>
      <c r="K425" s="111">
        <v>32.04</v>
      </c>
      <c r="L425" s="112">
        <v>75.418260413937645</v>
      </c>
      <c r="M425" s="15"/>
      <c r="N425" s="44"/>
    </row>
    <row r="426" spans="2:14" ht="18.75" customHeight="1" x14ac:dyDescent="0.3">
      <c r="B426" s="10"/>
      <c r="C426" s="182" t="s">
        <v>2485</v>
      </c>
      <c r="D426" s="106" t="s">
        <v>1871</v>
      </c>
      <c r="E426" s="117" t="s">
        <v>229</v>
      </c>
      <c r="F426" s="110" t="s">
        <v>1872</v>
      </c>
      <c r="G426" s="110"/>
      <c r="H426" s="108" t="s">
        <v>2278</v>
      </c>
      <c r="I426" s="107" t="s">
        <v>226</v>
      </c>
      <c r="J426" s="110">
        <v>0.38169999999999998</v>
      </c>
      <c r="K426" s="111">
        <v>35.6</v>
      </c>
      <c r="L426" s="112">
        <v>75.418260413937645</v>
      </c>
      <c r="M426" s="15"/>
      <c r="N426" s="44"/>
    </row>
    <row r="427" spans="2:14" ht="18.75" customHeight="1" x14ac:dyDescent="0.3">
      <c r="B427" s="10"/>
      <c r="C427" s="182" t="s">
        <v>2485</v>
      </c>
      <c r="D427" s="106" t="s">
        <v>1819</v>
      </c>
      <c r="E427" s="120" t="s">
        <v>1820</v>
      </c>
      <c r="F427" s="107" t="s">
        <v>1821</v>
      </c>
      <c r="G427" s="120"/>
      <c r="H427" s="108" t="s">
        <v>2273</v>
      </c>
      <c r="I427" s="107" t="s">
        <v>226</v>
      </c>
      <c r="J427" s="110">
        <v>0.38169999999999998</v>
      </c>
      <c r="K427" s="111">
        <v>16.999000000000002</v>
      </c>
      <c r="L427" s="112">
        <v>75.418260413937645</v>
      </c>
      <c r="M427" s="15"/>
      <c r="N427" s="44"/>
    </row>
    <row r="428" spans="2:14" ht="18.75" customHeight="1" x14ac:dyDescent="0.3">
      <c r="B428" s="10"/>
      <c r="C428" s="182" t="s">
        <v>2485</v>
      </c>
      <c r="D428" s="113" t="s">
        <v>570</v>
      </c>
      <c r="E428" s="107" t="s">
        <v>571</v>
      </c>
      <c r="F428" s="115" t="s">
        <v>572</v>
      </c>
      <c r="G428" s="114"/>
      <c r="H428" s="108" t="s">
        <v>2164</v>
      </c>
      <c r="I428" s="107" t="s">
        <v>226</v>
      </c>
      <c r="J428" s="110">
        <v>0.38059999999999999</v>
      </c>
      <c r="K428" s="111">
        <v>9.7900000000000009</v>
      </c>
      <c r="L428" s="112">
        <v>75.631897004729382</v>
      </c>
      <c r="M428" s="15"/>
      <c r="N428" s="44"/>
    </row>
    <row r="429" spans="2:14" ht="18.75" customHeight="1" x14ac:dyDescent="0.3">
      <c r="B429" s="10"/>
      <c r="C429" s="182" t="s">
        <v>2485</v>
      </c>
      <c r="D429" s="106" t="s">
        <v>1403</v>
      </c>
      <c r="E429" s="107" t="s">
        <v>1401</v>
      </c>
      <c r="F429" s="107" t="s">
        <v>1404</v>
      </c>
      <c r="G429" s="107" t="s">
        <v>1404</v>
      </c>
      <c r="H429" s="108" t="s">
        <v>2083</v>
      </c>
      <c r="I429" s="107" t="s">
        <v>226</v>
      </c>
      <c r="J429" s="110">
        <v>0.38059999999999999</v>
      </c>
      <c r="K429" s="111">
        <v>21.805</v>
      </c>
      <c r="L429" s="112">
        <v>75.631897004729382</v>
      </c>
      <c r="M429" s="15"/>
      <c r="N429" s="44"/>
    </row>
    <row r="430" spans="2:14" ht="18.75" customHeight="1" x14ac:dyDescent="0.3">
      <c r="B430" s="10"/>
      <c r="C430" s="182" t="s">
        <v>2485</v>
      </c>
      <c r="D430" s="118" t="s">
        <v>1500</v>
      </c>
      <c r="E430" s="120" t="s">
        <v>1501</v>
      </c>
      <c r="F430" s="107" t="s">
        <v>1502</v>
      </c>
      <c r="G430" s="120" t="s">
        <v>1504</v>
      </c>
      <c r="H430" s="108" t="s">
        <v>2083</v>
      </c>
      <c r="I430" s="107" t="s">
        <v>226</v>
      </c>
      <c r="J430" s="110">
        <v>0.38059999999999999</v>
      </c>
      <c r="K430" s="111">
        <v>72.801999999999992</v>
      </c>
      <c r="L430" s="112">
        <v>75.631897004729382</v>
      </c>
      <c r="M430" s="15"/>
      <c r="N430" s="44"/>
    </row>
    <row r="431" spans="2:14" ht="18.75" customHeight="1" x14ac:dyDescent="0.3">
      <c r="B431" s="10"/>
      <c r="C431" s="182" t="s">
        <v>2485</v>
      </c>
      <c r="D431" s="118" t="s">
        <v>1941</v>
      </c>
      <c r="E431" s="120" t="s">
        <v>875</v>
      </c>
      <c r="F431" s="119" t="s">
        <v>1942</v>
      </c>
      <c r="G431" s="124" t="s">
        <v>1942</v>
      </c>
      <c r="H431" s="108" t="s">
        <v>2083</v>
      </c>
      <c r="I431" s="107" t="s">
        <v>226</v>
      </c>
      <c r="J431" s="110">
        <v>0.38059999999999999</v>
      </c>
      <c r="K431" s="111">
        <v>24.03</v>
      </c>
      <c r="L431" s="112">
        <v>75.631897004729382</v>
      </c>
      <c r="M431" s="15"/>
      <c r="N431" s="44"/>
    </row>
    <row r="432" spans="2:14" ht="18.75" customHeight="1" x14ac:dyDescent="0.3">
      <c r="B432" s="10"/>
      <c r="C432" s="182" t="s">
        <v>2485</v>
      </c>
      <c r="D432" s="106" t="s">
        <v>1957</v>
      </c>
      <c r="E432" s="107" t="s">
        <v>1950</v>
      </c>
      <c r="F432" s="107" t="s">
        <v>36</v>
      </c>
      <c r="G432" s="107" t="s">
        <v>1958</v>
      </c>
      <c r="H432" s="108" t="s">
        <v>2282</v>
      </c>
      <c r="I432" s="107" t="s">
        <v>226</v>
      </c>
      <c r="J432" s="110">
        <v>0.38059999999999999</v>
      </c>
      <c r="K432" s="111">
        <v>13.439</v>
      </c>
      <c r="L432" s="112">
        <v>75.631897004729382</v>
      </c>
      <c r="M432" s="15"/>
      <c r="N432" s="44"/>
    </row>
    <row r="433" spans="2:14" ht="18.75" customHeight="1" x14ac:dyDescent="0.3">
      <c r="B433" s="10"/>
      <c r="C433" s="182" t="s">
        <v>2485</v>
      </c>
      <c r="D433" s="106" t="s">
        <v>1364</v>
      </c>
      <c r="E433" s="107" t="s">
        <v>1365</v>
      </c>
      <c r="F433" s="107" t="s">
        <v>1366</v>
      </c>
      <c r="G433" s="107"/>
      <c r="H433" s="108" t="s">
        <v>2232</v>
      </c>
      <c r="I433" s="107" t="s">
        <v>226</v>
      </c>
      <c r="J433" s="110">
        <v>0.38059999999999999</v>
      </c>
      <c r="K433" s="111">
        <v>16.109000000000002</v>
      </c>
      <c r="L433" s="112">
        <v>75.631897004729382</v>
      </c>
      <c r="M433" s="15"/>
      <c r="N433" s="44"/>
    </row>
    <row r="434" spans="2:14" ht="18.75" customHeight="1" x14ac:dyDescent="0.3">
      <c r="B434" s="10"/>
      <c r="C434" s="182" t="s">
        <v>2485</v>
      </c>
      <c r="D434" s="106" t="s">
        <v>1175</v>
      </c>
      <c r="E434" s="107" t="s">
        <v>1176</v>
      </c>
      <c r="F434" s="107" t="s">
        <v>1177</v>
      </c>
      <c r="G434" s="120"/>
      <c r="H434" s="108" t="s">
        <v>2083</v>
      </c>
      <c r="I434" s="107" t="s">
        <v>226</v>
      </c>
      <c r="J434" s="110">
        <v>0.38059999999999999</v>
      </c>
      <c r="K434" s="111">
        <v>58.74</v>
      </c>
      <c r="L434" s="112">
        <v>75.631897004729382</v>
      </c>
      <c r="M434" s="15"/>
      <c r="N434" s="44"/>
    </row>
    <row r="435" spans="2:14" ht="18.75" customHeight="1" x14ac:dyDescent="0.3">
      <c r="B435" s="10"/>
      <c r="C435" s="182" t="s">
        <v>2485</v>
      </c>
      <c r="D435" s="106" t="s">
        <v>404</v>
      </c>
      <c r="E435" s="107" t="s">
        <v>405</v>
      </c>
      <c r="F435" s="107" t="s">
        <v>101</v>
      </c>
      <c r="G435" s="107" t="s">
        <v>99</v>
      </c>
      <c r="H435" s="108" t="s">
        <v>2147</v>
      </c>
      <c r="I435" s="107" t="s">
        <v>96</v>
      </c>
      <c r="J435" s="110">
        <v>0.37740000000000001</v>
      </c>
      <c r="K435" s="111">
        <v>8.9</v>
      </c>
      <c r="L435" s="112">
        <v>75.760466348701641</v>
      </c>
      <c r="M435" s="15"/>
      <c r="N435" s="44"/>
    </row>
    <row r="436" spans="2:14" ht="18.75" customHeight="1" x14ac:dyDescent="0.3">
      <c r="B436" s="10"/>
      <c r="C436" s="182" t="s">
        <v>2485</v>
      </c>
      <c r="D436" s="106" t="s">
        <v>1750</v>
      </c>
      <c r="E436" s="109" t="s">
        <v>1751</v>
      </c>
      <c r="F436" s="107" t="s">
        <v>1752</v>
      </c>
      <c r="G436" s="121"/>
      <c r="H436" s="108" t="s">
        <v>2268</v>
      </c>
      <c r="I436" s="107" t="s">
        <v>226</v>
      </c>
      <c r="J436" s="110">
        <v>0.3795</v>
      </c>
      <c r="K436" s="111">
        <v>12.015000000000001</v>
      </c>
      <c r="L436" s="112">
        <v>75.8467720685112</v>
      </c>
      <c r="M436" s="15"/>
      <c r="N436" s="44"/>
    </row>
    <row r="437" spans="2:14" ht="18.75" customHeight="1" x14ac:dyDescent="0.3">
      <c r="B437" s="10"/>
      <c r="C437" s="182" t="s">
        <v>2485</v>
      </c>
      <c r="D437" s="106" t="s">
        <v>1769</v>
      </c>
      <c r="E437" s="107" t="s">
        <v>875</v>
      </c>
      <c r="F437" s="120" t="s">
        <v>1770</v>
      </c>
      <c r="G437" s="120" t="s">
        <v>1770</v>
      </c>
      <c r="H437" s="108" t="s">
        <v>2235</v>
      </c>
      <c r="I437" s="107" t="s">
        <v>226</v>
      </c>
      <c r="J437" s="110">
        <v>0.3795</v>
      </c>
      <c r="K437" s="111">
        <v>17.8</v>
      </c>
      <c r="L437" s="112">
        <v>75.8467720685112</v>
      </c>
      <c r="M437" s="15"/>
      <c r="N437" s="44"/>
    </row>
    <row r="438" spans="2:14" ht="18.75" customHeight="1" x14ac:dyDescent="0.3">
      <c r="B438" s="10"/>
      <c r="C438" s="182" t="s">
        <v>2485</v>
      </c>
      <c r="D438" s="118" t="s">
        <v>153</v>
      </c>
      <c r="E438" s="107" t="s">
        <v>147</v>
      </c>
      <c r="F438" s="107" t="s">
        <v>148</v>
      </c>
      <c r="G438" s="120" t="s">
        <v>154</v>
      </c>
      <c r="H438" s="108" t="s">
        <v>2074</v>
      </c>
      <c r="I438" s="107" t="s">
        <v>226</v>
      </c>
      <c r="J438" s="110">
        <v>0.3795</v>
      </c>
      <c r="K438" s="111">
        <v>2.67</v>
      </c>
      <c r="L438" s="112">
        <v>75.8467720685112</v>
      </c>
      <c r="M438" s="15"/>
      <c r="N438" s="44"/>
    </row>
    <row r="439" spans="2:14" ht="18.75" customHeight="1" x14ac:dyDescent="0.3">
      <c r="B439" s="10"/>
      <c r="C439" s="182" t="s">
        <v>2485</v>
      </c>
      <c r="D439" s="106" t="s">
        <v>1297</v>
      </c>
      <c r="E439" s="107" t="s">
        <v>1298</v>
      </c>
      <c r="F439" s="107" t="s">
        <v>1299</v>
      </c>
      <c r="G439" s="120" t="s">
        <v>1302</v>
      </c>
      <c r="H439" s="108" t="s">
        <v>2222</v>
      </c>
      <c r="I439" s="107" t="s">
        <v>226</v>
      </c>
      <c r="J439" s="110">
        <v>0.3795</v>
      </c>
      <c r="K439" s="111">
        <v>21.36</v>
      </c>
      <c r="L439" s="112">
        <v>75.8467720685112</v>
      </c>
      <c r="M439" s="15"/>
      <c r="N439" s="44"/>
    </row>
    <row r="440" spans="2:14" ht="18.75" customHeight="1" x14ac:dyDescent="0.3">
      <c r="B440" s="10"/>
      <c r="C440" s="182" t="s">
        <v>2485</v>
      </c>
      <c r="D440" s="118" t="s">
        <v>116</v>
      </c>
      <c r="E440" s="120" t="s">
        <v>117</v>
      </c>
      <c r="F440" s="107" t="s">
        <v>118</v>
      </c>
      <c r="G440" s="120" t="s">
        <v>70</v>
      </c>
      <c r="H440" s="108" t="s">
        <v>2122</v>
      </c>
      <c r="I440" s="107" t="s">
        <v>226</v>
      </c>
      <c r="J440" s="110">
        <v>0.37840000000000001</v>
      </c>
      <c r="K440" s="111">
        <v>15.842000000000001</v>
      </c>
      <c r="L440" s="112">
        <v>76.062896405919659</v>
      </c>
      <c r="M440" s="15"/>
      <c r="N440" s="44"/>
    </row>
    <row r="441" spans="2:14" ht="18.75" customHeight="1" x14ac:dyDescent="0.3">
      <c r="B441" s="10"/>
      <c r="C441" s="182" t="s">
        <v>2485</v>
      </c>
      <c r="D441" s="106" t="s">
        <v>654</v>
      </c>
      <c r="E441" s="107" t="s">
        <v>519</v>
      </c>
      <c r="F441" s="107" t="s">
        <v>655</v>
      </c>
      <c r="G441" s="107" t="s">
        <v>319</v>
      </c>
      <c r="H441" s="108" t="s">
        <v>280</v>
      </c>
      <c r="I441" s="107" t="s">
        <v>226</v>
      </c>
      <c r="J441" s="110">
        <v>0.37840000000000001</v>
      </c>
      <c r="K441" s="111">
        <v>88.11</v>
      </c>
      <c r="L441" s="112">
        <v>76.062896405919659</v>
      </c>
      <c r="M441" s="15"/>
      <c r="N441" s="44"/>
    </row>
    <row r="442" spans="2:14" ht="18.75" customHeight="1" x14ac:dyDescent="0.3">
      <c r="B442" s="10"/>
      <c r="C442" s="182" t="s">
        <v>2485</v>
      </c>
      <c r="D442" s="106" t="s">
        <v>759</v>
      </c>
      <c r="E442" s="107" t="s">
        <v>760</v>
      </c>
      <c r="F442" s="107" t="s">
        <v>761</v>
      </c>
      <c r="G442" s="120"/>
      <c r="H442" s="108" t="s">
        <v>2179</v>
      </c>
      <c r="I442" s="107" t="s">
        <v>226</v>
      </c>
      <c r="J442" s="110">
        <v>0.37840000000000001</v>
      </c>
      <c r="K442" s="111">
        <v>22.25</v>
      </c>
      <c r="L442" s="112">
        <v>76.062896405919659</v>
      </c>
      <c r="M442" s="15"/>
      <c r="N442" s="44"/>
    </row>
    <row r="443" spans="2:14" ht="18.75" customHeight="1" x14ac:dyDescent="0.3">
      <c r="B443" s="10"/>
      <c r="C443" s="182" t="s">
        <v>2485</v>
      </c>
      <c r="D443" s="118" t="s">
        <v>1646</v>
      </c>
      <c r="E443" s="120" t="s">
        <v>1647</v>
      </c>
      <c r="F443" s="119" t="s">
        <v>1648</v>
      </c>
      <c r="G443" s="124"/>
      <c r="H443" s="108" t="s">
        <v>2257</v>
      </c>
      <c r="I443" s="107" t="s">
        <v>226</v>
      </c>
      <c r="J443" s="110">
        <v>0.37840000000000001</v>
      </c>
      <c r="K443" s="111">
        <v>39.960999999999999</v>
      </c>
      <c r="L443" s="112">
        <v>76.062896405919659</v>
      </c>
      <c r="M443" s="15"/>
      <c r="N443" s="44"/>
    </row>
    <row r="444" spans="2:14" ht="18.75" customHeight="1" x14ac:dyDescent="0.3">
      <c r="B444" s="10"/>
      <c r="C444" s="182" t="s">
        <v>2485</v>
      </c>
      <c r="D444" s="106" t="s">
        <v>1650</v>
      </c>
      <c r="E444" s="107" t="s">
        <v>1647</v>
      </c>
      <c r="F444" s="120" t="s">
        <v>1651</v>
      </c>
      <c r="G444" s="120"/>
      <c r="H444" s="108" t="s">
        <v>2257</v>
      </c>
      <c r="I444" s="107" t="s">
        <v>226</v>
      </c>
      <c r="J444" s="110">
        <v>0.37840000000000001</v>
      </c>
      <c r="K444" s="111">
        <v>20.47</v>
      </c>
      <c r="L444" s="112">
        <v>76.062896405919659</v>
      </c>
      <c r="M444" s="15"/>
      <c r="N444" s="44"/>
    </row>
    <row r="445" spans="2:14" ht="18.75" customHeight="1" x14ac:dyDescent="0.3">
      <c r="B445" s="10"/>
      <c r="C445" s="182" t="s">
        <v>2485</v>
      </c>
      <c r="D445" s="106" t="s">
        <v>110</v>
      </c>
      <c r="E445" s="107" t="s">
        <v>111</v>
      </c>
      <c r="F445" s="107" t="s">
        <v>112</v>
      </c>
      <c r="G445" s="121" t="s">
        <v>112</v>
      </c>
      <c r="H445" s="108" t="s">
        <v>2039</v>
      </c>
      <c r="I445" s="107" t="s">
        <v>226</v>
      </c>
      <c r="J445" s="110">
        <v>0.37840000000000001</v>
      </c>
      <c r="K445" s="111">
        <v>8.6329999999999991</v>
      </c>
      <c r="L445" s="112">
        <v>76.062896405919659</v>
      </c>
      <c r="M445" s="15"/>
      <c r="N445" s="44"/>
    </row>
    <row r="446" spans="2:14" ht="18.75" customHeight="1" x14ac:dyDescent="0.3">
      <c r="B446" s="10"/>
      <c r="C446" s="182" t="s">
        <v>2485</v>
      </c>
      <c r="D446" s="118" t="s">
        <v>1705</v>
      </c>
      <c r="E446" s="107" t="s">
        <v>1706</v>
      </c>
      <c r="F446" s="107" t="s">
        <v>1707</v>
      </c>
      <c r="G446" s="120"/>
      <c r="H446" s="108" t="s">
        <v>2264</v>
      </c>
      <c r="I446" s="107" t="s">
        <v>226</v>
      </c>
      <c r="J446" s="110">
        <v>0.37840000000000001</v>
      </c>
      <c r="K446" s="111">
        <v>19.580000000000002</v>
      </c>
      <c r="L446" s="112">
        <v>76.062896405919659</v>
      </c>
      <c r="M446" s="15"/>
      <c r="N446" s="44"/>
    </row>
    <row r="447" spans="2:14" ht="18.75" customHeight="1" x14ac:dyDescent="0.3">
      <c r="B447" s="10"/>
      <c r="C447" s="182" t="s">
        <v>2485</v>
      </c>
      <c r="D447" s="113" t="s">
        <v>61</v>
      </c>
      <c r="E447" s="114" t="s">
        <v>62</v>
      </c>
      <c r="F447" s="115" t="s">
        <v>63</v>
      </c>
      <c r="G447" s="116"/>
      <c r="H447" s="108" t="s">
        <v>2118</v>
      </c>
      <c r="I447" s="107" t="s">
        <v>226</v>
      </c>
      <c r="J447" s="110">
        <v>0.37730000000000002</v>
      </c>
      <c r="K447" s="111">
        <v>13.439</v>
      </c>
      <c r="L447" s="112">
        <v>76.280280943546245</v>
      </c>
      <c r="M447" s="15"/>
      <c r="N447" s="44"/>
    </row>
    <row r="448" spans="2:14" ht="18.75" customHeight="1" x14ac:dyDescent="0.3">
      <c r="B448" s="10"/>
      <c r="C448" s="182" t="s">
        <v>2485</v>
      </c>
      <c r="D448" s="106" t="s">
        <v>525</v>
      </c>
      <c r="E448" s="107" t="s">
        <v>526</v>
      </c>
      <c r="F448" s="107" t="s">
        <v>527</v>
      </c>
      <c r="G448" s="120"/>
      <c r="H448" s="108" t="s">
        <v>2114</v>
      </c>
      <c r="I448" s="107" t="s">
        <v>226</v>
      </c>
      <c r="J448" s="110">
        <v>0.37730000000000002</v>
      </c>
      <c r="K448" s="111">
        <v>41.474000000000004</v>
      </c>
      <c r="L448" s="112">
        <v>76.280280943546245</v>
      </c>
      <c r="M448" s="15"/>
      <c r="N448" s="44"/>
    </row>
    <row r="449" spans="2:14" ht="18.75" customHeight="1" x14ac:dyDescent="0.3">
      <c r="B449" s="10"/>
      <c r="C449" s="182" t="s">
        <v>2485</v>
      </c>
      <c r="D449" s="106" t="s">
        <v>789</v>
      </c>
      <c r="E449" s="107" t="s">
        <v>790</v>
      </c>
      <c r="F449" s="107" t="s">
        <v>101</v>
      </c>
      <c r="G449" s="107" t="s">
        <v>276</v>
      </c>
      <c r="H449" s="108" t="s">
        <v>2183</v>
      </c>
      <c r="I449" s="107" t="s">
        <v>226</v>
      </c>
      <c r="J449" s="110">
        <v>0.37730000000000002</v>
      </c>
      <c r="K449" s="111">
        <v>20.024999999999999</v>
      </c>
      <c r="L449" s="112">
        <v>76.280280943546245</v>
      </c>
      <c r="M449" s="15"/>
      <c r="N449" s="44"/>
    </row>
    <row r="450" spans="2:14" ht="18.75" customHeight="1" x14ac:dyDescent="0.3">
      <c r="B450" s="10"/>
      <c r="C450" s="182" t="s">
        <v>2485</v>
      </c>
      <c r="D450" s="118" t="s">
        <v>1935</v>
      </c>
      <c r="E450" s="107" t="s">
        <v>1928</v>
      </c>
      <c r="F450" s="107" t="s">
        <v>1929</v>
      </c>
      <c r="G450" s="120" t="s">
        <v>1936</v>
      </c>
      <c r="H450" s="108" t="s">
        <v>2114</v>
      </c>
      <c r="I450" s="107" t="s">
        <v>226</v>
      </c>
      <c r="J450" s="110">
        <v>0.37730000000000002</v>
      </c>
      <c r="K450" s="111">
        <v>20.737000000000002</v>
      </c>
      <c r="L450" s="112">
        <v>76.280280943546245</v>
      </c>
      <c r="M450" s="15"/>
      <c r="N450" s="44"/>
    </row>
    <row r="451" spans="2:14" ht="18.75" customHeight="1" x14ac:dyDescent="0.3">
      <c r="B451" s="10"/>
      <c r="C451" s="182" t="s">
        <v>2485</v>
      </c>
      <c r="D451" s="118" t="s">
        <v>531</v>
      </c>
      <c r="E451" s="107" t="s">
        <v>532</v>
      </c>
      <c r="F451" s="119" t="s">
        <v>533</v>
      </c>
      <c r="G451" s="124"/>
      <c r="H451" s="108" t="s">
        <v>2162</v>
      </c>
      <c r="I451" s="107" t="s">
        <v>226</v>
      </c>
      <c r="J451" s="110">
        <v>0.37730000000000002</v>
      </c>
      <c r="K451" s="111">
        <v>19.669</v>
      </c>
      <c r="L451" s="112">
        <v>76.280280943546245</v>
      </c>
      <c r="M451" s="15"/>
      <c r="N451" s="44"/>
    </row>
    <row r="452" spans="2:14" ht="18.75" customHeight="1" x14ac:dyDescent="0.3">
      <c r="B452" s="10"/>
      <c r="C452" s="182" t="s">
        <v>2485</v>
      </c>
      <c r="D452" s="106" t="s">
        <v>1359</v>
      </c>
      <c r="E452" s="107" t="s">
        <v>1360</v>
      </c>
      <c r="F452" s="120" t="s">
        <v>1361</v>
      </c>
      <c r="G452" s="120"/>
      <c r="H452" s="108" t="s">
        <v>2231</v>
      </c>
      <c r="I452" s="107" t="s">
        <v>226</v>
      </c>
      <c r="J452" s="110">
        <v>0.37619999999999998</v>
      </c>
      <c r="K452" s="111">
        <v>16.802310000000002</v>
      </c>
      <c r="L452" s="112">
        <v>76.498936735778841</v>
      </c>
      <c r="M452" s="15"/>
      <c r="N452" s="44"/>
    </row>
    <row r="453" spans="2:14" ht="18.75" customHeight="1" x14ac:dyDescent="0.3">
      <c r="B453" s="10"/>
      <c r="C453" s="182" t="s">
        <v>2485</v>
      </c>
      <c r="D453" s="106" t="s">
        <v>1891</v>
      </c>
      <c r="E453" s="117" t="s">
        <v>1892</v>
      </c>
      <c r="F453" s="110" t="s">
        <v>1893</v>
      </c>
      <c r="G453" s="129" t="s">
        <v>70</v>
      </c>
      <c r="H453" s="108" t="s">
        <v>2280</v>
      </c>
      <c r="I453" s="107" t="s">
        <v>226</v>
      </c>
      <c r="J453" s="110">
        <v>0.37509999999999999</v>
      </c>
      <c r="K453" s="111">
        <v>10.234999999999999</v>
      </c>
      <c r="L453" s="112">
        <v>76.718874966675557</v>
      </c>
      <c r="M453" s="15"/>
      <c r="N453" s="44"/>
    </row>
    <row r="454" spans="2:14" ht="18.75" customHeight="1" x14ac:dyDescent="0.3">
      <c r="B454" s="10"/>
      <c r="C454" s="182" t="s">
        <v>2485</v>
      </c>
      <c r="D454" s="106" t="s">
        <v>39</v>
      </c>
      <c r="E454" s="107" t="s">
        <v>40</v>
      </c>
      <c r="F454" s="120" t="s">
        <v>41</v>
      </c>
      <c r="G454" s="120" t="s">
        <v>44</v>
      </c>
      <c r="H454" s="108" t="s">
        <v>1988</v>
      </c>
      <c r="I454" s="107" t="s">
        <v>96</v>
      </c>
      <c r="J454" s="110">
        <v>0.37219999999999998</v>
      </c>
      <c r="K454" s="111">
        <v>57.85</v>
      </c>
      <c r="L454" s="112">
        <v>76.804943578721122</v>
      </c>
      <c r="M454" s="15"/>
      <c r="N454" s="44"/>
    </row>
    <row r="455" spans="2:14" ht="18.75" customHeight="1" x14ac:dyDescent="0.3">
      <c r="B455" s="10"/>
      <c r="C455" s="182" t="s">
        <v>2485</v>
      </c>
      <c r="D455" s="106" t="s">
        <v>1289</v>
      </c>
      <c r="E455" s="120" t="s">
        <v>1282</v>
      </c>
      <c r="F455" s="120" t="s">
        <v>1283</v>
      </c>
      <c r="G455" s="120" t="s">
        <v>1290</v>
      </c>
      <c r="H455" s="108" t="s">
        <v>2009</v>
      </c>
      <c r="I455" s="107" t="s">
        <v>226</v>
      </c>
      <c r="J455" s="110">
        <v>0.374</v>
      </c>
      <c r="K455" s="111">
        <v>9.1670000000000016</v>
      </c>
      <c r="L455" s="112">
        <v>76.940106951871655</v>
      </c>
      <c r="M455" s="15"/>
      <c r="N455" s="44"/>
    </row>
    <row r="456" spans="2:14" ht="18.75" customHeight="1" x14ac:dyDescent="0.3">
      <c r="B456" s="10"/>
      <c r="C456" s="182" t="s">
        <v>2485</v>
      </c>
      <c r="D456" s="106" t="s">
        <v>940</v>
      </c>
      <c r="E456" s="107" t="s">
        <v>941</v>
      </c>
      <c r="F456" s="107" t="s">
        <v>942</v>
      </c>
      <c r="G456" s="120">
        <v>10</v>
      </c>
      <c r="H456" s="108" t="s">
        <v>2195</v>
      </c>
      <c r="I456" s="107" t="s">
        <v>226</v>
      </c>
      <c r="J456" s="110">
        <v>0.37290000000000001</v>
      </c>
      <c r="K456" s="111">
        <v>10.324</v>
      </c>
      <c r="L456" s="112">
        <v>77.162644140520243</v>
      </c>
      <c r="M456" s="15"/>
      <c r="N456" s="44"/>
    </row>
    <row r="457" spans="2:14" ht="18.75" customHeight="1" x14ac:dyDescent="0.3">
      <c r="B457" s="10"/>
      <c r="C457" s="182" t="s">
        <v>2485</v>
      </c>
      <c r="D457" s="106" t="s">
        <v>1783</v>
      </c>
      <c r="E457" s="129" t="s">
        <v>1779</v>
      </c>
      <c r="F457" s="110" t="s">
        <v>1780</v>
      </c>
      <c r="G457" s="110" t="s">
        <v>1784</v>
      </c>
      <c r="H457" s="108" t="s">
        <v>2270</v>
      </c>
      <c r="I457" s="107" t="s">
        <v>226</v>
      </c>
      <c r="J457" s="110">
        <v>0.37290000000000001</v>
      </c>
      <c r="K457" s="111">
        <v>51.709000000000003</v>
      </c>
      <c r="L457" s="112">
        <v>77.162644140520243</v>
      </c>
      <c r="M457" s="15"/>
      <c r="N457" s="44"/>
    </row>
    <row r="458" spans="2:14" ht="18.75" customHeight="1" x14ac:dyDescent="0.3">
      <c r="B458" s="10"/>
      <c r="C458" s="182" t="s">
        <v>2485</v>
      </c>
      <c r="D458" s="118" t="s">
        <v>349</v>
      </c>
      <c r="E458" s="107" t="s">
        <v>345</v>
      </c>
      <c r="F458" s="107" t="s">
        <v>346</v>
      </c>
      <c r="G458" s="107" t="s">
        <v>350</v>
      </c>
      <c r="H458" s="108" t="s">
        <v>2140</v>
      </c>
      <c r="I458" s="107" t="s">
        <v>96</v>
      </c>
      <c r="J458" s="110">
        <v>0.36959999999999998</v>
      </c>
      <c r="K458" s="111">
        <v>12.015000000000001</v>
      </c>
      <c r="L458" s="112">
        <v>77.33820346320347</v>
      </c>
      <c r="M458" s="15"/>
      <c r="N458" s="44"/>
    </row>
    <row r="459" spans="2:14" ht="18.75" customHeight="1" x14ac:dyDescent="0.3">
      <c r="B459" s="10"/>
      <c r="C459" s="182" t="s">
        <v>2485</v>
      </c>
      <c r="D459" s="106" t="s">
        <v>717</v>
      </c>
      <c r="E459" s="107" t="s">
        <v>718</v>
      </c>
      <c r="F459" s="120" t="s">
        <v>719</v>
      </c>
      <c r="G459" s="124" t="s">
        <v>96</v>
      </c>
      <c r="H459" s="108" t="s">
        <v>2083</v>
      </c>
      <c r="I459" s="107" t="s">
        <v>96</v>
      </c>
      <c r="J459" s="110">
        <v>0.36959999999999998</v>
      </c>
      <c r="K459" s="111">
        <v>13.083</v>
      </c>
      <c r="L459" s="112">
        <v>77.33820346320347</v>
      </c>
      <c r="M459" s="15"/>
      <c r="N459" s="44"/>
    </row>
    <row r="460" spans="2:14" ht="18.75" customHeight="1" x14ac:dyDescent="0.3">
      <c r="B460" s="10"/>
      <c r="C460" s="182" t="s">
        <v>2485</v>
      </c>
      <c r="D460" s="106" t="s">
        <v>984</v>
      </c>
      <c r="E460" s="120" t="s">
        <v>981</v>
      </c>
      <c r="F460" s="107" t="s">
        <v>985</v>
      </c>
      <c r="G460" s="107"/>
      <c r="H460" s="108" t="s">
        <v>2197</v>
      </c>
      <c r="I460" s="107" t="s">
        <v>226</v>
      </c>
      <c r="J460" s="110">
        <v>0.37180000000000002</v>
      </c>
      <c r="K460" s="111">
        <v>44.5</v>
      </c>
      <c r="L460" s="112">
        <v>77.386498117267337</v>
      </c>
      <c r="M460" s="15"/>
      <c r="N460" s="44"/>
    </row>
    <row r="461" spans="2:14" ht="18.75" customHeight="1" x14ac:dyDescent="0.3">
      <c r="B461" s="10"/>
      <c r="C461" s="182" t="s">
        <v>2485</v>
      </c>
      <c r="D461" s="106" t="s">
        <v>1726</v>
      </c>
      <c r="E461" s="107" t="s">
        <v>1727</v>
      </c>
      <c r="F461" s="107" t="s">
        <v>1728</v>
      </c>
      <c r="G461" s="107" t="s">
        <v>1730</v>
      </c>
      <c r="H461" s="108" t="s">
        <v>2265</v>
      </c>
      <c r="I461" s="107" t="s">
        <v>226</v>
      </c>
      <c r="J461" s="110">
        <v>0.37180000000000002</v>
      </c>
      <c r="K461" s="111">
        <v>10.841090000000001</v>
      </c>
      <c r="L461" s="112">
        <v>77.386498117267337</v>
      </c>
      <c r="M461" s="15"/>
      <c r="N461" s="44"/>
    </row>
    <row r="462" spans="2:14" ht="18.75" customHeight="1" x14ac:dyDescent="0.3">
      <c r="B462" s="10"/>
      <c r="C462" s="182" t="s">
        <v>2485</v>
      </c>
      <c r="D462" s="118" t="s">
        <v>1390</v>
      </c>
      <c r="E462" s="107" t="s">
        <v>1383</v>
      </c>
      <c r="F462" s="107" t="s">
        <v>1391</v>
      </c>
      <c r="G462" s="107"/>
      <c r="H462" s="108" t="s">
        <v>2235</v>
      </c>
      <c r="I462" s="107" t="s">
        <v>96</v>
      </c>
      <c r="J462" s="110">
        <v>0.36699999999999999</v>
      </c>
      <c r="K462" s="111">
        <v>4.5389999999999997</v>
      </c>
      <c r="L462" s="112">
        <v>77.879019073569481</v>
      </c>
      <c r="M462" s="15"/>
      <c r="N462" s="44"/>
    </row>
    <row r="463" spans="2:14" ht="18.75" customHeight="1" x14ac:dyDescent="0.3">
      <c r="B463" s="10"/>
      <c r="C463" s="182" t="s">
        <v>2485</v>
      </c>
      <c r="D463" s="118" t="s">
        <v>961</v>
      </c>
      <c r="E463" s="120" t="s">
        <v>962</v>
      </c>
      <c r="F463" s="107" t="s">
        <v>963</v>
      </c>
      <c r="G463" s="120" t="s">
        <v>964</v>
      </c>
      <c r="H463" s="108" t="s">
        <v>2044</v>
      </c>
      <c r="I463" s="107" t="s">
        <v>226</v>
      </c>
      <c r="J463" s="110">
        <v>0.3674</v>
      </c>
      <c r="K463" s="111">
        <v>29.37</v>
      </c>
      <c r="L463" s="112">
        <v>78.295318454001091</v>
      </c>
      <c r="M463" s="15"/>
      <c r="N463" s="44"/>
    </row>
    <row r="464" spans="2:14" ht="18.75" customHeight="1" x14ac:dyDescent="0.3">
      <c r="B464" s="10"/>
      <c r="C464" s="182" t="s">
        <v>2485</v>
      </c>
      <c r="D464" s="106" t="s">
        <v>1388</v>
      </c>
      <c r="E464" s="107" t="s">
        <v>1383</v>
      </c>
      <c r="F464" s="107" t="s">
        <v>1389</v>
      </c>
      <c r="G464" s="107"/>
      <c r="H464" s="108" t="s">
        <v>280</v>
      </c>
      <c r="I464" s="107" t="s">
        <v>96</v>
      </c>
      <c r="J464" s="110">
        <v>0.3644</v>
      </c>
      <c r="K464" s="111">
        <v>4.5389999999999997</v>
      </c>
      <c r="L464" s="112">
        <v>78.427552140504943</v>
      </c>
      <c r="M464" s="15"/>
      <c r="N464" s="44"/>
    </row>
    <row r="465" spans="2:14" ht="18.75" customHeight="1" x14ac:dyDescent="0.3">
      <c r="B465" s="10"/>
      <c r="C465" s="182" t="s">
        <v>2485</v>
      </c>
      <c r="D465" s="118" t="s">
        <v>689</v>
      </c>
      <c r="E465" s="107" t="s">
        <v>685</v>
      </c>
      <c r="F465" s="107" t="s">
        <v>690</v>
      </c>
      <c r="G465" s="120"/>
      <c r="H465" s="108" t="s">
        <v>2176</v>
      </c>
      <c r="I465" s="107" t="s">
        <v>226</v>
      </c>
      <c r="J465" s="110">
        <v>0.36520000000000002</v>
      </c>
      <c r="K465" s="111">
        <v>6.6572000000000005</v>
      </c>
      <c r="L465" s="112">
        <v>78.757940854326392</v>
      </c>
      <c r="M465" s="15"/>
      <c r="N465" s="44"/>
    </row>
    <row r="466" spans="2:14" ht="18.75" customHeight="1" x14ac:dyDescent="0.3">
      <c r="B466" s="10"/>
      <c r="C466" s="182" t="s">
        <v>2485</v>
      </c>
      <c r="D466" s="118" t="s">
        <v>1382</v>
      </c>
      <c r="E466" s="107" t="s">
        <v>1383</v>
      </c>
      <c r="F466" s="107" t="s">
        <v>1384</v>
      </c>
      <c r="G466" s="120"/>
      <c r="H466" s="108" t="s">
        <v>2234</v>
      </c>
      <c r="I466" s="107" t="s">
        <v>96</v>
      </c>
      <c r="J466" s="110">
        <v>0.36180000000000001</v>
      </c>
      <c r="K466" s="111">
        <v>3.7380000000000004</v>
      </c>
      <c r="L466" s="112">
        <v>78.983969043670541</v>
      </c>
      <c r="M466" s="15"/>
      <c r="N466" s="44"/>
    </row>
    <row r="467" spans="2:14" ht="18.75" customHeight="1" x14ac:dyDescent="0.3">
      <c r="B467" s="10"/>
      <c r="C467" s="182" t="s">
        <v>2485</v>
      </c>
      <c r="D467" s="118" t="s">
        <v>1386</v>
      </c>
      <c r="E467" s="107" t="s">
        <v>1383</v>
      </c>
      <c r="F467" s="107" t="s">
        <v>1387</v>
      </c>
      <c r="G467" s="107"/>
      <c r="H467" s="108" t="s">
        <v>2234</v>
      </c>
      <c r="I467" s="107" t="s">
        <v>96</v>
      </c>
      <c r="J467" s="110">
        <v>0.36180000000000001</v>
      </c>
      <c r="K467" s="111">
        <v>3.7380000000000004</v>
      </c>
      <c r="L467" s="112">
        <v>78.983969043670541</v>
      </c>
      <c r="M467" s="15"/>
      <c r="N467" s="44"/>
    </row>
    <row r="468" spans="2:14" ht="18.75" customHeight="1" x14ac:dyDescent="0.3">
      <c r="B468" s="10"/>
      <c r="C468" s="182" t="s">
        <v>2485</v>
      </c>
      <c r="D468" s="106" t="s">
        <v>1157</v>
      </c>
      <c r="E468" s="107" t="s">
        <v>1080</v>
      </c>
      <c r="F468" s="107" t="s">
        <v>1158</v>
      </c>
      <c r="G468" s="107"/>
      <c r="H468" s="108" t="s">
        <v>2064</v>
      </c>
      <c r="I468" s="107" t="s">
        <v>226</v>
      </c>
      <c r="J468" s="110">
        <v>0.36409999999999998</v>
      </c>
      <c r="K468" s="111">
        <v>24.03</v>
      </c>
      <c r="L468" s="112">
        <v>78.991348530623469</v>
      </c>
      <c r="M468" s="15"/>
      <c r="N468" s="44"/>
    </row>
    <row r="469" spans="2:14" ht="18.75" customHeight="1" x14ac:dyDescent="0.3">
      <c r="B469" s="10"/>
      <c r="C469" s="182" t="s">
        <v>2485</v>
      </c>
      <c r="D469" s="106" t="s">
        <v>1621</v>
      </c>
      <c r="E469" s="107" t="s">
        <v>1614</v>
      </c>
      <c r="F469" s="107" t="s">
        <v>1615</v>
      </c>
      <c r="G469" s="120" t="s">
        <v>1622</v>
      </c>
      <c r="H469" s="108" t="s">
        <v>2329</v>
      </c>
      <c r="I469" s="107" t="s">
        <v>226</v>
      </c>
      <c r="J469" s="110">
        <v>0.36299999999999999</v>
      </c>
      <c r="K469" s="111">
        <v>5.34</v>
      </c>
      <c r="L469" s="112">
        <v>79.226170798898067</v>
      </c>
      <c r="M469" s="15"/>
      <c r="N469" s="44"/>
    </row>
    <row r="470" spans="2:14" ht="18.75" customHeight="1" x14ac:dyDescent="0.3">
      <c r="B470" s="10"/>
      <c r="C470" s="182" t="s">
        <v>2485</v>
      </c>
      <c r="D470" s="106" t="s">
        <v>1115</v>
      </c>
      <c r="E470" s="107" t="s">
        <v>1116</v>
      </c>
      <c r="F470" s="107" t="s">
        <v>283</v>
      </c>
      <c r="G470" s="120"/>
      <c r="H470" s="108" t="s">
        <v>2210</v>
      </c>
      <c r="I470" s="107" t="s">
        <v>226</v>
      </c>
      <c r="J470" s="110">
        <v>0.36299999999999999</v>
      </c>
      <c r="K470" s="111">
        <v>10.057</v>
      </c>
      <c r="L470" s="112">
        <v>79.226170798898067</v>
      </c>
      <c r="M470" s="15"/>
      <c r="N470" s="44"/>
    </row>
    <row r="471" spans="2:14" ht="18.75" customHeight="1" x14ac:dyDescent="0.3">
      <c r="B471" s="10"/>
      <c r="C471" s="182" t="s">
        <v>2485</v>
      </c>
      <c r="D471" s="118" t="s">
        <v>360</v>
      </c>
      <c r="E471" s="107" t="s">
        <v>356</v>
      </c>
      <c r="F471" s="107" t="s">
        <v>361</v>
      </c>
      <c r="G471" s="107"/>
      <c r="H471" s="108" t="s">
        <v>2142</v>
      </c>
      <c r="I471" s="107" t="s">
        <v>226</v>
      </c>
      <c r="J471" s="110">
        <v>0.3619</v>
      </c>
      <c r="K471" s="111">
        <v>44.5</v>
      </c>
      <c r="L471" s="112">
        <v>79.462420558165235</v>
      </c>
      <c r="M471" s="15"/>
      <c r="N471" s="44"/>
    </row>
    <row r="472" spans="2:14" ht="18.75" customHeight="1" x14ac:dyDescent="0.3">
      <c r="B472" s="10"/>
      <c r="C472" s="182" t="s">
        <v>2485</v>
      </c>
      <c r="D472" s="118" t="s">
        <v>1537</v>
      </c>
      <c r="E472" s="120" t="s">
        <v>1260</v>
      </c>
      <c r="F472" s="107" t="s">
        <v>1538</v>
      </c>
      <c r="G472" s="107"/>
      <c r="H472" s="108" t="s">
        <v>2246</v>
      </c>
      <c r="I472" s="107" t="s">
        <v>226</v>
      </c>
      <c r="J472" s="110">
        <v>0.3619</v>
      </c>
      <c r="K472" s="111">
        <v>13.9552</v>
      </c>
      <c r="L472" s="112">
        <v>79.462420558165235</v>
      </c>
      <c r="M472" s="15"/>
      <c r="N472" s="44"/>
    </row>
    <row r="473" spans="2:14" ht="18.75" customHeight="1" x14ac:dyDescent="0.3">
      <c r="B473" s="10"/>
      <c r="C473" s="182" t="s">
        <v>2485</v>
      </c>
      <c r="D473" s="118" t="s">
        <v>1192</v>
      </c>
      <c r="E473" s="107" t="s">
        <v>1186</v>
      </c>
      <c r="F473" s="107" t="s">
        <v>1193</v>
      </c>
      <c r="G473" s="107" t="s">
        <v>838</v>
      </c>
      <c r="H473" s="108" t="s">
        <v>2214</v>
      </c>
      <c r="I473" s="107" t="s">
        <v>96</v>
      </c>
      <c r="J473" s="110">
        <v>0.35920000000000002</v>
      </c>
      <c r="K473" s="111">
        <v>41.83</v>
      </c>
      <c r="L473" s="112">
        <v>79.548440979955444</v>
      </c>
      <c r="M473" s="15"/>
      <c r="N473" s="44"/>
    </row>
    <row r="474" spans="2:14" ht="18.75" customHeight="1" x14ac:dyDescent="0.3">
      <c r="B474" s="10"/>
      <c r="C474" s="182" t="s">
        <v>2485</v>
      </c>
      <c r="D474" s="118" t="s">
        <v>523</v>
      </c>
      <c r="E474" s="107" t="s">
        <v>520</v>
      </c>
      <c r="F474" s="107" t="s">
        <v>521</v>
      </c>
      <c r="G474" s="120"/>
      <c r="H474" s="108" t="s">
        <v>2161</v>
      </c>
      <c r="I474" s="107" t="s">
        <v>226</v>
      </c>
      <c r="J474" s="110">
        <v>0.35970000000000002</v>
      </c>
      <c r="K474" s="111">
        <v>3.56</v>
      </c>
      <c r="L474" s="112">
        <v>79.939254934667787</v>
      </c>
      <c r="M474" s="15"/>
      <c r="N474" s="44"/>
    </row>
    <row r="475" spans="2:14" ht="18.75" customHeight="1" x14ac:dyDescent="0.3">
      <c r="B475" s="10"/>
      <c r="C475" s="182" t="s">
        <v>2485</v>
      </c>
      <c r="D475" s="106" t="s">
        <v>378</v>
      </c>
      <c r="E475" s="107" t="s">
        <v>372</v>
      </c>
      <c r="F475" s="107" t="s">
        <v>373</v>
      </c>
      <c r="G475" s="107" t="s">
        <v>96</v>
      </c>
      <c r="H475" s="108" t="s">
        <v>2145</v>
      </c>
      <c r="I475" s="107" t="s">
        <v>96</v>
      </c>
      <c r="J475" s="110">
        <v>0.35659999999999997</v>
      </c>
      <c r="K475" s="111">
        <v>9.0779999999999994</v>
      </c>
      <c r="L475" s="112">
        <v>80.121144139091427</v>
      </c>
      <c r="M475" s="15"/>
      <c r="N475" s="44"/>
    </row>
    <row r="476" spans="2:14" ht="18.75" customHeight="1" x14ac:dyDescent="0.3">
      <c r="B476" s="10"/>
      <c r="C476" s="182" t="s">
        <v>2485</v>
      </c>
      <c r="D476" s="118" t="s">
        <v>100</v>
      </c>
      <c r="E476" s="107" t="s">
        <v>95</v>
      </c>
      <c r="F476" s="119" t="s">
        <v>101</v>
      </c>
      <c r="G476" s="124" t="s">
        <v>103</v>
      </c>
      <c r="H476" s="108" t="s">
        <v>2121</v>
      </c>
      <c r="I476" s="107" t="s">
        <v>226</v>
      </c>
      <c r="J476" s="110">
        <v>0.35859999999999997</v>
      </c>
      <c r="K476" s="111">
        <v>18.155999999999999</v>
      </c>
      <c r="L476" s="112">
        <v>80.179866146123814</v>
      </c>
      <c r="M476" s="15"/>
      <c r="N476" s="44"/>
    </row>
    <row r="477" spans="2:14" ht="18.75" customHeight="1" x14ac:dyDescent="0.3">
      <c r="B477" s="10"/>
      <c r="C477" s="182" t="s">
        <v>2485</v>
      </c>
      <c r="D477" s="118" t="s">
        <v>1900</v>
      </c>
      <c r="E477" s="107" t="s">
        <v>875</v>
      </c>
      <c r="F477" s="107" t="s">
        <v>1901</v>
      </c>
      <c r="G477" s="120" t="s">
        <v>1901</v>
      </c>
      <c r="H477" s="108" t="s">
        <v>1788</v>
      </c>
      <c r="I477" s="107" t="s">
        <v>226</v>
      </c>
      <c r="J477" s="110">
        <v>0.35639999999999999</v>
      </c>
      <c r="K477" s="111">
        <v>9.7900000000000009</v>
      </c>
      <c r="L477" s="112">
        <v>80.665544332210999</v>
      </c>
      <c r="M477" s="15"/>
      <c r="N477" s="44"/>
    </row>
    <row r="478" spans="2:14" ht="18.75" customHeight="1" x14ac:dyDescent="0.3">
      <c r="B478" s="10"/>
      <c r="C478" s="182" t="s">
        <v>2485</v>
      </c>
      <c r="D478" s="118"/>
      <c r="E478" s="107" t="s">
        <v>1980</v>
      </c>
      <c r="F478" s="119"/>
      <c r="G478" s="124"/>
      <c r="H478" s="108"/>
      <c r="I478" s="107" t="s">
        <v>96</v>
      </c>
      <c r="J478" s="110">
        <v>0.35399999999999998</v>
      </c>
      <c r="K478" s="111">
        <v>2962.0773590045892</v>
      </c>
      <c r="L478" s="112">
        <v>80.702259887005653</v>
      </c>
      <c r="M478" s="15"/>
      <c r="N478" s="44"/>
    </row>
    <row r="479" spans="2:14" ht="18.75" customHeight="1" x14ac:dyDescent="0.3">
      <c r="B479" s="10"/>
      <c r="C479" s="182" t="s">
        <v>2485</v>
      </c>
      <c r="D479" s="106" t="s">
        <v>185</v>
      </c>
      <c r="E479" s="129" t="s">
        <v>186</v>
      </c>
      <c r="F479" s="107" t="s">
        <v>187</v>
      </c>
      <c r="G479" s="107"/>
      <c r="H479" s="108" t="s">
        <v>2127</v>
      </c>
      <c r="I479" s="107" t="s">
        <v>226</v>
      </c>
      <c r="J479" s="110">
        <v>0.35420000000000001</v>
      </c>
      <c r="K479" s="111">
        <v>13.35</v>
      </c>
      <c r="L479" s="112">
        <v>81.157255787690573</v>
      </c>
      <c r="M479" s="15"/>
      <c r="N479" s="44"/>
    </row>
    <row r="480" spans="2:14" ht="18.75" customHeight="1" x14ac:dyDescent="0.3">
      <c r="B480" s="10"/>
      <c r="C480" s="182" t="s">
        <v>2485</v>
      </c>
      <c r="D480" s="106" t="s">
        <v>1400</v>
      </c>
      <c r="E480" s="107" t="s">
        <v>1401</v>
      </c>
      <c r="F480" s="107" t="s">
        <v>1402</v>
      </c>
      <c r="G480" s="120" t="s">
        <v>1402</v>
      </c>
      <c r="H480" s="108" t="s">
        <v>2236</v>
      </c>
      <c r="I480" s="107" t="s">
        <v>226</v>
      </c>
      <c r="J480" s="110">
        <v>0.35310000000000002</v>
      </c>
      <c r="K480" s="111">
        <v>20.559000000000001</v>
      </c>
      <c r="L480" s="112">
        <v>81.405409232512042</v>
      </c>
      <c r="M480" s="15"/>
      <c r="N480" s="44"/>
    </row>
    <row r="481" spans="2:14" ht="18.75" customHeight="1" x14ac:dyDescent="0.3">
      <c r="B481" s="10"/>
      <c r="C481" s="182" t="s">
        <v>2485</v>
      </c>
      <c r="D481" s="118" t="s">
        <v>317</v>
      </c>
      <c r="E481" s="107" t="s">
        <v>318</v>
      </c>
      <c r="F481" s="107" t="s">
        <v>311</v>
      </c>
      <c r="G481" s="107" t="s">
        <v>319</v>
      </c>
      <c r="H481" s="108" t="s">
        <v>2245</v>
      </c>
      <c r="I481" s="107" t="s">
        <v>226</v>
      </c>
      <c r="J481" s="110">
        <v>0.35199999999999998</v>
      </c>
      <c r="K481" s="111">
        <v>142.4</v>
      </c>
      <c r="L481" s="112">
        <v>81.655113636363637</v>
      </c>
      <c r="M481" s="15"/>
      <c r="N481" s="44"/>
    </row>
    <row r="482" spans="2:14" ht="18.75" customHeight="1" x14ac:dyDescent="0.3">
      <c r="B482" s="10"/>
      <c r="C482" s="182" t="s">
        <v>2485</v>
      </c>
      <c r="D482" s="113" t="s">
        <v>775</v>
      </c>
      <c r="E482" s="114" t="s">
        <v>466</v>
      </c>
      <c r="F482" s="115" t="s">
        <v>776</v>
      </c>
      <c r="G482" s="116" t="s">
        <v>319</v>
      </c>
      <c r="H482" s="108" t="s">
        <v>2053</v>
      </c>
      <c r="I482" s="107" t="s">
        <v>226</v>
      </c>
      <c r="J482" s="110">
        <v>0.35199999999999998</v>
      </c>
      <c r="K482" s="111">
        <v>89.89</v>
      </c>
      <c r="L482" s="112">
        <v>81.655113636363637</v>
      </c>
      <c r="M482" s="15"/>
      <c r="N482" s="44"/>
    </row>
    <row r="483" spans="2:14" ht="18.75" customHeight="1" x14ac:dyDescent="0.3">
      <c r="B483" s="10"/>
      <c r="C483" s="182" t="s">
        <v>2485</v>
      </c>
      <c r="D483" s="106" t="s">
        <v>1732</v>
      </c>
      <c r="E483" s="107" t="s">
        <v>1727</v>
      </c>
      <c r="F483" s="107" t="s">
        <v>1728</v>
      </c>
      <c r="G483" s="107" t="s">
        <v>1733</v>
      </c>
      <c r="H483" s="108" t="s">
        <v>2266</v>
      </c>
      <c r="I483" s="107" t="s">
        <v>226</v>
      </c>
      <c r="J483" s="110">
        <v>0.35089999999999999</v>
      </c>
      <c r="K483" s="111">
        <v>10.090553</v>
      </c>
      <c r="L483" s="112">
        <v>81.906383585066962</v>
      </c>
      <c r="M483" s="15"/>
      <c r="N483" s="44"/>
    </row>
    <row r="484" spans="2:14" ht="18.75" customHeight="1" x14ac:dyDescent="0.3">
      <c r="B484" s="10"/>
      <c r="C484" s="182" t="s">
        <v>2485</v>
      </c>
      <c r="D484" s="118" t="s">
        <v>255</v>
      </c>
      <c r="E484" s="107" t="s">
        <v>256</v>
      </c>
      <c r="F484" s="107" t="s">
        <v>257</v>
      </c>
      <c r="G484" s="120"/>
      <c r="H484" s="108" t="s">
        <v>2132</v>
      </c>
      <c r="I484" s="107" t="s">
        <v>226</v>
      </c>
      <c r="J484" s="110">
        <v>0.35089999999999999</v>
      </c>
      <c r="K484" s="111">
        <v>13.884</v>
      </c>
      <c r="L484" s="112">
        <v>81.906383585066962</v>
      </c>
      <c r="M484" s="15"/>
      <c r="N484" s="44"/>
    </row>
    <row r="485" spans="2:14" ht="18.75" customHeight="1" x14ac:dyDescent="0.3">
      <c r="B485" s="10"/>
      <c r="C485" s="182" t="s">
        <v>2485</v>
      </c>
      <c r="D485" s="106" t="s">
        <v>1734</v>
      </c>
      <c r="E485" s="107" t="s">
        <v>1727</v>
      </c>
      <c r="F485" s="107" t="s">
        <v>1728</v>
      </c>
      <c r="G485" s="107" t="s">
        <v>1735</v>
      </c>
      <c r="H485" s="108" t="s">
        <v>2267</v>
      </c>
      <c r="I485" s="107" t="s">
        <v>226</v>
      </c>
      <c r="J485" s="110">
        <v>0.3498</v>
      </c>
      <c r="K485" s="111">
        <v>10.340732000000001</v>
      </c>
      <c r="L485" s="112">
        <v>82.1592338479131</v>
      </c>
      <c r="M485" s="15"/>
      <c r="N485" s="44"/>
    </row>
    <row r="486" spans="2:14" ht="18.75" customHeight="1" x14ac:dyDescent="0.3">
      <c r="B486" s="10"/>
      <c r="C486" s="182" t="s">
        <v>2485</v>
      </c>
      <c r="D486" s="118" t="s">
        <v>1785</v>
      </c>
      <c r="E486" s="107" t="s">
        <v>1779</v>
      </c>
      <c r="F486" s="107" t="s">
        <v>1780</v>
      </c>
      <c r="G486" s="107" t="s">
        <v>1786</v>
      </c>
      <c r="H486" s="108" t="s">
        <v>2057</v>
      </c>
      <c r="I486" s="107" t="s">
        <v>226</v>
      </c>
      <c r="J486" s="110">
        <v>0.3498</v>
      </c>
      <c r="K486" s="111">
        <v>0.42719999999999997</v>
      </c>
      <c r="L486" s="112">
        <v>82.1592338479131</v>
      </c>
      <c r="M486" s="15"/>
      <c r="N486" s="44"/>
    </row>
    <row r="487" spans="2:14" ht="18.75" customHeight="1" x14ac:dyDescent="0.3">
      <c r="B487" s="10"/>
      <c r="C487" s="182" t="s">
        <v>2485</v>
      </c>
      <c r="D487" s="118" t="s">
        <v>1419</v>
      </c>
      <c r="E487" s="107" t="s">
        <v>1420</v>
      </c>
      <c r="F487" s="107" t="s">
        <v>1421</v>
      </c>
      <c r="G487" s="107"/>
      <c r="H487" s="108" t="s">
        <v>1982</v>
      </c>
      <c r="I487" s="107" t="s">
        <v>226</v>
      </c>
      <c r="J487" s="110">
        <v>0.34210000000000002</v>
      </c>
      <c r="K487" s="111">
        <v>26.7</v>
      </c>
      <c r="L487" s="112">
        <v>83.974714995615301</v>
      </c>
      <c r="M487" s="15"/>
      <c r="N487" s="44"/>
    </row>
    <row r="488" spans="2:14" ht="18.75" customHeight="1" x14ac:dyDescent="0.3">
      <c r="B488" s="10"/>
      <c r="C488" s="182" t="s">
        <v>2485</v>
      </c>
      <c r="D488" s="118" t="s">
        <v>471</v>
      </c>
      <c r="E488" s="107" t="s">
        <v>466</v>
      </c>
      <c r="F488" s="107" t="s">
        <v>472</v>
      </c>
      <c r="G488" s="120" t="s">
        <v>473</v>
      </c>
      <c r="H488" s="108" t="s">
        <v>2059</v>
      </c>
      <c r="I488" s="107" t="s">
        <v>226</v>
      </c>
      <c r="J488" s="110">
        <v>0.34100000000000003</v>
      </c>
      <c r="K488" s="111">
        <v>84.55</v>
      </c>
      <c r="L488" s="112">
        <v>84.240762463343103</v>
      </c>
      <c r="M488" s="15"/>
      <c r="N488" s="44"/>
    </row>
    <row r="489" spans="2:14" ht="18.75" customHeight="1" x14ac:dyDescent="0.3">
      <c r="B489" s="10"/>
      <c r="C489" s="182" t="s">
        <v>2485</v>
      </c>
      <c r="D489" s="106" t="s">
        <v>474</v>
      </c>
      <c r="E489" s="107" t="s">
        <v>466</v>
      </c>
      <c r="F489" s="107" t="s">
        <v>475</v>
      </c>
      <c r="G489" s="107" t="s">
        <v>319</v>
      </c>
      <c r="H489" s="108" t="s">
        <v>2008</v>
      </c>
      <c r="I489" s="107" t="s">
        <v>226</v>
      </c>
      <c r="J489" s="110">
        <v>0.34100000000000003</v>
      </c>
      <c r="K489" s="111">
        <v>151.30000000000001</v>
      </c>
      <c r="L489" s="112">
        <v>84.240762463343103</v>
      </c>
      <c r="M489" s="15"/>
      <c r="N489" s="44"/>
    </row>
    <row r="490" spans="2:14" ht="18.75" customHeight="1" x14ac:dyDescent="0.3">
      <c r="B490" s="10"/>
      <c r="C490" s="182" t="s">
        <v>2485</v>
      </c>
      <c r="D490" s="118" t="s">
        <v>1043</v>
      </c>
      <c r="E490" s="117" t="s">
        <v>1044</v>
      </c>
      <c r="F490" s="119" t="s">
        <v>1045</v>
      </c>
      <c r="G490" s="119"/>
      <c r="H490" s="108" t="s">
        <v>2049</v>
      </c>
      <c r="I490" s="107" t="s">
        <v>226</v>
      </c>
      <c r="J490" s="110">
        <v>0.34100000000000003</v>
      </c>
      <c r="K490" s="111">
        <v>23.585000000000001</v>
      </c>
      <c r="L490" s="112">
        <v>84.240762463343103</v>
      </c>
      <c r="M490" s="15"/>
      <c r="N490" s="44"/>
    </row>
    <row r="491" spans="2:14" ht="18.75" customHeight="1" x14ac:dyDescent="0.3">
      <c r="B491" s="10"/>
      <c r="C491" s="182" t="s">
        <v>2485</v>
      </c>
      <c r="D491" s="133" t="s">
        <v>1835</v>
      </c>
      <c r="E491" s="173" t="s">
        <v>160</v>
      </c>
      <c r="F491" s="134" t="s">
        <v>161</v>
      </c>
      <c r="G491" s="134" t="s">
        <v>1836</v>
      </c>
      <c r="H491" s="108" t="s">
        <v>2052</v>
      </c>
      <c r="I491" s="107" t="s">
        <v>96</v>
      </c>
      <c r="J491" s="110">
        <v>0.33839999999999998</v>
      </c>
      <c r="K491" s="111">
        <v>99.68</v>
      </c>
      <c r="L491" s="112">
        <v>84.376477541371173</v>
      </c>
      <c r="M491" s="15"/>
      <c r="N491" s="44"/>
    </row>
    <row r="492" spans="2:14" ht="18.75" customHeight="1" x14ac:dyDescent="0.3">
      <c r="B492" s="10"/>
      <c r="C492" s="182" t="s">
        <v>2485</v>
      </c>
      <c r="D492" s="118" t="s">
        <v>465</v>
      </c>
      <c r="E492" s="120" t="s">
        <v>466</v>
      </c>
      <c r="F492" s="107" t="s">
        <v>467</v>
      </c>
      <c r="G492" s="120" t="s">
        <v>469</v>
      </c>
      <c r="H492" s="108" t="s">
        <v>2066</v>
      </c>
      <c r="I492" s="107" t="s">
        <v>226</v>
      </c>
      <c r="J492" s="110">
        <v>0.33</v>
      </c>
      <c r="K492" s="111">
        <v>53.4</v>
      </c>
      <c r="L492" s="112">
        <v>86.99878787878788</v>
      </c>
      <c r="M492" s="15"/>
      <c r="N492" s="44"/>
    </row>
    <row r="493" spans="2:14" ht="18.75" customHeight="1" x14ac:dyDescent="0.3">
      <c r="B493" s="10"/>
      <c r="C493" s="182" t="s">
        <v>2485</v>
      </c>
      <c r="D493" s="118" t="s">
        <v>542</v>
      </c>
      <c r="E493" s="107" t="s">
        <v>543</v>
      </c>
      <c r="F493" s="107" t="s">
        <v>544</v>
      </c>
      <c r="G493" s="107"/>
      <c r="H493" s="108" t="s">
        <v>1557</v>
      </c>
      <c r="I493" s="107" t="s">
        <v>226</v>
      </c>
      <c r="J493" s="110">
        <v>0.33</v>
      </c>
      <c r="K493" s="111">
        <v>40.049999999999997</v>
      </c>
      <c r="L493" s="112">
        <v>86.99878787878788</v>
      </c>
      <c r="M493" s="15"/>
      <c r="N493" s="44"/>
    </row>
    <row r="494" spans="2:14" ht="18.75" customHeight="1" x14ac:dyDescent="0.3">
      <c r="B494" s="10"/>
      <c r="C494" s="182" t="s">
        <v>2485</v>
      </c>
      <c r="D494" s="106" t="s">
        <v>772</v>
      </c>
      <c r="E494" s="107" t="s">
        <v>466</v>
      </c>
      <c r="F494" s="107" t="s">
        <v>773</v>
      </c>
      <c r="G494" s="120" t="s">
        <v>473</v>
      </c>
      <c r="H494" s="108" t="s">
        <v>2060</v>
      </c>
      <c r="I494" s="107" t="s">
        <v>226</v>
      </c>
      <c r="J494" s="110">
        <v>0.33</v>
      </c>
      <c r="K494" s="111">
        <v>52.51</v>
      </c>
      <c r="L494" s="112">
        <v>86.99878787878788</v>
      </c>
      <c r="M494" s="15"/>
      <c r="N494" s="44"/>
    </row>
    <row r="495" spans="2:14" ht="18.75" customHeight="1" x14ac:dyDescent="0.3">
      <c r="B495" s="10"/>
      <c r="C495" s="182" t="s">
        <v>2485</v>
      </c>
      <c r="D495" s="106" t="s">
        <v>1405</v>
      </c>
      <c r="E495" s="120" t="s">
        <v>1406</v>
      </c>
      <c r="F495" s="120" t="s">
        <v>1407</v>
      </c>
      <c r="G495" s="107"/>
      <c r="H495" s="108" t="s">
        <v>2065</v>
      </c>
      <c r="I495" s="107" t="s">
        <v>226</v>
      </c>
      <c r="J495" s="110">
        <v>0.33</v>
      </c>
      <c r="K495" s="111">
        <v>33.82</v>
      </c>
      <c r="L495" s="112">
        <v>86.99878787878788</v>
      </c>
      <c r="M495" s="15"/>
      <c r="N495" s="44"/>
    </row>
    <row r="496" spans="2:14" ht="18.75" customHeight="1" x14ac:dyDescent="0.3">
      <c r="B496" s="10"/>
      <c r="C496" s="182" t="s">
        <v>2485</v>
      </c>
      <c r="D496" s="118" t="s">
        <v>506</v>
      </c>
      <c r="E496" s="107" t="s">
        <v>507</v>
      </c>
      <c r="F496" s="107" t="s">
        <v>508</v>
      </c>
      <c r="G496" s="120"/>
      <c r="H496" s="108" t="s">
        <v>2158</v>
      </c>
      <c r="I496" s="107" t="s">
        <v>226</v>
      </c>
      <c r="J496" s="110">
        <v>0.32779999999999998</v>
      </c>
      <c r="K496" s="111">
        <v>74.760000000000005</v>
      </c>
      <c r="L496" s="112">
        <v>87.57260524710189</v>
      </c>
      <c r="M496" s="15"/>
      <c r="N496" s="44"/>
    </row>
    <row r="497" spans="2:14" ht="18.75" customHeight="1" x14ac:dyDescent="0.3">
      <c r="B497" s="10"/>
      <c r="C497" s="182" t="s">
        <v>2485</v>
      </c>
      <c r="D497" s="118" t="s">
        <v>35</v>
      </c>
      <c r="E497" s="117" t="s">
        <v>29</v>
      </c>
      <c r="F497" s="119" t="s">
        <v>30</v>
      </c>
      <c r="G497" s="124" t="s">
        <v>36</v>
      </c>
      <c r="H497" s="108" t="s">
        <v>2116</v>
      </c>
      <c r="I497" s="107" t="s">
        <v>226</v>
      </c>
      <c r="J497" s="110">
        <v>0.32669999999999999</v>
      </c>
      <c r="K497" s="111">
        <v>9.7900000000000009</v>
      </c>
      <c r="L497" s="112">
        <v>87.862411998775642</v>
      </c>
      <c r="M497" s="15"/>
      <c r="N497" s="44"/>
    </row>
    <row r="498" spans="2:14" ht="18.75" customHeight="1" x14ac:dyDescent="0.3">
      <c r="B498" s="10"/>
      <c r="C498" s="182" t="s">
        <v>2485</v>
      </c>
      <c r="D498" s="118" t="s">
        <v>489</v>
      </c>
      <c r="E498" s="107" t="s">
        <v>490</v>
      </c>
      <c r="F498" s="107" t="s">
        <v>491</v>
      </c>
      <c r="G498" s="107"/>
      <c r="H498" s="108" t="s">
        <v>2154</v>
      </c>
      <c r="I498" s="107" t="s">
        <v>226</v>
      </c>
      <c r="J498" s="110">
        <v>0.31900000000000001</v>
      </c>
      <c r="K498" s="111">
        <v>12.46</v>
      </c>
      <c r="L498" s="112">
        <v>89.947021943573674</v>
      </c>
      <c r="M498" s="15"/>
      <c r="N498" s="44"/>
    </row>
    <row r="499" spans="2:14" ht="18.75" customHeight="1" x14ac:dyDescent="0.3">
      <c r="B499" s="10"/>
      <c r="C499" s="182" t="s">
        <v>2485</v>
      </c>
      <c r="D499" s="118" t="s">
        <v>51</v>
      </c>
      <c r="E499" s="107" t="s">
        <v>40</v>
      </c>
      <c r="F499" s="107" t="s">
        <v>41</v>
      </c>
      <c r="G499" s="107" t="s">
        <v>52</v>
      </c>
      <c r="H499" s="108" t="s">
        <v>2062</v>
      </c>
      <c r="I499" s="107" t="s">
        <v>96</v>
      </c>
      <c r="J499" s="110">
        <v>0.315</v>
      </c>
      <c r="K499" s="111">
        <v>72.09</v>
      </c>
      <c r="L499" s="112">
        <v>90.570158730158738</v>
      </c>
      <c r="M499" s="15"/>
      <c r="N499" s="44"/>
    </row>
    <row r="500" spans="2:14" ht="18.75" customHeight="1" x14ac:dyDescent="0.3">
      <c r="B500" s="10"/>
      <c r="C500" s="182" t="s">
        <v>2485</v>
      </c>
      <c r="D500" s="118" t="s">
        <v>502</v>
      </c>
      <c r="E500" s="107" t="s">
        <v>493</v>
      </c>
      <c r="F500" s="107" t="s">
        <v>99</v>
      </c>
      <c r="G500" s="107" t="s">
        <v>503</v>
      </c>
      <c r="H500" s="108" t="s">
        <v>2156</v>
      </c>
      <c r="I500" s="107" t="s">
        <v>96</v>
      </c>
      <c r="J500" s="110">
        <v>0.315</v>
      </c>
      <c r="K500" s="111">
        <v>57.583000000000006</v>
      </c>
      <c r="L500" s="112">
        <v>90.570158730158738</v>
      </c>
      <c r="M500" s="15"/>
      <c r="N500" s="44"/>
    </row>
    <row r="501" spans="2:14" ht="18.75" customHeight="1" x14ac:dyDescent="0.3">
      <c r="B501" s="10"/>
      <c r="C501" s="182" t="s">
        <v>2485</v>
      </c>
      <c r="D501" s="118" t="s">
        <v>71</v>
      </c>
      <c r="E501" s="107" t="s">
        <v>72</v>
      </c>
      <c r="F501" s="107" t="s">
        <v>73</v>
      </c>
      <c r="G501" s="107" t="s">
        <v>76</v>
      </c>
      <c r="H501" s="108" t="s">
        <v>1990</v>
      </c>
      <c r="I501" s="107" t="s">
        <v>3</v>
      </c>
      <c r="J501" s="110">
        <v>0.23250000000000001</v>
      </c>
      <c r="K501" s="111">
        <v>15.007199999999999</v>
      </c>
      <c r="L501" s="112">
        <v>90.849247311827938</v>
      </c>
      <c r="M501" s="15"/>
      <c r="N501" s="44"/>
    </row>
    <row r="502" spans="2:14" ht="18.75" customHeight="1" x14ac:dyDescent="0.3">
      <c r="B502" s="10"/>
      <c r="C502" s="182" t="s">
        <v>2485</v>
      </c>
      <c r="D502" s="106" t="s">
        <v>1573</v>
      </c>
      <c r="E502" s="107" t="s">
        <v>1574</v>
      </c>
      <c r="F502" s="107" t="s">
        <v>1575</v>
      </c>
      <c r="G502" s="107"/>
      <c r="H502" s="108" t="s">
        <v>2251</v>
      </c>
      <c r="I502" s="107" t="s">
        <v>226</v>
      </c>
      <c r="J502" s="110">
        <v>0.31459999999999999</v>
      </c>
      <c r="K502" s="111">
        <v>23.585000000000001</v>
      </c>
      <c r="L502" s="112">
        <v>91.184043229497775</v>
      </c>
      <c r="M502" s="15"/>
      <c r="N502" s="44"/>
    </row>
    <row r="503" spans="2:14" ht="18.75" customHeight="1" x14ac:dyDescent="0.3">
      <c r="B503" s="10"/>
      <c r="C503" s="182" t="s">
        <v>2485</v>
      </c>
      <c r="D503" s="106" t="s">
        <v>504</v>
      </c>
      <c r="E503" s="107" t="s">
        <v>493</v>
      </c>
      <c r="F503" s="107" t="s">
        <v>99</v>
      </c>
      <c r="G503" s="120" t="s">
        <v>505</v>
      </c>
      <c r="H503" s="108" t="s">
        <v>2157</v>
      </c>
      <c r="I503" s="107" t="s">
        <v>96</v>
      </c>
      <c r="J503" s="110">
        <v>0.31240000000000001</v>
      </c>
      <c r="K503" s="111">
        <v>59.363000000000007</v>
      </c>
      <c r="L503" s="112">
        <v>91.315620998719595</v>
      </c>
      <c r="M503" s="15"/>
      <c r="N503" s="44"/>
    </row>
    <row r="504" spans="2:14" ht="18.75" customHeight="1" x14ac:dyDescent="0.3">
      <c r="B504" s="10"/>
      <c r="C504" s="182" t="s">
        <v>2485</v>
      </c>
      <c r="D504" s="118" t="s">
        <v>49</v>
      </c>
      <c r="E504" s="120" t="s">
        <v>40</v>
      </c>
      <c r="F504" s="107" t="s">
        <v>41</v>
      </c>
      <c r="G504" s="107" t="s">
        <v>50</v>
      </c>
      <c r="H504" s="108" t="s">
        <v>2117</v>
      </c>
      <c r="I504" s="107" t="s">
        <v>96</v>
      </c>
      <c r="J504" s="110">
        <v>0.30980000000000002</v>
      </c>
      <c r="K504" s="111">
        <v>50.730000000000004</v>
      </c>
      <c r="L504" s="112">
        <v>92.073595868302121</v>
      </c>
      <c r="M504" s="15"/>
      <c r="N504" s="44"/>
    </row>
    <row r="505" spans="2:14" ht="18.75" customHeight="1" x14ac:dyDescent="0.3">
      <c r="B505" s="10"/>
      <c r="C505" s="182" t="s">
        <v>2485</v>
      </c>
      <c r="D505" s="118" t="s">
        <v>563</v>
      </c>
      <c r="E505" s="120" t="s">
        <v>561</v>
      </c>
      <c r="F505" s="119" t="s">
        <v>564</v>
      </c>
      <c r="G505" s="124" t="s">
        <v>96</v>
      </c>
      <c r="H505" s="108" t="s">
        <v>2117</v>
      </c>
      <c r="I505" s="107" t="s">
        <v>96</v>
      </c>
      <c r="J505" s="110">
        <v>0.30980000000000002</v>
      </c>
      <c r="K505" s="111">
        <v>46.28</v>
      </c>
      <c r="L505" s="112">
        <v>92.073595868302121</v>
      </c>
      <c r="M505" s="15"/>
      <c r="N505" s="44"/>
    </row>
    <row r="506" spans="2:14" ht="18.75" customHeight="1" x14ac:dyDescent="0.3">
      <c r="B506" s="10"/>
      <c r="C506" s="182" t="s">
        <v>2485</v>
      </c>
      <c r="D506" s="118" t="s">
        <v>1106</v>
      </c>
      <c r="E506" s="120" t="s">
        <v>561</v>
      </c>
      <c r="F506" s="107" t="s">
        <v>1107</v>
      </c>
      <c r="G506" s="120" t="s">
        <v>96</v>
      </c>
      <c r="H506" s="108" t="s">
        <v>2117</v>
      </c>
      <c r="I506" s="107" t="s">
        <v>96</v>
      </c>
      <c r="J506" s="110">
        <v>0.30980000000000002</v>
      </c>
      <c r="K506" s="111">
        <v>49.84</v>
      </c>
      <c r="L506" s="112">
        <v>92.073595868302121</v>
      </c>
      <c r="M506" s="15"/>
      <c r="N506" s="44"/>
    </row>
    <row r="507" spans="2:14" ht="18.75" customHeight="1" x14ac:dyDescent="0.3">
      <c r="B507" s="10"/>
      <c r="C507" s="182" t="s">
        <v>2485</v>
      </c>
      <c r="D507" s="118" t="s">
        <v>1826</v>
      </c>
      <c r="E507" s="107" t="s">
        <v>160</v>
      </c>
      <c r="F507" s="107" t="s">
        <v>161</v>
      </c>
      <c r="G507" s="120" t="s">
        <v>1828</v>
      </c>
      <c r="H507" s="108" t="s">
        <v>2117</v>
      </c>
      <c r="I507" s="107" t="s">
        <v>96</v>
      </c>
      <c r="J507" s="110">
        <v>0.30980000000000002</v>
      </c>
      <c r="K507" s="111">
        <v>48.95</v>
      </c>
      <c r="L507" s="112">
        <v>92.073595868302121</v>
      </c>
      <c r="M507" s="15"/>
      <c r="N507" s="44"/>
    </row>
    <row r="508" spans="2:14" ht="18.75" customHeight="1" x14ac:dyDescent="0.3">
      <c r="B508" s="10"/>
      <c r="C508" s="182" t="s">
        <v>2485</v>
      </c>
      <c r="D508" s="118" t="s">
        <v>45</v>
      </c>
      <c r="E508" s="107" t="s">
        <v>40</v>
      </c>
      <c r="F508" s="107" t="s">
        <v>41</v>
      </c>
      <c r="G508" s="107" t="s">
        <v>46</v>
      </c>
      <c r="H508" s="108" t="s">
        <v>2026</v>
      </c>
      <c r="I508" s="107" t="s">
        <v>96</v>
      </c>
      <c r="J508" s="110">
        <v>0.30459999999999998</v>
      </c>
      <c r="K508" s="111">
        <v>44.5</v>
      </c>
      <c r="L508" s="112">
        <v>93.628365068942884</v>
      </c>
      <c r="M508" s="15"/>
      <c r="N508" s="44"/>
    </row>
    <row r="509" spans="2:14" ht="18.75" customHeight="1" x14ac:dyDescent="0.3">
      <c r="B509" s="10"/>
      <c r="C509" s="182" t="s">
        <v>2485</v>
      </c>
      <c r="D509" s="118" t="s">
        <v>288</v>
      </c>
      <c r="E509" s="117" t="s">
        <v>282</v>
      </c>
      <c r="F509" s="110" t="s">
        <v>289</v>
      </c>
      <c r="G509" s="129" t="s">
        <v>99</v>
      </c>
      <c r="H509" s="108" t="s">
        <v>2137</v>
      </c>
      <c r="I509" s="107" t="s">
        <v>96</v>
      </c>
      <c r="J509" s="110">
        <v>0.28899999999999998</v>
      </c>
      <c r="K509" s="111">
        <v>22.25</v>
      </c>
      <c r="L509" s="112">
        <v>98.628373702422152</v>
      </c>
      <c r="M509" s="15"/>
      <c r="N509" s="44"/>
    </row>
    <row r="510" spans="2:14" ht="18.75" customHeight="1" x14ac:dyDescent="0.3">
      <c r="B510" s="10"/>
      <c r="C510" s="182" t="s">
        <v>2485</v>
      </c>
      <c r="D510" s="118" t="s">
        <v>691</v>
      </c>
      <c r="E510" s="107" t="s">
        <v>692</v>
      </c>
      <c r="F510" s="107" t="s">
        <v>693</v>
      </c>
      <c r="G510" s="107"/>
      <c r="H510" s="108" t="s">
        <v>2272</v>
      </c>
      <c r="I510" s="107" t="s">
        <v>4</v>
      </c>
      <c r="J510" s="110">
        <v>0.39710000000000001</v>
      </c>
      <c r="K510" s="111">
        <v>21.0885</v>
      </c>
      <c r="L510" s="112">
        <v>102.01191872030445</v>
      </c>
      <c r="M510" s="15"/>
      <c r="N510" s="44"/>
    </row>
    <row r="511" spans="2:14" ht="18.75" customHeight="1" x14ac:dyDescent="0.3">
      <c r="B511" s="10"/>
      <c r="C511" s="182" t="s">
        <v>2485</v>
      </c>
      <c r="D511" s="118" t="s">
        <v>1459</v>
      </c>
      <c r="E511" s="107" t="s">
        <v>1445</v>
      </c>
      <c r="F511" s="107" t="s">
        <v>1446</v>
      </c>
      <c r="G511" s="120" t="s">
        <v>1460</v>
      </c>
      <c r="H511" s="108" t="s">
        <v>2306</v>
      </c>
      <c r="I511" s="107" t="s">
        <v>4</v>
      </c>
      <c r="J511" s="110">
        <v>0.39710000000000001</v>
      </c>
      <c r="K511" s="111">
        <v>50.15</v>
      </c>
      <c r="L511" s="112">
        <v>102.01191872030445</v>
      </c>
      <c r="M511" s="15"/>
      <c r="N511" s="44"/>
    </row>
    <row r="512" spans="2:14" ht="18.75" customHeight="1" x14ac:dyDescent="0.3">
      <c r="B512" s="10"/>
      <c r="C512" s="182" t="s">
        <v>2485</v>
      </c>
      <c r="D512" s="118" t="s">
        <v>1028</v>
      </c>
      <c r="E512" s="120" t="s">
        <v>1029</v>
      </c>
      <c r="F512" s="107" t="s">
        <v>1030</v>
      </c>
      <c r="G512" s="120" t="s">
        <v>1032</v>
      </c>
      <c r="H512" s="108" t="s">
        <v>2317</v>
      </c>
      <c r="I512" s="107" t="s">
        <v>96</v>
      </c>
      <c r="J512" s="110">
        <v>0.27600000000000002</v>
      </c>
      <c r="K512" s="111">
        <v>13.795</v>
      </c>
      <c r="L512" s="112">
        <v>103.2268115942029</v>
      </c>
      <c r="M512" s="15"/>
      <c r="N512" s="44"/>
    </row>
    <row r="513" spans="2:14" ht="18.75" customHeight="1" x14ac:dyDescent="0.3">
      <c r="B513" s="10"/>
      <c r="C513" s="182" t="s">
        <v>2485</v>
      </c>
      <c r="D513" s="118" t="s">
        <v>1035</v>
      </c>
      <c r="E513" s="107" t="s">
        <v>1029</v>
      </c>
      <c r="F513" s="107" t="s">
        <v>1030</v>
      </c>
      <c r="G513" s="120" t="s">
        <v>1036</v>
      </c>
      <c r="H513" s="108" t="s">
        <v>2318</v>
      </c>
      <c r="I513" s="107" t="s">
        <v>96</v>
      </c>
      <c r="J513" s="110">
        <v>0.27600000000000002</v>
      </c>
      <c r="K513" s="111">
        <v>17.088000000000001</v>
      </c>
      <c r="L513" s="112">
        <v>103.2268115942029</v>
      </c>
      <c r="M513" s="15"/>
      <c r="N513" s="44"/>
    </row>
    <row r="514" spans="2:14" ht="18.75" customHeight="1" x14ac:dyDescent="0.3">
      <c r="B514" s="10"/>
      <c r="C514" s="182" t="s">
        <v>2485</v>
      </c>
      <c r="D514" s="118" t="s">
        <v>1037</v>
      </c>
      <c r="E514" s="120" t="s">
        <v>1029</v>
      </c>
      <c r="F514" s="107" t="s">
        <v>1030</v>
      </c>
      <c r="G514" s="107" t="s">
        <v>1038</v>
      </c>
      <c r="H514" s="108" t="s">
        <v>2319</v>
      </c>
      <c r="I514" s="107" t="s">
        <v>96</v>
      </c>
      <c r="J514" s="110">
        <v>0.27600000000000002</v>
      </c>
      <c r="K514" s="111">
        <v>13.795</v>
      </c>
      <c r="L514" s="112">
        <v>103.2268115942029</v>
      </c>
      <c r="M514" s="15"/>
      <c r="N514" s="44"/>
    </row>
    <row r="515" spans="2:14" ht="18.75" customHeight="1" x14ac:dyDescent="0.3">
      <c r="B515" s="10"/>
      <c r="C515" s="182" t="s">
        <v>2485</v>
      </c>
      <c r="D515" s="118" t="s">
        <v>1039</v>
      </c>
      <c r="E515" s="107" t="s">
        <v>1029</v>
      </c>
      <c r="F515" s="107" t="s">
        <v>1030</v>
      </c>
      <c r="G515" s="107" t="s">
        <v>1040</v>
      </c>
      <c r="H515" s="108" t="s">
        <v>2320</v>
      </c>
      <c r="I515" s="107" t="s">
        <v>96</v>
      </c>
      <c r="J515" s="110">
        <v>0.27600000000000002</v>
      </c>
      <c r="K515" s="111">
        <v>9.2560000000000002</v>
      </c>
      <c r="L515" s="112">
        <v>103.2268115942029</v>
      </c>
      <c r="M515" s="15"/>
      <c r="N515" s="44"/>
    </row>
    <row r="516" spans="2:14" ht="18.75" customHeight="1" x14ac:dyDescent="0.3">
      <c r="B516" s="10"/>
      <c r="C516" s="182" t="s">
        <v>2485</v>
      </c>
      <c r="D516" s="106" t="s">
        <v>1041</v>
      </c>
      <c r="E516" s="107" t="s">
        <v>1029</v>
      </c>
      <c r="F516" s="107" t="s">
        <v>1030</v>
      </c>
      <c r="G516" s="107" t="s">
        <v>1042</v>
      </c>
      <c r="H516" s="108" t="s">
        <v>2321</v>
      </c>
      <c r="I516" s="107" t="s">
        <v>96</v>
      </c>
      <c r="J516" s="110">
        <v>0.27600000000000002</v>
      </c>
      <c r="K516" s="111">
        <v>29.904000000000003</v>
      </c>
      <c r="L516" s="112">
        <v>103.2268115942029</v>
      </c>
      <c r="M516" s="15"/>
      <c r="N516" s="44"/>
    </row>
    <row r="517" spans="2:14" ht="18.75" customHeight="1" x14ac:dyDescent="0.3">
      <c r="B517" s="10"/>
      <c r="C517" s="182" t="s">
        <v>2485</v>
      </c>
      <c r="D517" s="118" t="s">
        <v>1454</v>
      </c>
      <c r="E517" s="107" t="s">
        <v>1445</v>
      </c>
      <c r="F517" s="107" t="s">
        <v>1446</v>
      </c>
      <c r="G517" s="107" t="s">
        <v>1455</v>
      </c>
      <c r="H517" s="108" t="s">
        <v>2304</v>
      </c>
      <c r="I517" s="107" t="s">
        <v>4</v>
      </c>
      <c r="J517" s="110">
        <v>0.38279999999999997</v>
      </c>
      <c r="K517" s="111">
        <v>90.1</v>
      </c>
      <c r="L517" s="112">
        <v>105.78535246560318</v>
      </c>
      <c r="M517" s="15"/>
      <c r="N517" s="44"/>
    </row>
    <row r="518" spans="2:14" ht="18.75" customHeight="1" x14ac:dyDescent="0.3">
      <c r="B518" s="10"/>
      <c r="C518" s="182" t="s">
        <v>2485</v>
      </c>
      <c r="D518" s="118" t="s">
        <v>1456</v>
      </c>
      <c r="E518" s="107" t="s">
        <v>1445</v>
      </c>
      <c r="F518" s="107" t="s">
        <v>1446</v>
      </c>
      <c r="G518" s="120" t="s">
        <v>1457</v>
      </c>
      <c r="H518" s="108" t="s">
        <v>2305</v>
      </c>
      <c r="I518" s="107" t="s">
        <v>4</v>
      </c>
      <c r="J518" s="110">
        <v>0.38279999999999997</v>
      </c>
      <c r="K518" s="111">
        <v>90.1</v>
      </c>
      <c r="L518" s="112">
        <v>105.78535246560318</v>
      </c>
      <c r="M518" s="15"/>
      <c r="N518" s="44"/>
    </row>
    <row r="519" spans="2:14" ht="18.75" customHeight="1" x14ac:dyDescent="0.3">
      <c r="B519" s="10"/>
      <c r="C519" s="182" t="s">
        <v>2485</v>
      </c>
      <c r="D519" s="118" t="s">
        <v>957</v>
      </c>
      <c r="E519" s="120" t="s">
        <v>952</v>
      </c>
      <c r="F519" s="107" t="s">
        <v>953</v>
      </c>
      <c r="G519" s="107" t="s">
        <v>86</v>
      </c>
      <c r="H519" s="108" t="s">
        <v>2297</v>
      </c>
      <c r="I519" s="107" t="s">
        <v>4</v>
      </c>
      <c r="J519" s="110">
        <v>0.38169999999999998</v>
      </c>
      <c r="K519" s="111">
        <v>4.08</v>
      </c>
      <c r="L519" s="112">
        <v>106.08732754475477</v>
      </c>
      <c r="M519" s="15"/>
      <c r="N519" s="44"/>
    </row>
    <row r="520" spans="2:14" ht="18.75" customHeight="1" x14ac:dyDescent="0.3">
      <c r="B520" s="10"/>
      <c r="C520" s="182" t="s">
        <v>2485</v>
      </c>
      <c r="D520" s="118" t="s">
        <v>1024</v>
      </c>
      <c r="E520" s="120" t="s">
        <v>1025</v>
      </c>
      <c r="F520" s="110" t="s">
        <v>1026</v>
      </c>
      <c r="G520" s="120"/>
      <c r="H520" s="108" t="s">
        <v>2299</v>
      </c>
      <c r="I520" s="107" t="s">
        <v>4</v>
      </c>
      <c r="J520" s="110">
        <v>0.38</v>
      </c>
      <c r="K520" s="111">
        <v>97.240000000000009</v>
      </c>
      <c r="L520" s="112">
        <v>106.55745506271813</v>
      </c>
      <c r="M520" s="15"/>
      <c r="N520" s="44"/>
    </row>
    <row r="521" spans="2:14" ht="18.75" customHeight="1" x14ac:dyDescent="0.3">
      <c r="B521" s="10"/>
      <c r="C521" s="182" t="s">
        <v>2485</v>
      </c>
      <c r="D521" s="127" t="s">
        <v>1144</v>
      </c>
      <c r="E521" s="107" t="s">
        <v>1141</v>
      </c>
      <c r="F521" s="110" t="s">
        <v>1145</v>
      </c>
      <c r="G521" s="110"/>
      <c r="H521" s="108" t="s">
        <v>1988</v>
      </c>
      <c r="I521" s="107" t="s">
        <v>4</v>
      </c>
      <c r="J521" s="110">
        <v>0.38</v>
      </c>
      <c r="K521" s="111">
        <v>78.625</v>
      </c>
      <c r="L521" s="112">
        <v>106.55745506271813</v>
      </c>
      <c r="M521" s="15"/>
      <c r="N521" s="44"/>
    </row>
    <row r="522" spans="2:14" ht="18.75" customHeight="1" x14ac:dyDescent="0.3">
      <c r="B522" s="10"/>
      <c r="C522" s="182" t="s">
        <v>2485</v>
      </c>
      <c r="D522" s="118" t="s">
        <v>1908</v>
      </c>
      <c r="E522" s="107" t="s">
        <v>1907</v>
      </c>
      <c r="F522" s="107" t="s">
        <v>1909</v>
      </c>
      <c r="G522" s="120" t="s">
        <v>469</v>
      </c>
      <c r="H522" s="108" t="s">
        <v>2312</v>
      </c>
      <c r="I522" s="107" t="s">
        <v>4</v>
      </c>
      <c r="J522" s="110">
        <v>0.38</v>
      </c>
      <c r="K522" s="111">
        <v>51</v>
      </c>
      <c r="L522" s="112">
        <v>106.55745506271813</v>
      </c>
      <c r="M522" s="15"/>
      <c r="N522" s="44"/>
    </row>
    <row r="523" spans="2:14" ht="18.75" customHeight="1" x14ac:dyDescent="0.3">
      <c r="B523" s="10"/>
      <c r="C523" s="182" t="s">
        <v>2485</v>
      </c>
      <c r="D523" s="118" t="s">
        <v>1843</v>
      </c>
      <c r="E523" s="107" t="s">
        <v>1840</v>
      </c>
      <c r="F523" s="107" t="s">
        <v>148</v>
      </c>
      <c r="G523" s="107" t="s">
        <v>1844</v>
      </c>
      <c r="H523" s="108" t="s">
        <v>2311</v>
      </c>
      <c r="I523" s="107" t="s">
        <v>4</v>
      </c>
      <c r="J523" s="110">
        <v>0.38</v>
      </c>
      <c r="K523" s="111">
        <v>56.354999999999997</v>
      </c>
      <c r="L523" s="112">
        <v>106.55745506271813</v>
      </c>
      <c r="M523" s="15"/>
      <c r="N523" s="44"/>
    </row>
    <row r="524" spans="2:14" ht="18.75" customHeight="1" x14ac:dyDescent="0.3">
      <c r="B524" s="10"/>
      <c r="C524" s="182" t="s">
        <v>2485</v>
      </c>
      <c r="D524" s="127" t="s">
        <v>740</v>
      </c>
      <c r="E524" s="107" t="s">
        <v>229</v>
      </c>
      <c r="F524" s="110" t="s">
        <v>741</v>
      </c>
      <c r="G524" s="110"/>
      <c r="H524" s="108" t="s">
        <v>2294</v>
      </c>
      <c r="I524" s="107" t="s">
        <v>4</v>
      </c>
      <c r="J524" s="110">
        <v>0.3795</v>
      </c>
      <c r="K524" s="111">
        <v>14.45</v>
      </c>
      <c r="L524" s="112">
        <v>106.69652944356494</v>
      </c>
      <c r="M524" s="15"/>
      <c r="N524" s="44"/>
    </row>
    <row r="525" spans="2:14" ht="18.75" customHeight="1" x14ac:dyDescent="0.3">
      <c r="B525" s="10"/>
      <c r="C525" s="182" t="s">
        <v>2485</v>
      </c>
      <c r="D525" s="106" t="s">
        <v>965</v>
      </c>
      <c r="E525" s="107" t="s">
        <v>966</v>
      </c>
      <c r="F525" s="107" t="s">
        <v>967</v>
      </c>
      <c r="G525" s="129" t="s">
        <v>968</v>
      </c>
      <c r="H525" s="108" t="s">
        <v>2298</v>
      </c>
      <c r="I525" s="107" t="s">
        <v>4</v>
      </c>
      <c r="J525" s="110">
        <v>0.3795</v>
      </c>
      <c r="K525" s="111">
        <v>38.25</v>
      </c>
      <c r="L525" s="112">
        <v>106.69652944356494</v>
      </c>
      <c r="M525" s="15"/>
      <c r="N525" s="44"/>
    </row>
    <row r="526" spans="2:14" ht="18.75" customHeight="1" x14ac:dyDescent="0.3">
      <c r="B526" s="10"/>
      <c r="C526" s="182" t="s">
        <v>2485</v>
      </c>
      <c r="D526" s="118" t="s">
        <v>969</v>
      </c>
      <c r="E526" s="107" t="s">
        <v>966</v>
      </c>
      <c r="F526" s="107" t="s">
        <v>967</v>
      </c>
      <c r="G526" s="107" t="s">
        <v>970</v>
      </c>
      <c r="H526" s="108" t="s">
        <v>2298</v>
      </c>
      <c r="I526" s="107" t="s">
        <v>4</v>
      </c>
      <c r="J526" s="110">
        <v>0.3795</v>
      </c>
      <c r="K526" s="111">
        <v>21.25</v>
      </c>
      <c r="L526" s="112">
        <v>106.69652944356494</v>
      </c>
      <c r="M526" s="15"/>
      <c r="N526" s="44"/>
    </row>
    <row r="527" spans="2:14" ht="18.75" customHeight="1" x14ac:dyDescent="0.3">
      <c r="B527" s="10"/>
      <c r="C527" s="182" t="s">
        <v>2485</v>
      </c>
      <c r="D527" s="118" t="s">
        <v>156</v>
      </c>
      <c r="E527" s="107" t="s">
        <v>147</v>
      </c>
      <c r="F527" s="107" t="s">
        <v>148</v>
      </c>
      <c r="G527" s="120" t="s">
        <v>157</v>
      </c>
      <c r="H527" s="108" t="s">
        <v>2074</v>
      </c>
      <c r="I527" s="107" t="s">
        <v>4</v>
      </c>
      <c r="J527" s="110">
        <v>0.3795</v>
      </c>
      <c r="K527" s="111">
        <v>0.64600000000000002</v>
      </c>
      <c r="L527" s="112">
        <v>106.69652944356494</v>
      </c>
      <c r="M527" s="15"/>
      <c r="N527" s="44"/>
    </row>
    <row r="528" spans="2:14" ht="18.75" customHeight="1" x14ac:dyDescent="0.3">
      <c r="B528" s="10"/>
      <c r="C528" s="182" t="s">
        <v>2485</v>
      </c>
      <c r="D528" s="118" t="s">
        <v>1450</v>
      </c>
      <c r="E528" s="107" t="s">
        <v>1445</v>
      </c>
      <c r="F528" s="107" t="s">
        <v>1446</v>
      </c>
      <c r="G528" s="120" t="s">
        <v>1451</v>
      </c>
      <c r="H528" s="108" t="s">
        <v>2303</v>
      </c>
      <c r="I528" s="107" t="s">
        <v>4</v>
      </c>
      <c r="J528" s="110">
        <v>0.37840000000000001</v>
      </c>
      <c r="K528" s="111">
        <v>29.324999999999999</v>
      </c>
      <c r="L528" s="112">
        <v>107.00378679659855</v>
      </c>
      <c r="M528" s="15"/>
      <c r="N528" s="44"/>
    </row>
    <row r="529" spans="2:14" ht="18.75" customHeight="1" x14ac:dyDescent="0.3">
      <c r="B529" s="10"/>
      <c r="C529" s="182" t="s">
        <v>2485</v>
      </c>
      <c r="D529" s="118" t="s">
        <v>85</v>
      </c>
      <c r="E529" s="107" t="s">
        <v>79</v>
      </c>
      <c r="F529" s="107" t="s">
        <v>86</v>
      </c>
      <c r="G529" s="120" t="s">
        <v>86</v>
      </c>
      <c r="H529" s="108" t="s">
        <v>2291</v>
      </c>
      <c r="I529" s="107" t="s">
        <v>4</v>
      </c>
      <c r="J529" s="110">
        <v>0.37509999999999999</v>
      </c>
      <c r="K529" s="111">
        <v>0.442</v>
      </c>
      <c r="L529" s="112">
        <v>107.93637143117274</v>
      </c>
      <c r="M529" s="15"/>
      <c r="N529" s="44"/>
    </row>
    <row r="530" spans="2:14" ht="18.75" customHeight="1" x14ac:dyDescent="0.3">
      <c r="B530" s="10"/>
      <c r="C530" s="182" t="s">
        <v>2485</v>
      </c>
      <c r="D530" s="118"/>
      <c r="E530" s="107" t="s">
        <v>1980</v>
      </c>
      <c r="F530" s="119"/>
      <c r="G530" s="119"/>
      <c r="H530" s="108"/>
      <c r="I530" s="107" t="s">
        <v>4</v>
      </c>
      <c r="J530" s="110">
        <v>0.374</v>
      </c>
      <c r="K530" s="111">
        <v>346.42542636022375</v>
      </c>
      <c r="L530" s="112">
        <v>108.25089017067619</v>
      </c>
      <c r="M530" s="15"/>
      <c r="N530" s="44"/>
    </row>
    <row r="531" spans="2:14" ht="18.75" customHeight="1" x14ac:dyDescent="0.3">
      <c r="B531" s="10"/>
      <c r="C531" s="182" t="s">
        <v>2485</v>
      </c>
      <c r="D531" s="118" t="s">
        <v>1292</v>
      </c>
      <c r="E531" s="117" t="s">
        <v>1293</v>
      </c>
      <c r="F531" s="119" t="s">
        <v>1294</v>
      </c>
      <c r="G531" s="119"/>
      <c r="H531" s="108" t="s">
        <v>2300</v>
      </c>
      <c r="I531" s="107" t="s">
        <v>4</v>
      </c>
      <c r="J531" s="110">
        <v>0.37180000000000002</v>
      </c>
      <c r="K531" s="111">
        <v>9.69</v>
      </c>
      <c r="L531" s="112">
        <v>108.88551082257368</v>
      </c>
      <c r="M531" s="15"/>
      <c r="N531" s="44"/>
    </row>
    <row r="532" spans="2:14" ht="18.75" customHeight="1" x14ac:dyDescent="0.3">
      <c r="B532" s="10"/>
      <c r="C532" s="182" t="s">
        <v>2485</v>
      </c>
      <c r="D532" s="106" t="s">
        <v>743</v>
      </c>
      <c r="E532" s="107" t="s">
        <v>229</v>
      </c>
      <c r="F532" s="120" t="s">
        <v>744</v>
      </c>
      <c r="G532" s="124"/>
      <c r="H532" s="108" t="s">
        <v>2295</v>
      </c>
      <c r="I532" s="107" t="s">
        <v>4</v>
      </c>
      <c r="J532" s="110">
        <v>0.3644</v>
      </c>
      <c r="K532" s="111">
        <v>102</v>
      </c>
      <c r="L532" s="112">
        <v>111.07638014224175</v>
      </c>
      <c r="M532" s="15"/>
      <c r="N532" s="44"/>
    </row>
    <row r="533" spans="2:14" ht="18.75" customHeight="1" x14ac:dyDescent="0.3">
      <c r="B533" s="10"/>
      <c r="C533" s="182" t="s">
        <v>2485</v>
      </c>
      <c r="D533" s="118" t="s">
        <v>1808</v>
      </c>
      <c r="E533" s="107" t="s">
        <v>1804</v>
      </c>
      <c r="F533" s="107" t="s">
        <v>1809</v>
      </c>
      <c r="G533" s="120" t="s">
        <v>1809</v>
      </c>
      <c r="H533" s="108" t="s">
        <v>2309</v>
      </c>
      <c r="I533" s="107" t="s">
        <v>4</v>
      </c>
      <c r="J533" s="110">
        <v>0.36080000000000001</v>
      </c>
      <c r="K533" s="111">
        <v>8.9249999999999989</v>
      </c>
      <c r="L533" s="112">
        <v>112.17470322570092</v>
      </c>
      <c r="M533" s="15"/>
      <c r="N533" s="44"/>
    </row>
    <row r="534" spans="2:14" ht="18.75" customHeight="1" x14ac:dyDescent="0.3">
      <c r="B534" s="10"/>
      <c r="C534" s="182" t="s">
        <v>2485</v>
      </c>
      <c r="D534" s="118" t="s">
        <v>1472</v>
      </c>
      <c r="E534" s="120" t="s">
        <v>1293</v>
      </c>
      <c r="F534" s="107" t="s">
        <v>1473</v>
      </c>
      <c r="G534" s="120"/>
      <c r="H534" s="108" t="s">
        <v>2307</v>
      </c>
      <c r="I534" s="107" t="s">
        <v>4</v>
      </c>
      <c r="J534" s="110">
        <v>0.36080000000000001</v>
      </c>
      <c r="K534" s="111">
        <v>9.69</v>
      </c>
      <c r="L534" s="112">
        <v>112.17470322570092</v>
      </c>
      <c r="M534" s="15"/>
      <c r="N534" s="44"/>
    </row>
    <row r="535" spans="2:14" ht="18.75" customHeight="1" x14ac:dyDescent="0.3">
      <c r="B535" s="10"/>
      <c r="C535" s="182" t="s">
        <v>2485</v>
      </c>
      <c r="D535" s="118" t="s">
        <v>190</v>
      </c>
      <c r="E535" s="120" t="s">
        <v>163</v>
      </c>
      <c r="F535" s="107" t="s">
        <v>191</v>
      </c>
      <c r="G535" s="107" t="s">
        <v>191</v>
      </c>
      <c r="H535" s="108" t="s">
        <v>748</v>
      </c>
      <c r="I535" s="110" t="s">
        <v>4</v>
      </c>
      <c r="J535" s="110">
        <v>0.35970000000000002</v>
      </c>
      <c r="K535" s="111">
        <v>156.4</v>
      </c>
      <c r="L535" s="112">
        <v>112.51468702761439</v>
      </c>
      <c r="M535" s="15"/>
      <c r="N535" s="44"/>
    </row>
    <row r="536" spans="2:14" ht="18.75" customHeight="1" x14ac:dyDescent="0.3">
      <c r="B536" s="10"/>
      <c r="C536" s="182" t="s">
        <v>2485</v>
      </c>
      <c r="D536" s="118" t="s">
        <v>1441</v>
      </c>
      <c r="E536" s="107" t="s">
        <v>278</v>
      </c>
      <c r="F536" s="107" t="s">
        <v>1442</v>
      </c>
      <c r="G536" s="120"/>
      <c r="H536" s="108" t="s">
        <v>2117</v>
      </c>
      <c r="I536" s="107" t="s">
        <v>4</v>
      </c>
      <c r="J536" s="110">
        <v>0.3553</v>
      </c>
      <c r="K536" s="111">
        <v>73.95</v>
      </c>
      <c r="L536" s="112">
        <v>113.89567386386967</v>
      </c>
      <c r="M536" s="15"/>
      <c r="N536" s="44"/>
    </row>
    <row r="537" spans="2:14" ht="18.75" customHeight="1" x14ac:dyDescent="0.3">
      <c r="B537" s="10"/>
      <c r="C537" s="182" t="s">
        <v>2485</v>
      </c>
      <c r="D537" s="118" t="s">
        <v>1431</v>
      </c>
      <c r="E537" s="120" t="s">
        <v>278</v>
      </c>
      <c r="F537" s="107" t="s">
        <v>1432</v>
      </c>
      <c r="G537" s="107"/>
      <c r="H537" s="108" t="s">
        <v>2301</v>
      </c>
      <c r="I537" s="107" t="s">
        <v>4</v>
      </c>
      <c r="J537" s="110">
        <v>0.35420000000000001</v>
      </c>
      <c r="K537" s="111">
        <v>74.8</v>
      </c>
      <c r="L537" s="112">
        <v>114.24628154667671</v>
      </c>
      <c r="M537" s="15"/>
      <c r="N537" s="44"/>
    </row>
    <row r="538" spans="2:14" ht="18.75" customHeight="1" x14ac:dyDescent="0.3">
      <c r="B538" s="10"/>
      <c r="C538" s="182" t="s">
        <v>2485</v>
      </c>
      <c r="D538" s="118" t="s">
        <v>1444</v>
      </c>
      <c r="E538" s="107" t="s">
        <v>1445</v>
      </c>
      <c r="F538" s="107" t="s">
        <v>1446</v>
      </c>
      <c r="G538" s="120" t="s">
        <v>1448</v>
      </c>
      <c r="H538" s="108" t="s">
        <v>2302</v>
      </c>
      <c r="I538" s="107" t="s">
        <v>4</v>
      </c>
      <c r="J538" s="110">
        <v>0.35420000000000001</v>
      </c>
      <c r="K538" s="111">
        <v>23.8</v>
      </c>
      <c r="L538" s="112">
        <v>114.24628154667671</v>
      </c>
      <c r="M538" s="15"/>
      <c r="N538" s="44"/>
    </row>
    <row r="539" spans="2:14" ht="18.75" customHeight="1" x14ac:dyDescent="0.3">
      <c r="B539" s="10"/>
      <c r="C539" s="182" t="s">
        <v>2485</v>
      </c>
      <c r="D539" s="118" t="s">
        <v>1803</v>
      </c>
      <c r="E539" s="120" t="s">
        <v>1804</v>
      </c>
      <c r="F539" s="110" t="s">
        <v>1805</v>
      </c>
      <c r="G539" s="110" t="s">
        <v>1805</v>
      </c>
      <c r="H539" s="108" t="s">
        <v>2308</v>
      </c>
      <c r="I539" s="107" t="s">
        <v>4</v>
      </c>
      <c r="J539" s="110">
        <v>0.3488</v>
      </c>
      <c r="K539" s="111">
        <v>20.399999999999999</v>
      </c>
      <c r="L539" s="112">
        <v>115.99952099722734</v>
      </c>
      <c r="M539" s="15"/>
      <c r="N539" s="44"/>
    </row>
    <row r="540" spans="2:14" ht="18.75" customHeight="1" x14ac:dyDescent="0.3">
      <c r="B540" s="10"/>
      <c r="C540" s="182" t="s">
        <v>2485</v>
      </c>
      <c r="D540" s="106" t="s">
        <v>1963</v>
      </c>
      <c r="E540" s="107" t="s">
        <v>1964</v>
      </c>
      <c r="F540" s="107"/>
      <c r="G540" s="107"/>
      <c r="H540" s="108" t="s">
        <v>2450</v>
      </c>
      <c r="I540" s="107" t="s">
        <v>5</v>
      </c>
      <c r="J540" s="110">
        <v>0.33</v>
      </c>
      <c r="K540" s="111">
        <v>8.6019999999999985</v>
      </c>
      <c r="L540" s="112">
        <v>116.72191795100883</v>
      </c>
      <c r="M540" s="15"/>
      <c r="N540" s="44"/>
    </row>
    <row r="541" spans="2:14" ht="18.75" customHeight="1" x14ac:dyDescent="0.3">
      <c r="B541" s="10"/>
      <c r="C541" s="182" t="s">
        <v>2485</v>
      </c>
      <c r="D541" s="106"/>
      <c r="E541" s="121" t="s">
        <v>1980</v>
      </c>
      <c r="F541" s="107"/>
      <c r="G541" s="109"/>
      <c r="H541" s="108"/>
      <c r="I541" s="107" t="s">
        <v>5</v>
      </c>
      <c r="J541" s="110">
        <v>0.33</v>
      </c>
      <c r="K541" s="111">
        <v>414.42877949999996</v>
      </c>
      <c r="L541" s="112">
        <v>116.72191795100883</v>
      </c>
      <c r="M541" s="15"/>
      <c r="N541" s="44"/>
    </row>
    <row r="542" spans="2:14" ht="18.75" customHeight="1" x14ac:dyDescent="0.3">
      <c r="B542" s="10"/>
      <c r="C542" s="182" t="s">
        <v>2485</v>
      </c>
      <c r="D542" s="118" t="s">
        <v>863</v>
      </c>
      <c r="E542" s="107" t="s">
        <v>864</v>
      </c>
      <c r="F542" s="107" t="s">
        <v>865</v>
      </c>
      <c r="G542" s="107"/>
      <c r="H542" s="108" t="s">
        <v>2296</v>
      </c>
      <c r="I542" s="107" t="s">
        <v>4</v>
      </c>
      <c r="J542" s="110">
        <v>0.34320000000000001</v>
      </c>
      <c r="K542" s="111">
        <v>37.824999999999996</v>
      </c>
      <c r="L542" s="112">
        <v>117.87597005778815</v>
      </c>
      <c r="M542" s="15"/>
      <c r="N542" s="44"/>
    </row>
    <row r="543" spans="2:14" ht="18.75" customHeight="1" x14ac:dyDescent="0.3">
      <c r="B543" s="10"/>
      <c r="C543" s="182" t="s">
        <v>2485</v>
      </c>
      <c r="D543" s="118" t="s">
        <v>834</v>
      </c>
      <c r="E543" s="107" t="s">
        <v>835</v>
      </c>
      <c r="F543" s="107" t="s">
        <v>836</v>
      </c>
      <c r="G543" s="107" t="s">
        <v>838</v>
      </c>
      <c r="H543" s="108" t="s">
        <v>2030</v>
      </c>
      <c r="I543" s="107" t="s">
        <v>4</v>
      </c>
      <c r="J543" s="110">
        <v>0.3332</v>
      </c>
      <c r="K543" s="111">
        <v>19.72</v>
      </c>
      <c r="L543" s="112">
        <v>121.38365223239165</v>
      </c>
      <c r="M543" s="15"/>
      <c r="N543" s="44"/>
    </row>
    <row r="544" spans="2:14" ht="18.75" customHeight="1" x14ac:dyDescent="0.3">
      <c r="B544" s="10"/>
      <c r="C544" s="182" t="s">
        <v>2485</v>
      </c>
      <c r="D544" s="118" t="s">
        <v>839</v>
      </c>
      <c r="E544" s="107" t="s">
        <v>835</v>
      </c>
      <c r="F544" s="107" t="s">
        <v>836</v>
      </c>
      <c r="G544" s="120" t="s">
        <v>840</v>
      </c>
      <c r="H544" s="108" t="s">
        <v>2030</v>
      </c>
      <c r="I544" s="107" t="s">
        <v>4</v>
      </c>
      <c r="J544" s="110">
        <v>0.3332</v>
      </c>
      <c r="K544" s="111">
        <v>19.72</v>
      </c>
      <c r="L544" s="112">
        <v>121.38365223239165</v>
      </c>
      <c r="M544" s="15"/>
      <c r="N544" s="44"/>
    </row>
    <row r="545" spans="2:14" ht="18.75" customHeight="1" x14ac:dyDescent="0.3">
      <c r="B545" s="10"/>
      <c r="C545" s="182" t="s">
        <v>2485</v>
      </c>
      <c r="D545" s="106" t="s">
        <v>841</v>
      </c>
      <c r="E545" s="120" t="s">
        <v>835</v>
      </c>
      <c r="F545" s="120" t="s">
        <v>836</v>
      </c>
      <c r="G545" s="107" t="s">
        <v>316</v>
      </c>
      <c r="H545" s="108" t="s">
        <v>2030</v>
      </c>
      <c r="I545" s="107" t="s">
        <v>4</v>
      </c>
      <c r="J545" s="110">
        <v>0.3332</v>
      </c>
      <c r="K545" s="111">
        <v>19.72</v>
      </c>
      <c r="L545" s="112">
        <v>121.38365223239165</v>
      </c>
      <c r="M545" s="15"/>
      <c r="N545" s="44"/>
    </row>
    <row r="546" spans="2:14" ht="18.75" customHeight="1" x14ac:dyDescent="0.3">
      <c r="B546" s="10"/>
      <c r="C546" s="182" t="s">
        <v>2485</v>
      </c>
      <c r="D546" s="118" t="s">
        <v>842</v>
      </c>
      <c r="E546" s="107" t="s">
        <v>835</v>
      </c>
      <c r="F546" s="107" t="s">
        <v>836</v>
      </c>
      <c r="G546" s="120" t="s">
        <v>843</v>
      </c>
      <c r="H546" s="108" t="s">
        <v>2030</v>
      </c>
      <c r="I546" s="107" t="s">
        <v>4</v>
      </c>
      <c r="J546" s="110">
        <v>0.3332</v>
      </c>
      <c r="K546" s="111">
        <v>19.72</v>
      </c>
      <c r="L546" s="112">
        <v>121.38365223239165</v>
      </c>
      <c r="M546" s="15"/>
      <c r="N546" s="44"/>
    </row>
    <row r="547" spans="2:14" ht="18.75" customHeight="1" x14ac:dyDescent="0.3">
      <c r="B547" s="10"/>
      <c r="C547" s="182" t="s">
        <v>2485</v>
      </c>
      <c r="D547" s="118" t="s">
        <v>1798</v>
      </c>
      <c r="E547" s="107" t="s">
        <v>40</v>
      </c>
      <c r="F547" s="107" t="s">
        <v>1799</v>
      </c>
      <c r="G547" s="120" t="s">
        <v>1802</v>
      </c>
      <c r="H547" s="108" t="s">
        <v>2064</v>
      </c>
      <c r="I547" s="107" t="s">
        <v>4</v>
      </c>
      <c r="J547" s="110">
        <v>0.3306</v>
      </c>
      <c r="K547" s="111">
        <v>115.6</v>
      </c>
      <c r="L547" s="112">
        <v>122.33040811806684</v>
      </c>
      <c r="M547" s="15"/>
      <c r="N547" s="44"/>
    </row>
    <row r="548" spans="2:14" ht="18.75" customHeight="1" x14ac:dyDescent="0.3">
      <c r="B548" s="10"/>
      <c r="C548" s="182" t="s">
        <v>2485</v>
      </c>
      <c r="D548" s="106" t="s">
        <v>1945</v>
      </c>
      <c r="E548" s="107" t="s">
        <v>329</v>
      </c>
      <c r="F548" s="120" t="s">
        <v>1943</v>
      </c>
      <c r="G548" s="107" t="s">
        <v>1946</v>
      </c>
      <c r="H548" s="108" t="s">
        <v>2053</v>
      </c>
      <c r="I548" s="107" t="s">
        <v>4</v>
      </c>
      <c r="J548" s="110">
        <v>0.31759999999999999</v>
      </c>
      <c r="K548" s="111">
        <v>39.1</v>
      </c>
      <c r="L548" s="112">
        <v>127.29670316068292</v>
      </c>
      <c r="M548" s="15"/>
      <c r="N548" s="44"/>
    </row>
    <row r="549" spans="2:14" ht="18.75" customHeight="1" x14ac:dyDescent="0.3">
      <c r="B549" s="10"/>
      <c r="C549" s="182" t="s">
        <v>2485</v>
      </c>
      <c r="D549" s="118" t="s">
        <v>313</v>
      </c>
      <c r="E549" s="107" t="s">
        <v>314</v>
      </c>
      <c r="F549" s="107" t="s">
        <v>311</v>
      </c>
      <c r="G549" s="120" t="s">
        <v>316</v>
      </c>
      <c r="H549" s="108" t="s">
        <v>2062</v>
      </c>
      <c r="I549" s="107" t="s">
        <v>4</v>
      </c>
      <c r="J549" s="110">
        <v>0.315</v>
      </c>
      <c r="K549" s="111">
        <v>73.099999999999994</v>
      </c>
      <c r="L549" s="112">
        <v>128.33915213915205</v>
      </c>
      <c r="M549" s="15"/>
      <c r="N549" s="44"/>
    </row>
    <row r="550" spans="2:14" ht="18.75" customHeight="1" x14ac:dyDescent="0.3">
      <c r="B550" s="10"/>
      <c r="C550" s="182" t="s">
        <v>2485</v>
      </c>
      <c r="D550" s="118" t="s">
        <v>1736</v>
      </c>
      <c r="E550" s="107" t="s">
        <v>40</v>
      </c>
      <c r="F550" s="107" t="s">
        <v>1720</v>
      </c>
      <c r="G550" s="120" t="s">
        <v>1737</v>
      </c>
      <c r="H550" s="108" t="s">
        <v>1788</v>
      </c>
      <c r="I550" s="107" t="s">
        <v>4</v>
      </c>
      <c r="J550" s="110">
        <v>0.31240000000000001</v>
      </c>
      <c r="K550" s="111">
        <v>19.805</v>
      </c>
      <c r="L550" s="112">
        <v>129.39895302123205</v>
      </c>
      <c r="M550" s="15"/>
      <c r="N550" s="44"/>
    </row>
    <row r="551" spans="2:14" ht="18.75" customHeight="1" x14ac:dyDescent="0.3">
      <c r="B551" s="10"/>
      <c r="C551" s="182" t="s">
        <v>2485</v>
      </c>
      <c r="D551" s="106" t="s">
        <v>1738</v>
      </c>
      <c r="E551" s="107" t="s">
        <v>40</v>
      </c>
      <c r="F551" s="107" t="s">
        <v>1720</v>
      </c>
      <c r="G551" s="120" t="s">
        <v>1739</v>
      </c>
      <c r="H551" s="108" t="s">
        <v>1788</v>
      </c>
      <c r="I551" s="107" t="s">
        <v>4</v>
      </c>
      <c r="J551" s="110">
        <v>0.31240000000000001</v>
      </c>
      <c r="K551" s="111">
        <v>19.805</v>
      </c>
      <c r="L551" s="112">
        <v>129.39895302123205</v>
      </c>
      <c r="M551" s="15"/>
      <c r="N551" s="44"/>
    </row>
    <row r="552" spans="2:14" ht="18.75" customHeight="1" x14ac:dyDescent="0.3">
      <c r="B552" s="10"/>
      <c r="C552" s="182" t="s">
        <v>2485</v>
      </c>
      <c r="D552" s="106" t="s">
        <v>1740</v>
      </c>
      <c r="E552" s="107" t="s">
        <v>40</v>
      </c>
      <c r="F552" s="120" t="s">
        <v>1720</v>
      </c>
      <c r="G552" s="107" t="s">
        <v>1741</v>
      </c>
      <c r="H552" s="108" t="s">
        <v>1788</v>
      </c>
      <c r="I552" s="107" t="s">
        <v>4</v>
      </c>
      <c r="J552" s="110">
        <v>0.31240000000000001</v>
      </c>
      <c r="K552" s="111">
        <v>19.805</v>
      </c>
      <c r="L552" s="112">
        <v>129.39895302123205</v>
      </c>
      <c r="M552" s="15"/>
      <c r="N552" s="44"/>
    </row>
    <row r="553" spans="2:14" ht="18.75" customHeight="1" x14ac:dyDescent="0.3">
      <c r="B553" s="10"/>
      <c r="C553" s="182" t="s">
        <v>2485</v>
      </c>
      <c r="D553" s="118" t="s">
        <v>1855</v>
      </c>
      <c r="E553" s="120" t="s">
        <v>278</v>
      </c>
      <c r="F553" s="107" t="s">
        <v>1856</v>
      </c>
      <c r="G553" s="120" t="s">
        <v>99</v>
      </c>
      <c r="H553" s="108" t="s">
        <v>2117</v>
      </c>
      <c r="I553" s="107" t="s">
        <v>4</v>
      </c>
      <c r="J553" s="110">
        <v>0.30980000000000002</v>
      </c>
      <c r="K553" s="111">
        <v>47.6</v>
      </c>
      <c r="L553" s="112">
        <v>130.4765426850642</v>
      </c>
      <c r="M553" s="15"/>
      <c r="N553" s="44"/>
    </row>
    <row r="554" spans="2:14" ht="18.75" customHeight="1" x14ac:dyDescent="0.3">
      <c r="B554" s="10"/>
      <c r="C554" s="182" t="s">
        <v>2485</v>
      </c>
      <c r="D554" s="106" t="s">
        <v>517</v>
      </c>
      <c r="E554" s="107" t="s">
        <v>493</v>
      </c>
      <c r="F554" s="107" t="s">
        <v>99</v>
      </c>
      <c r="G554" s="120" t="s">
        <v>518</v>
      </c>
      <c r="H554" s="108" t="s">
        <v>2293</v>
      </c>
      <c r="I554" s="107" t="s">
        <v>4</v>
      </c>
      <c r="J554" s="110">
        <v>0.30719999999999997</v>
      </c>
      <c r="K554" s="111">
        <v>73.27</v>
      </c>
      <c r="L554" s="112">
        <v>131.57237279893522</v>
      </c>
      <c r="M554" s="15"/>
      <c r="N554" s="44"/>
    </row>
    <row r="555" spans="2:14" ht="18.75" customHeight="1" x14ac:dyDescent="0.3">
      <c r="B555" s="10"/>
      <c r="C555" s="182" t="s">
        <v>2485</v>
      </c>
      <c r="D555" s="106" t="s">
        <v>1810</v>
      </c>
      <c r="E555" s="107" t="s">
        <v>785</v>
      </c>
      <c r="F555" s="107" t="s">
        <v>1811</v>
      </c>
      <c r="G555" s="107" t="s">
        <v>25</v>
      </c>
      <c r="H555" s="108" t="s">
        <v>2310</v>
      </c>
      <c r="I555" s="107" t="s">
        <v>4</v>
      </c>
      <c r="J555" s="110">
        <v>0.30719999999999997</v>
      </c>
      <c r="K555" s="111">
        <v>42.924999999999997</v>
      </c>
      <c r="L555" s="112">
        <v>131.57237279893522</v>
      </c>
      <c r="M555" s="15"/>
      <c r="N555" s="44"/>
    </row>
    <row r="556" spans="2:14" ht="18.75" customHeight="1" x14ac:dyDescent="0.3">
      <c r="B556" s="10"/>
      <c r="C556" s="182" t="s">
        <v>2485</v>
      </c>
      <c r="D556" s="118" t="s">
        <v>1812</v>
      </c>
      <c r="E556" s="107" t="s">
        <v>785</v>
      </c>
      <c r="F556" s="107" t="s">
        <v>1811</v>
      </c>
      <c r="G556" s="107" t="s">
        <v>26</v>
      </c>
      <c r="H556" s="108" t="s">
        <v>2310</v>
      </c>
      <c r="I556" s="107" t="s">
        <v>4</v>
      </c>
      <c r="J556" s="110">
        <v>0.30719999999999997</v>
      </c>
      <c r="K556" s="111">
        <v>42.924999999999997</v>
      </c>
      <c r="L556" s="112">
        <v>131.57237279893522</v>
      </c>
      <c r="M556" s="15"/>
      <c r="N556" s="44"/>
    </row>
    <row r="557" spans="2:14" ht="18.75" customHeight="1" x14ac:dyDescent="0.3">
      <c r="B557" s="10"/>
      <c r="C557" s="182" t="s">
        <v>2485</v>
      </c>
      <c r="D557" s="118" t="s">
        <v>193</v>
      </c>
      <c r="E557" s="107" t="s">
        <v>163</v>
      </c>
      <c r="F557" s="110" t="s">
        <v>194</v>
      </c>
      <c r="G557" s="110" t="s">
        <v>196</v>
      </c>
      <c r="H557" s="108" t="s">
        <v>2292</v>
      </c>
      <c r="I557" s="107" t="s">
        <v>4</v>
      </c>
      <c r="J557" s="110">
        <v>0.30459999999999998</v>
      </c>
      <c r="K557" s="111">
        <v>28.9</v>
      </c>
      <c r="L557" s="112">
        <v>132.68691045250458</v>
      </c>
      <c r="M557" s="15"/>
      <c r="N557" s="44"/>
    </row>
    <row r="558" spans="2:14" ht="18.75" customHeight="1" x14ac:dyDescent="0.3">
      <c r="B558" s="10"/>
      <c r="C558" s="182" t="s">
        <v>2485</v>
      </c>
      <c r="D558" s="106" t="s">
        <v>1269</v>
      </c>
      <c r="E558" s="107" t="s">
        <v>1260</v>
      </c>
      <c r="F558" s="120" t="s">
        <v>1270</v>
      </c>
      <c r="G558" s="120" t="s">
        <v>1271</v>
      </c>
      <c r="H558" s="108" t="s">
        <v>2033</v>
      </c>
      <c r="I558" s="107" t="s">
        <v>5</v>
      </c>
      <c r="J558" s="110">
        <v>0.27</v>
      </c>
      <c r="K558" s="111">
        <v>143.922</v>
      </c>
      <c r="L558" s="112">
        <v>142.43789971789968</v>
      </c>
      <c r="M558" s="15"/>
      <c r="N558" s="44"/>
    </row>
    <row r="559" spans="2:14" ht="18.75" customHeight="1" thickBot="1" x14ac:dyDescent="0.35">
      <c r="B559" s="10"/>
      <c r="C559" s="182" t="s">
        <v>2485</v>
      </c>
      <c r="D559" s="365" t="s">
        <v>1415</v>
      </c>
      <c r="E559" s="136" t="s">
        <v>1416</v>
      </c>
      <c r="F559" s="136" t="s">
        <v>1417</v>
      </c>
      <c r="G559" s="367">
        <v>2</v>
      </c>
      <c r="H559" s="137" t="s">
        <v>2237</v>
      </c>
      <c r="I559" s="136" t="s">
        <v>226</v>
      </c>
      <c r="J559" s="138">
        <v>0.18</v>
      </c>
      <c r="K559" s="139">
        <v>32.04</v>
      </c>
      <c r="L559" s="140">
        <v>158.24777777777777</v>
      </c>
      <c r="M559" s="15"/>
      <c r="N559" s="44"/>
    </row>
    <row r="560" spans="2:14" ht="17.25" thickBot="1" x14ac:dyDescent="0.35">
      <c r="B560" s="21"/>
      <c r="C560" s="24"/>
      <c r="D560" s="24"/>
      <c r="E560" s="24"/>
      <c r="F560" s="24"/>
      <c r="G560" s="23"/>
      <c r="H560" s="24"/>
      <c r="I560" s="24"/>
      <c r="J560" s="24"/>
      <c r="K560" s="24"/>
      <c r="L560" s="24"/>
      <c r="M560" s="25"/>
    </row>
  </sheetData>
  <autoFilter ref="C10:L10" xr:uid="{00000000-0009-0000-0000-00000A000000}">
    <sortState xmlns:xlrd2="http://schemas.microsoft.com/office/spreadsheetml/2017/richdata2" ref="C11:L559">
      <sortCondition ref="L11:L559"/>
    </sortState>
  </autoFilter>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'Hilfssheet Abbildung'!$B$19:$B$20</xm:f>
          </x14:formula1>
          <xm:sqref>C11:C559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7">
    <tabColor theme="0" tint="-0.34998626667073579"/>
  </sheetPr>
  <dimension ref="B1:I26"/>
  <sheetViews>
    <sheetView workbookViewId="0">
      <selection activeCell="G24" sqref="G24"/>
    </sheetView>
  </sheetViews>
  <sheetFormatPr defaultColWidth="11.42578125" defaultRowHeight="15" x14ac:dyDescent="0.25"/>
  <cols>
    <col min="1" max="1" width="11.42578125" style="1"/>
    <col min="2" max="2" width="14" style="1" customWidth="1"/>
    <col min="3" max="3" width="18.5703125" style="1" customWidth="1"/>
    <col min="4" max="4" width="16.7109375" style="1" customWidth="1"/>
    <col min="5" max="16384" width="11.42578125" style="1"/>
  </cols>
  <sheetData>
    <row r="1" spans="2:9" ht="15.75" thickBot="1" x14ac:dyDescent="0.3"/>
    <row r="2" spans="2:9" ht="15.75" thickBot="1" x14ac:dyDescent="0.3">
      <c r="B2" s="65"/>
      <c r="C2" s="59" t="s">
        <v>6</v>
      </c>
      <c r="D2" s="59" t="s">
        <v>1</v>
      </c>
      <c r="E2" s="59" t="s">
        <v>2</v>
      </c>
      <c r="F2" s="59" t="s">
        <v>3</v>
      </c>
      <c r="G2" s="59" t="s">
        <v>226</v>
      </c>
      <c r="H2" s="59" t="s">
        <v>96</v>
      </c>
      <c r="I2" s="66" t="s">
        <v>4</v>
      </c>
    </row>
    <row r="3" spans="2:9" x14ac:dyDescent="0.25">
      <c r="B3" s="67" t="s">
        <v>2407</v>
      </c>
      <c r="C3" s="167">
        <f t="array" ref="C3">MIN(IF(Kraftwerksliste!$R$11:$R$559='Hilfssheet Abbildung'!C2,Kraftwerksliste!$Z$11:$Z$559,"fail"))</f>
        <v>1</v>
      </c>
      <c r="D3" s="68">
        <f t="array" ref="D3">MIN(IF(Kraftwerksliste!$R$11:$R$559='Hilfssheet Abbildung'!D2,Kraftwerksliste!$Z$11:$Z$559,"fail"))</f>
        <v>17.866666666666664</v>
      </c>
      <c r="E3" s="68">
        <f t="array" ref="E3">MIN(IF(Kraftwerksliste!$R$11:$R$559='Hilfssheet Abbildung'!E2,Kraftwerksliste!$Z$11:$Z$559,"fail"))</f>
        <v>31.770110701107011</v>
      </c>
      <c r="F3" s="68">
        <f t="array" ref="F3">MIN(IF(Kraftwerksliste!$R$11:$R$559='Hilfssheet Abbildung'!F2,Kraftwerksliste!$Z$11:$Z$559,"fail"))</f>
        <v>42.609920634920634</v>
      </c>
      <c r="G3" s="68">
        <f t="array" ref="G3">MIN(IF(Kraftwerksliste!$R$11:$R$559='Hilfssheet Abbildung'!G2,Kraftwerksliste!$Z$11:$Z$559,"fail"))</f>
        <v>47.602287581699343</v>
      </c>
      <c r="H3" s="68">
        <f t="array" ref="H3">MIN(IF(Kraftwerksliste!$R$11:$R$559='Hilfssheet Abbildung'!H2,Kraftwerksliste!$Z$11:$Z$559,"fail"))</f>
        <v>68.758405379442848</v>
      </c>
      <c r="I3" s="69">
        <f t="array" ref="I3">MIN(IF(Kraftwerksliste!$R$11:$R$559='Hilfssheet Abbildung'!I2,Kraftwerksliste!$Z$11:$Z$559,"fail"))</f>
        <v>102.01191872030445</v>
      </c>
    </row>
    <row r="4" spans="2:9" x14ac:dyDescent="0.25">
      <c r="B4" s="63" t="s">
        <v>2408</v>
      </c>
      <c r="C4" s="168">
        <f t="array" ref="C4">_xlfn.QUARTILE.INC(IF(Kraftwerksliste!$R$11:$R$559='Hilfssheet Abbildung'!C2,Kraftwerksliste!$Z$11:$Z$559,"fail"),1)</f>
        <v>1</v>
      </c>
      <c r="D4" s="70">
        <f t="array" ref="D4">_xlfn.QUARTILE.INC(IF(Kraftwerksliste!$R$11:$R$559='Hilfssheet Abbildung'!D2,Kraftwerksliste!$Z$11:$Z$559,"fail"),1)</f>
        <v>17.866666666666664</v>
      </c>
      <c r="E4" s="70">
        <f t="array" ref="E4">_xlfn.QUARTILE.INC(IF(Kraftwerksliste!$R$11:$R$559='Hilfssheet Abbildung'!E2,Kraftwerksliste!$Z$11:$Z$559,"fail"),1)</f>
        <v>34.492756539235415</v>
      </c>
      <c r="F4" s="70">
        <f t="array" ref="F4">_xlfn.QUARTILE.INC(IF(Kraftwerksliste!$R$11:$R$559='Hilfssheet Abbildung'!F2,Kraftwerksliste!$Z$11:$Z$559,"fail"),1)</f>
        <v>47.825586592178766</v>
      </c>
      <c r="G4" s="70">
        <f t="array" ref="G4">_xlfn.QUARTILE.INC(IF(Kraftwerksliste!$R$11:$R$559='Hilfssheet Abbildung'!G2,Kraftwerksliste!$Z$11:$Z$559,"fail"),1)</f>
        <v>55.550957854406128</v>
      </c>
      <c r="H4" s="70">
        <f t="array" ref="H4">_xlfn.QUARTILE.INC(IF(Kraftwerksliste!$R$11:$R$559='Hilfssheet Abbildung'!H2,Kraftwerksliste!$Z$11:$Z$559,"fail"),1)</f>
        <v>76.021585656206511</v>
      </c>
      <c r="I4" s="71">
        <f t="array" ref="I4">_xlfn.QUARTILE.INC(IF(Kraftwerksliste!$R$11:$R$559='Hilfssheet Abbildung'!I2,Kraftwerksliste!$Z$11:$Z$559,"fail"),1)</f>
        <v>106.69652944356494</v>
      </c>
    </row>
    <row r="5" spans="2:9" x14ac:dyDescent="0.25">
      <c r="B5" s="63" t="s">
        <v>2409</v>
      </c>
      <c r="C5" s="168">
        <f t="array" ref="C5">_xlfn.QUARTILE.INC(IF(Kraftwerksliste!$R$11:$R$559='Hilfssheet Abbildung'!C2,Kraftwerksliste!$Z$11:$Z$559,"fail"),2)</f>
        <v>1</v>
      </c>
      <c r="D5" s="70">
        <f t="array" ref="D5">_xlfn.QUARTILE.INC(IF(Kraftwerksliste!$R$11:$R$559='Hilfssheet Abbildung'!D2,Kraftwerksliste!$Z$11:$Z$559,"fail"),2)</f>
        <v>17.866666666666664</v>
      </c>
      <c r="E5" s="70">
        <f t="array" ref="E5">_xlfn.QUARTILE.INC(IF(Kraftwerksliste!$R$11:$R$559='Hilfssheet Abbildung'!E2,Kraftwerksliste!$Z$11:$Z$559,"fail"),2)</f>
        <v>35.30412371134021</v>
      </c>
      <c r="F5" s="70">
        <f t="array" ref="F5">_xlfn.QUARTILE.INC(IF(Kraftwerksliste!$R$11:$R$559='Hilfssheet Abbildung'!F2,Kraftwerksliste!$Z$11:$Z$559,"fail"),2)</f>
        <v>52.707901234567899</v>
      </c>
      <c r="G5" s="70">
        <f t="array" ref="G5">_xlfn.QUARTILE.INC(IF(Kraftwerksliste!$R$11:$R$559='Hilfssheet Abbildung'!G2,Kraftwerksliste!$Z$11:$Z$559,"fail"),2)</f>
        <v>71.580973671137599</v>
      </c>
      <c r="H5" s="70">
        <f t="array" ref="H5">_xlfn.QUARTILE.INC(IF(Kraftwerksliste!$R$11:$R$559='Hilfssheet Abbildung'!H2,Kraftwerksliste!$Z$11:$Z$559,"fail"),2)</f>
        <v>79.834792559523436</v>
      </c>
      <c r="I5" s="71">
        <f t="array" ref="I5">_xlfn.QUARTILE.INC(IF(Kraftwerksliste!$R$11:$R$559='Hilfssheet Abbildung'!I2,Kraftwerksliste!$Z$11:$Z$559,"fail"),2)</f>
        <v>112.51468702761439</v>
      </c>
    </row>
    <row r="6" spans="2:9" x14ac:dyDescent="0.25">
      <c r="B6" s="63" t="s">
        <v>2410</v>
      </c>
      <c r="C6" s="168">
        <f t="array" ref="C6">_xlfn.QUARTILE.INC(IF(Kraftwerksliste!$R$11:$R$559='Hilfssheet Abbildung'!C2,Kraftwerksliste!$Z$11:$Z$559,"fail"),3)</f>
        <v>1</v>
      </c>
      <c r="D6" s="70">
        <f t="array" ref="D6">_xlfn.QUARTILE.INC(IF(Kraftwerksliste!$R$11:$R$559='Hilfssheet Abbildung'!D2,Kraftwerksliste!$Z$11:$Z$559,"fail"),3)</f>
        <v>17.866666666666664</v>
      </c>
      <c r="E6" s="70">
        <f t="array" ref="E6">_xlfn.QUARTILE.INC(IF(Kraftwerksliste!$R$11:$R$559='Hilfssheet Abbildung'!E2,Kraftwerksliste!$Z$11:$Z$559,"fail"),3)</f>
        <v>40.048235294117646</v>
      </c>
      <c r="F6" s="70">
        <f t="array" ref="F6">_xlfn.QUARTILE.INC(IF(Kraftwerksliste!$R$11:$R$559='Hilfssheet Abbildung'!F2,Kraftwerksliste!$Z$11:$Z$559,"fail"),3)</f>
        <v>55.378441558441551</v>
      </c>
      <c r="G6" s="70">
        <f t="array" ref="G6">_xlfn.QUARTILE.INC(IF(Kraftwerksliste!$R$11:$R$559='Hilfssheet Abbildung'!G2,Kraftwerksliste!$Z$11:$Z$559,"fail"),3)</f>
        <v>75.631897004729382</v>
      </c>
      <c r="H6" s="70">
        <f t="array" ref="H6">_xlfn.QUARTILE.INC(IF(Kraftwerksliste!$R$11:$R$559='Hilfssheet Abbildung'!H2,Kraftwerksliste!$Z$11:$Z$559,"fail"),3)</f>
        <v>92.073595868302121</v>
      </c>
      <c r="I6" s="71">
        <f t="array" ref="I6">_xlfn.QUARTILE.INC(IF(Kraftwerksliste!$R$11:$R$559='Hilfssheet Abbildung'!I2,Kraftwerksliste!$Z$11:$Z$559,"fail"),3)</f>
        <v>122.33040811806684</v>
      </c>
    </row>
    <row r="7" spans="2:9" ht="15.75" thickBot="1" x14ac:dyDescent="0.3">
      <c r="B7" s="64" t="s">
        <v>2411</v>
      </c>
      <c r="C7" s="169">
        <f t="array" ref="C7">MAX(IF(Kraftwerksliste!$R$11:$R$559='Hilfssheet Abbildung'!C2,Kraftwerksliste!$Z$11:$Z$559,"fail"))</f>
        <v>1</v>
      </c>
      <c r="D7" s="72">
        <f t="array" ref="D7">MAX(IF(Kraftwerksliste!$R$11:$R$559='Hilfssheet Abbildung'!D2,Kraftwerksliste!$Z$11:$Z$559,"fail"))</f>
        <v>17.866666666666664</v>
      </c>
      <c r="E7" s="72">
        <f t="array" ref="E7">MAX(IF(Kraftwerksliste!$R$11:$R$559='Hilfssheet Abbildung'!E2,Kraftwerksliste!$Z$11:$Z$559,"fail"))</f>
        <v>66.632270916334662</v>
      </c>
      <c r="F7" s="72">
        <f t="array" ref="F7">MAX(IF(Kraftwerksliste!$R$11:$R$559='Hilfssheet Abbildung'!F2,Kraftwerksliste!$Z$11:$Z$559,"fail"))</f>
        <v>90.849247311827938</v>
      </c>
      <c r="G7" s="72">
        <f t="array" ref="G7">MAX(IF(Kraftwerksliste!$R$11:$R$559='Hilfssheet Abbildung'!G2,Kraftwerksliste!$Z$11:$Z$559,"fail"))</f>
        <v>158.24777777777777</v>
      </c>
      <c r="H7" s="72">
        <f t="array" ref="H7">MAX(IF(Kraftwerksliste!$R$11:$R$559='Hilfssheet Abbildung'!H2,Kraftwerksliste!$Z$11:$Z$559,"fail"))</f>
        <v>103.2268115942029</v>
      </c>
      <c r="I7" s="73">
        <f t="array" ref="I7">MAX(IF(Kraftwerksliste!$R$11:$R$559='Hilfssheet Abbildung'!I2,Kraftwerksliste!$Z$11:$Z$559,"fail"))</f>
        <v>132.68691045250458</v>
      </c>
    </row>
    <row r="8" spans="2:9" x14ac:dyDescent="0.25">
      <c r="C8" s="74"/>
      <c r="D8" s="74"/>
      <c r="E8" s="74"/>
      <c r="F8" s="74"/>
      <c r="G8" s="74"/>
      <c r="H8" s="74"/>
      <c r="I8" s="74"/>
    </row>
    <row r="9" spans="2:9" ht="15.75" thickBot="1" x14ac:dyDescent="0.3">
      <c r="C9" s="74"/>
      <c r="D9" s="74"/>
      <c r="E9" s="74"/>
      <c r="F9" s="74"/>
      <c r="G9" s="74"/>
      <c r="H9" s="74"/>
      <c r="I9" s="74"/>
    </row>
    <row r="10" spans="2:9" ht="15.75" thickBot="1" x14ac:dyDescent="0.3">
      <c r="B10" s="62"/>
      <c r="C10" s="60" t="s">
        <v>6</v>
      </c>
      <c r="D10" s="60" t="s">
        <v>1</v>
      </c>
      <c r="E10" s="60" t="s">
        <v>2</v>
      </c>
      <c r="F10" s="60" t="s">
        <v>3</v>
      </c>
      <c r="G10" s="60" t="s">
        <v>226</v>
      </c>
      <c r="H10" s="60" t="s">
        <v>96</v>
      </c>
      <c r="I10" s="61" t="s">
        <v>4</v>
      </c>
    </row>
    <row r="11" spans="2:9" x14ac:dyDescent="0.25">
      <c r="B11" s="63" t="s">
        <v>2412</v>
      </c>
      <c r="C11" s="70"/>
      <c r="D11" s="70"/>
      <c r="E11" s="70">
        <f>E4-E3</f>
        <v>2.722645838128404</v>
      </c>
      <c r="F11" s="70">
        <f>F4-F3</f>
        <v>5.2156659572581319</v>
      </c>
      <c r="G11" s="70">
        <f>G4-G3</f>
        <v>7.9486702727067851</v>
      </c>
      <c r="H11" s="70">
        <f>H4-H3</f>
        <v>7.2631802767636628</v>
      </c>
      <c r="I11" s="71">
        <f>I4-I3</f>
        <v>4.6846107232604908</v>
      </c>
    </row>
    <row r="12" spans="2:9" x14ac:dyDescent="0.25">
      <c r="B12" s="63" t="s">
        <v>2416</v>
      </c>
      <c r="C12" s="70">
        <f t="shared" ref="C12:I12" si="0">C4</f>
        <v>1</v>
      </c>
      <c r="D12" s="70">
        <f t="shared" si="0"/>
        <v>17.866666666666664</v>
      </c>
      <c r="E12" s="70">
        <f t="shared" si="0"/>
        <v>34.492756539235415</v>
      </c>
      <c r="F12" s="70">
        <f t="shared" si="0"/>
        <v>47.825586592178766</v>
      </c>
      <c r="G12" s="70">
        <f t="shared" si="0"/>
        <v>55.550957854406128</v>
      </c>
      <c r="H12" s="70">
        <f t="shared" si="0"/>
        <v>76.021585656206511</v>
      </c>
      <c r="I12" s="71">
        <f t="shared" si="0"/>
        <v>106.69652944356494</v>
      </c>
    </row>
    <row r="13" spans="2:9" x14ac:dyDescent="0.25">
      <c r="B13" s="63" t="s">
        <v>2413</v>
      </c>
      <c r="C13" s="70">
        <f>C5-C4+0.1</f>
        <v>0.1</v>
      </c>
      <c r="D13" s="70">
        <f>D5-D4+0.1</f>
        <v>0.1</v>
      </c>
      <c r="E13" s="70">
        <f t="shared" ref="E13:I15" si="1">E5-E4</f>
        <v>0.81136717210479503</v>
      </c>
      <c r="F13" s="70">
        <f t="shared" si="1"/>
        <v>4.882314642389133</v>
      </c>
      <c r="G13" s="70">
        <f t="shared" si="1"/>
        <v>16.030015816731471</v>
      </c>
      <c r="H13" s="70">
        <f t="shared" si="1"/>
        <v>3.8132069033169245</v>
      </c>
      <c r="I13" s="71">
        <f t="shared" si="1"/>
        <v>5.8181575840494446</v>
      </c>
    </row>
    <row r="14" spans="2:9" x14ac:dyDescent="0.25">
      <c r="B14" s="63" t="s">
        <v>2414</v>
      </c>
      <c r="C14" s="70">
        <f>C6-C5+0.1</f>
        <v>0.1</v>
      </c>
      <c r="D14" s="70">
        <f>D6-D5+0.1</f>
        <v>0.1</v>
      </c>
      <c r="E14" s="70">
        <f t="shared" si="1"/>
        <v>4.7441115827774354</v>
      </c>
      <c r="F14" s="70">
        <f t="shared" si="1"/>
        <v>2.6705403238736523</v>
      </c>
      <c r="G14" s="70">
        <f t="shared" si="1"/>
        <v>4.0509233335917827</v>
      </c>
      <c r="H14" s="70">
        <f t="shared" si="1"/>
        <v>12.238803308778685</v>
      </c>
      <c r="I14" s="71">
        <f t="shared" si="1"/>
        <v>9.8157210904524561</v>
      </c>
    </row>
    <row r="15" spans="2:9" ht="15.75" thickBot="1" x14ac:dyDescent="0.3">
      <c r="B15" s="64" t="s">
        <v>2415</v>
      </c>
      <c r="C15" s="72"/>
      <c r="D15" s="72"/>
      <c r="E15" s="72">
        <f t="shared" si="1"/>
        <v>26.584035622217016</v>
      </c>
      <c r="F15" s="72">
        <f t="shared" si="1"/>
        <v>35.470805753386387</v>
      </c>
      <c r="G15" s="72">
        <f t="shared" si="1"/>
        <v>82.615880773048389</v>
      </c>
      <c r="H15" s="72">
        <f t="shared" si="1"/>
        <v>11.153215725900779</v>
      </c>
      <c r="I15" s="73">
        <f t="shared" si="1"/>
        <v>10.356502334437735</v>
      </c>
    </row>
    <row r="18" spans="2:4" ht="45.75" thickBot="1" x14ac:dyDescent="0.3">
      <c r="B18" s="172" t="s">
        <v>2486</v>
      </c>
      <c r="C18" s="172" t="s">
        <v>2487</v>
      </c>
      <c r="D18" s="172" t="s">
        <v>2438</v>
      </c>
    </row>
    <row r="19" spans="2:4" x14ac:dyDescent="0.25">
      <c r="B19" s="170" t="s">
        <v>2485</v>
      </c>
      <c r="C19" s="1" t="s">
        <v>6</v>
      </c>
      <c r="D19" s="1" t="s">
        <v>6</v>
      </c>
    </row>
    <row r="20" spans="2:4" ht="15.75" thickBot="1" x14ac:dyDescent="0.3">
      <c r="B20" s="171" t="s">
        <v>21</v>
      </c>
      <c r="C20" s="1" t="s">
        <v>1</v>
      </c>
      <c r="D20" s="1" t="s">
        <v>1</v>
      </c>
    </row>
    <row r="21" spans="2:4" x14ac:dyDescent="0.25">
      <c r="C21" s="1" t="s">
        <v>2</v>
      </c>
      <c r="D21" s="1" t="s">
        <v>2</v>
      </c>
    </row>
    <row r="22" spans="2:4" x14ac:dyDescent="0.25">
      <c r="C22" s="1" t="s">
        <v>3</v>
      </c>
      <c r="D22" s="1" t="s">
        <v>3</v>
      </c>
    </row>
    <row r="23" spans="2:4" x14ac:dyDescent="0.25">
      <c r="C23" s="1" t="s">
        <v>7</v>
      </c>
      <c r="D23" s="1" t="s">
        <v>226</v>
      </c>
    </row>
    <row r="24" spans="2:4" x14ac:dyDescent="0.25">
      <c r="C24" s="1" t="s">
        <v>4</v>
      </c>
      <c r="D24" s="1" t="s">
        <v>96</v>
      </c>
    </row>
    <row r="25" spans="2:4" x14ac:dyDescent="0.25">
      <c r="C25" s="1" t="s">
        <v>5</v>
      </c>
      <c r="D25" s="1" t="s">
        <v>4</v>
      </c>
    </row>
    <row r="26" spans="2:4" x14ac:dyDescent="0.25">
      <c r="D26" s="1" t="s">
        <v>5</v>
      </c>
    </row>
  </sheetData>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Anleitung</vt:lpstr>
      <vt:lpstr>Start</vt:lpstr>
      <vt:lpstr>Sheet1</vt:lpstr>
      <vt:lpstr>Merit-Order</vt:lpstr>
      <vt:lpstr>Kraftwerksliste</vt:lpstr>
      <vt:lpstr>Quellen</vt:lpstr>
      <vt:lpstr>Impressum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EWI Merit-Order Tool 2019</dc:title>
  <dc:creator>Fabian Arnold | EWI;David Schlund | EWI;Dr. Simon Schulte | EWI</dc:creator>
  <cp:keywords>Merit-Order;Tool;EWI;Grentkrafwerke;Grenzkosten;Kraftwerksliste</cp:keywords>
  <cp:lastModifiedBy>Ingrid Sanchez Jimenez</cp:lastModifiedBy>
  <dcterms:created xsi:type="dcterms:W3CDTF">2019-08-02T08:22:05Z</dcterms:created>
  <dcterms:modified xsi:type="dcterms:W3CDTF">2022-03-14T09:19:35Z</dcterms:modified>
</cp:coreProperties>
</file>