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drawings/drawing7.xml" ContentType="application/vnd.openxmlformats-officedocument.drawing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drawings/drawing9.xml" ContentType="application/vnd.openxmlformats-officedocument.drawing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toolbox-amiris-emlab\data\"/>
    </mc:Choice>
  </mc:AlternateContent>
  <xr:revisionPtr revIDLastSave="0" documentId="13_ncr:1_{656724A5-8CAD-46EB-8C29-A65D0A56172A}" xr6:coauthVersionLast="47" xr6:coauthVersionMax="47" xr10:uidLastSave="{00000000-0000-0000-0000-000000000000}"/>
  <bookViews>
    <workbookView xWindow="-120" yWindow="-120" windowWidth="29040" windowHeight="17640" tabRatio="998" firstSheet="7" activeTab="8" xr2:uid="{00000000-000D-0000-FFFF-FFFF00000000}"/>
  </bookViews>
  <sheets>
    <sheet name="explanation" sheetId="32" r:id="rId1"/>
    <sheet name="dictTech" sheetId="41" r:id="rId2"/>
    <sheet name="dictFuel" sheetId="40" r:id="rId3"/>
    <sheet name="TechnologyTargets" sheetId="26" r:id="rId4"/>
    <sheet name="CapacityMarketCO2Limit" sheetId="80" r:id="rId5"/>
    <sheet name="CapacityMarkets" sheetId="27" r:id="rId6"/>
    <sheet name="StrategicReserveOperator" sheetId="47" r:id="rId7"/>
    <sheet name="ElectricitySpotMarkets" sheetId="14" r:id="rId8"/>
    <sheet name="CapacitySubscriptionConsumer" sheetId="70" r:id="rId9"/>
    <sheet name="CS_subscribed" sheetId="76" r:id="rId10"/>
    <sheet name="LoadShedders" sheetId="65" r:id="rId11"/>
    <sheet name="yearlyLoadShifterCap" sheetId="78" r:id="rId12"/>
    <sheet name="yearlyHydrogen" sheetId="77" r:id="rId13"/>
    <sheet name="dynamicDF" sheetId="81" r:id="rId14"/>
    <sheet name="LoadShifterCap" sheetId="64" r:id="rId15"/>
    <sheet name="LSyearly" sheetId="69" r:id="rId16"/>
    <sheet name="peakLoad" sheetId="67" r:id="rId17"/>
    <sheet name="Fuels" sheetId="29" r:id="rId18"/>
    <sheet name="FuelPriceTrends" sheetId="30" r:id="rId19"/>
    <sheet name="CandidatePowerPlants" sheetId="45" r:id="rId20"/>
    <sheet name="TechnologiesEmlab" sheetId="33" r:id="rId21"/>
    <sheet name="TechnologyTrends" sheetId="63" r:id="rId22"/>
    <sheet name="EnergyProducers" sheetId="17" r:id="rId23"/>
    <sheet name="weatherYears40" sheetId="61" r:id="rId24"/>
    <sheet name="Dismantled" sheetId="49" r:id="rId25"/>
    <sheet name="Sheet1" sheetId="79" r:id="rId26"/>
    <sheet name="derating" sheetId="74" r:id="rId27"/>
    <sheet name="VOLLs" sheetId="72" r:id="rId28"/>
    <sheet name="LoadShedders_feb24" sheetId="73" r:id="rId29"/>
    <sheet name="LoadShedders (2)" sheetId="75" r:id="rId30"/>
    <sheet name="LoadShedders2" sheetId="68" r:id="rId31"/>
    <sheet name="LoadShedders_copy" sheetId="71" r:id="rId32"/>
    <sheet name="dictvariables" sheetId="43" r:id="rId33"/>
    <sheet name="StepTrends" sheetId="18" r:id="rId34"/>
    <sheet name="EnergyConsumers" sheetId="16" r:id="rId35"/>
    <sheet name="yearlytechnologyPotentials2" sheetId="58" r:id="rId36"/>
    <sheet name="graphs" sheetId="56" r:id="rId37"/>
    <sheet name="CO2DE" sheetId="44" r:id="rId38"/>
    <sheet name="backup" sheetId="50" r:id="rId39"/>
    <sheet name="weatherYearsOLD" sheetId="66" r:id="rId40"/>
    <sheet name="sources" sheetId="54" r:id="rId41"/>
    <sheet name="NewTechnologies" sheetId="35" r:id="rId42"/>
  </sheets>
  <definedNames>
    <definedName name="_xlnm._FilterDatabase" localSheetId="19" hidden="1">CandidatePowerPlants!$A$1:$D$1</definedName>
    <definedName name="_xlnm._FilterDatabase" localSheetId="1" hidden="1">dictTech!$A$1:$C$1</definedName>
    <definedName name="_xlnm._FilterDatabase" localSheetId="22" hidden="1">EnergyProducers!#REF!</definedName>
    <definedName name="_xlnm._FilterDatabase" localSheetId="41" hidden="1">NewTechnologies!$A$1:$I$11</definedName>
    <definedName name="_xlnm._FilterDatabase" localSheetId="20" hidden="1">TechnologiesEmlab!$A$1:$I$24</definedName>
    <definedName name="_xlnm._FilterDatabase" localSheetId="27" hidden="1">VOLLs!$A$1:$D$1</definedName>
    <definedName name="ExternalData_19" localSheetId="17" hidden="1">Fuels!#REF!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70" l="1"/>
  <c r="G18" i="70"/>
  <c r="F18" i="70" l="1"/>
  <c r="F17" i="70"/>
  <c r="F16" i="70"/>
  <c r="E18" i="70"/>
  <c r="E12" i="70"/>
  <c r="E13" i="70"/>
  <c r="E14" i="70"/>
  <c r="E15" i="70"/>
  <c r="E16" i="70"/>
  <c r="E17" i="70"/>
  <c r="E11" i="70"/>
  <c r="X10" i="72"/>
  <c r="J2" i="72" l="1"/>
  <c r="E3" i="78"/>
  <c r="E4" i="78"/>
  <c r="E2" i="78"/>
  <c r="F2" i="78" s="1"/>
  <c r="E2" i="47" l="1"/>
  <c r="E3" i="47"/>
  <c r="F4" i="78"/>
  <c r="F3" i="78"/>
  <c r="B2" i="69" l="1"/>
  <c r="C2" i="78"/>
  <c r="B2" i="78"/>
  <c r="S24" i="54"/>
  <c r="T24" i="54"/>
  <c r="R24" i="54"/>
  <c r="L61" i="72"/>
  <c r="L58" i="72"/>
  <c r="L53" i="72"/>
  <c r="L54" i="72"/>
  <c r="L57" i="72"/>
  <c r="L55" i="72"/>
  <c r="AC13" i="61"/>
  <c r="AD13" i="61"/>
  <c r="AE13" i="61"/>
  <c r="AF13" i="61"/>
  <c r="E13" i="61"/>
  <c r="F13" i="61" s="1"/>
  <c r="G13" i="61" s="1"/>
  <c r="H13" i="61" s="1"/>
  <c r="I13" i="61" s="1"/>
  <c r="J13" i="61" s="1"/>
  <c r="K13" i="61" s="1"/>
  <c r="L13" i="61" s="1"/>
  <c r="M13" i="61" s="1"/>
  <c r="N13" i="61" s="1"/>
  <c r="O13" i="61" s="1"/>
  <c r="P13" i="61" s="1"/>
  <c r="Q13" i="61" s="1"/>
  <c r="R13" i="61" s="1"/>
  <c r="S13" i="61" s="1"/>
  <c r="T13" i="61" s="1"/>
  <c r="U13" i="61" s="1"/>
  <c r="V13" i="61" s="1"/>
  <c r="W13" i="61" s="1"/>
  <c r="X13" i="61" s="1"/>
  <c r="Y13" i="61" s="1"/>
  <c r="Z13" i="61" s="1"/>
  <c r="AA13" i="61" s="1"/>
  <c r="AB13" i="61" s="1"/>
  <c r="D13" i="61"/>
  <c r="B13" i="61"/>
  <c r="A3" i="63"/>
  <c r="A4" i="63"/>
  <c r="A5" i="63"/>
  <c r="A6" i="63"/>
  <c r="A7" i="63"/>
  <c r="A8" i="63"/>
  <c r="A9" i="63"/>
  <c r="A10" i="63"/>
  <c r="A11" i="63"/>
  <c r="A12" i="63"/>
  <c r="A13" i="63"/>
  <c r="A14" i="63"/>
  <c r="A15" i="63"/>
  <c r="A16" i="63"/>
  <c r="A17" i="63"/>
  <c r="A18" i="63"/>
  <c r="A19" i="63"/>
  <c r="A20" i="63"/>
  <c r="A21" i="63"/>
  <c r="A22" i="63"/>
  <c r="A23" i="63"/>
  <c r="A24" i="63"/>
  <c r="L6" i="71"/>
  <c r="B4" i="77"/>
  <c r="L48" i="72"/>
  <c r="L49" i="72"/>
  <c r="L50" i="72"/>
  <c r="L51" i="72"/>
  <c r="L52" i="72"/>
  <c r="A71" i="63"/>
  <c r="A72" i="63"/>
  <c r="A48" i="63"/>
  <c r="A49" i="63"/>
  <c r="A50" i="63"/>
  <c r="A25" i="63"/>
  <c r="A26" i="63"/>
  <c r="A2" i="63"/>
  <c r="A74" i="63"/>
  <c r="A75" i="63"/>
  <c r="A76" i="63"/>
  <c r="A77" i="63"/>
  <c r="A78" i="63"/>
  <c r="A79" i="63"/>
  <c r="A80" i="63"/>
  <c r="A81" i="63"/>
  <c r="A82" i="63"/>
  <c r="A83" i="63"/>
  <c r="A84" i="63"/>
  <c r="A85" i="63"/>
  <c r="A86" i="63"/>
  <c r="A87" i="63"/>
  <c r="A88" i="63"/>
  <c r="A89" i="63"/>
  <c r="A90" i="63"/>
  <c r="A91" i="63"/>
  <c r="A92" i="63"/>
  <c r="A93" i="63"/>
  <c r="A51" i="63"/>
  <c r="A52" i="63"/>
  <c r="A53" i="63"/>
  <c r="A54" i="63"/>
  <c r="A55" i="63"/>
  <c r="A56" i="63"/>
  <c r="A57" i="63"/>
  <c r="A58" i="63"/>
  <c r="A59" i="63"/>
  <c r="A60" i="63"/>
  <c r="A61" i="63"/>
  <c r="A62" i="63"/>
  <c r="A63" i="63"/>
  <c r="A64" i="63"/>
  <c r="A65" i="63"/>
  <c r="A66" i="63"/>
  <c r="A67" i="63"/>
  <c r="A68" i="63"/>
  <c r="A69" i="63"/>
  <c r="A70" i="63"/>
  <c r="A28" i="63"/>
  <c r="A29" i="63"/>
  <c r="A30" i="63"/>
  <c r="A31" i="63"/>
  <c r="A32" i="63"/>
  <c r="A33" i="63"/>
  <c r="A34" i="63"/>
  <c r="A35" i="63"/>
  <c r="A36" i="63"/>
  <c r="A37" i="63"/>
  <c r="A38" i="63"/>
  <c r="A39" i="63"/>
  <c r="A40" i="63"/>
  <c r="A41" i="63"/>
  <c r="A42" i="63"/>
  <c r="A43" i="63"/>
  <c r="A44" i="63"/>
  <c r="A45" i="63"/>
  <c r="A46" i="63"/>
  <c r="A47" i="63"/>
  <c r="D24" i="33"/>
  <c r="E24" i="33"/>
  <c r="F24" i="33"/>
  <c r="H24" i="33"/>
  <c r="I24" i="33"/>
  <c r="C24" i="33"/>
  <c r="B3" i="64"/>
  <c r="D6" i="64" s="1"/>
  <c r="D7" i="64"/>
  <c r="D4" i="65"/>
  <c r="K4" i="64"/>
  <c r="C3" i="76" l="1"/>
  <c r="C4" i="76"/>
  <c r="C5" i="76"/>
  <c r="C6" i="76"/>
  <c r="C7" i="76"/>
  <c r="C8" i="76"/>
  <c r="B3" i="76"/>
  <c r="D3" i="76" s="1"/>
  <c r="B4" i="76"/>
  <c r="D4" i="76" s="1"/>
  <c r="B5" i="76"/>
  <c r="D5" i="76" s="1"/>
  <c r="B6" i="76"/>
  <c r="D6" i="76" s="1"/>
  <c r="B7" i="76"/>
  <c r="D7" i="76" s="1"/>
  <c r="B8" i="76"/>
  <c r="D8" i="76" s="1"/>
  <c r="B2" i="76"/>
  <c r="D2" i="76" s="1"/>
  <c r="X14" i="72"/>
  <c r="X15" i="72"/>
  <c r="X16" i="72"/>
  <c r="X17" i="72"/>
  <c r="X18" i="72"/>
  <c r="X13" i="72"/>
  <c r="X12" i="72"/>
  <c r="X11" i="72"/>
  <c r="U10" i="72"/>
  <c r="U11" i="72" s="1"/>
  <c r="U12" i="72" s="1"/>
  <c r="U13" i="72" s="1"/>
  <c r="U14" i="72" s="1"/>
  <c r="U15" i="72" s="1"/>
  <c r="U16" i="72" s="1"/>
  <c r="U17" i="72" s="1"/>
  <c r="U18" i="72" s="1"/>
  <c r="N13" i="72"/>
  <c r="V2" i="72"/>
  <c r="J4" i="72"/>
  <c r="J3" i="72"/>
  <c r="J5" i="72"/>
  <c r="G2" i="76" l="1"/>
  <c r="G3" i="76"/>
  <c r="G4" i="76"/>
  <c r="G5" i="76"/>
  <c r="G6" i="76"/>
  <c r="A27" i="63"/>
  <c r="C3" i="69" l="1"/>
  <c r="B3" i="69" s="1"/>
  <c r="J13" i="76"/>
  <c r="C2" i="76"/>
  <c r="I13" i="76"/>
  <c r="H7" i="70"/>
  <c r="G7" i="76"/>
  <c r="L2" i="76" s="1"/>
  <c r="G9" i="76"/>
  <c r="D10" i="65"/>
  <c r="C10" i="65"/>
  <c r="L3" i="72"/>
  <c r="L4" i="72"/>
  <c r="L5" i="72"/>
  <c r="L6" i="72"/>
  <c r="L2" i="72"/>
  <c r="H9" i="75"/>
  <c r="D9" i="75"/>
  <c r="I8" i="75"/>
  <c r="H8" i="75"/>
  <c r="C8" i="75"/>
  <c r="B8" i="75"/>
  <c r="I7" i="75"/>
  <c r="H7" i="75"/>
  <c r="C7" i="75"/>
  <c r="B7" i="75"/>
  <c r="N6" i="75"/>
  <c r="M6" i="75" s="1"/>
  <c r="I6" i="75"/>
  <c r="H6" i="75"/>
  <c r="C6" i="75"/>
  <c r="B6" i="75"/>
  <c r="N5" i="75"/>
  <c r="M5" i="75" s="1"/>
  <c r="I5" i="75"/>
  <c r="H5" i="75"/>
  <c r="C5" i="75"/>
  <c r="B5" i="75"/>
  <c r="N4" i="75"/>
  <c r="M4" i="75"/>
  <c r="I4" i="75"/>
  <c r="H4" i="75"/>
  <c r="C4" i="75"/>
  <c r="B4" i="75"/>
  <c r="N3" i="75"/>
  <c r="M3" i="75"/>
  <c r="I3" i="75"/>
  <c r="H3" i="75"/>
  <c r="C3" i="75"/>
  <c r="B3" i="75"/>
  <c r="N2" i="75"/>
  <c r="M2" i="75"/>
  <c r="I2" i="75"/>
  <c r="H2" i="75"/>
  <c r="C2" i="75"/>
  <c r="B2" i="75"/>
  <c r="D2" i="64"/>
  <c r="J2" i="69" l="1"/>
  <c r="K2" i="69" s="1"/>
  <c r="L2" i="69" s="1"/>
  <c r="D1" i="64"/>
  <c r="J48" i="72"/>
  <c r="J51" i="72"/>
  <c r="J52" i="72"/>
  <c r="J54" i="72"/>
  <c r="J47" i="72"/>
  <c r="I49" i="72"/>
  <c r="I50" i="72"/>
  <c r="I48" i="72"/>
  <c r="V3" i="72"/>
  <c r="V6" i="72" s="1"/>
  <c r="V5" i="72"/>
  <c r="V4" i="72"/>
  <c r="E2" i="72"/>
  <c r="F50" i="72"/>
  <c r="F49" i="72"/>
  <c r="F48" i="72"/>
  <c r="F47" i="72"/>
  <c r="F46" i="72"/>
  <c r="F43" i="72"/>
  <c r="F39" i="72"/>
  <c r="D40" i="72"/>
  <c r="F40" i="72" s="1"/>
  <c r="D41" i="72"/>
  <c r="F41" i="72" s="1"/>
  <c r="D42" i="72"/>
  <c r="F42" i="72" s="1"/>
  <c r="D43" i="72"/>
  <c r="D39" i="72"/>
  <c r="R41" i="72"/>
  <c r="R42" i="72" s="1"/>
  <c r="R39" i="72"/>
  <c r="P30" i="72"/>
  <c r="P33" i="72" s="1"/>
  <c r="P34" i="72" s="1"/>
  <c r="P14" i="72"/>
  <c r="P15" i="72" s="1"/>
  <c r="P16" i="72" s="1"/>
  <c r="P17" i="72" s="1"/>
  <c r="C18" i="71"/>
  <c r="E3" i="72"/>
  <c r="E4" i="72"/>
  <c r="E5" i="72"/>
  <c r="E6" i="72"/>
  <c r="E7" i="72"/>
  <c r="E8" i="72"/>
  <c r="E9" i="72"/>
  <c r="E10" i="72"/>
  <c r="D7" i="73"/>
  <c r="L6" i="73"/>
  <c r="K6" i="73" s="1"/>
  <c r="H6" i="73"/>
  <c r="C6" i="73"/>
  <c r="B6" i="73"/>
  <c r="L5" i="73"/>
  <c r="K5" i="73"/>
  <c r="H5" i="73"/>
  <c r="C5" i="73"/>
  <c r="B5" i="73"/>
  <c r="L4" i="73"/>
  <c r="K4" i="73"/>
  <c r="H4" i="73"/>
  <c r="C4" i="73"/>
  <c r="B4" i="73"/>
  <c r="L3" i="73"/>
  <c r="K3" i="73"/>
  <c r="H3" i="73"/>
  <c r="C3" i="73"/>
  <c r="B3" i="73"/>
  <c r="L2" i="73"/>
  <c r="K2" i="73"/>
  <c r="H2" i="73"/>
  <c r="C2" i="73"/>
  <c r="B2" i="73"/>
  <c r="E11" i="72" l="1"/>
  <c r="M2" i="72"/>
  <c r="J49" i="72"/>
  <c r="J53" i="72"/>
  <c r="J6" i="72"/>
  <c r="J7" i="72"/>
  <c r="J8" i="72"/>
  <c r="I6" i="72"/>
  <c r="I52" i="72" s="1"/>
  <c r="I7" i="72"/>
  <c r="I53" i="72" s="1"/>
  <c r="I8" i="72"/>
  <c r="I54" i="72" s="1"/>
  <c r="I5" i="72"/>
  <c r="I51" i="72" s="1"/>
  <c r="J50" i="72"/>
  <c r="P6" i="72" l="1"/>
  <c r="M52" i="72" s="1"/>
  <c r="N6" i="72"/>
  <c r="O6" i="72" s="1"/>
  <c r="K52" i="72"/>
  <c r="P7" i="72"/>
  <c r="M53" i="72" s="1"/>
  <c r="N7" i="72"/>
  <c r="O7" i="72" s="1"/>
  <c r="K53" i="72"/>
  <c r="P5" i="72"/>
  <c r="M51" i="72" s="1"/>
  <c r="K51" i="72"/>
  <c r="N5" i="72"/>
  <c r="P8" i="72"/>
  <c r="M54" i="72" s="1"/>
  <c r="N8" i="72"/>
  <c r="O8" i="72" s="1"/>
  <c r="K54" i="72"/>
  <c r="P4" i="72"/>
  <c r="M50" i="72" s="1"/>
  <c r="N4" i="72"/>
  <c r="K50" i="72"/>
  <c r="P3" i="72"/>
  <c r="M49" i="72" s="1"/>
  <c r="N3" i="72"/>
  <c r="K49" i="72"/>
  <c r="M3" i="72"/>
  <c r="M4" i="72" s="1"/>
  <c r="M5" i="72" s="1"/>
  <c r="M6" i="72" s="1"/>
  <c r="M7" i="72" s="1"/>
  <c r="M8" i="72" s="1"/>
  <c r="B2" i="72" l="1"/>
  <c r="B3" i="72" s="1"/>
  <c r="B4" i="72" s="1"/>
  <c r="B5" i="72" s="1"/>
  <c r="B6" i="72" s="1"/>
  <c r="B7" i="72" s="1"/>
  <c r="B8" i="72" s="1"/>
  <c r="B9" i="72" s="1"/>
  <c r="B10" i="72" s="1"/>
  <c r="P2" i="72" l="1"/>
  <c r="M48" i="72" s="1"/>
  <c r="N2" i="72"/>
  <c r="K48" i="72"/>
  <c r="A73" i="63" l="1"/>
  <c r="D3" i="67" l="1"/>
  <c r="C3" i="65"/>
  <c r="B3" i="65"/>
  <c r="C2" i="65"/>
  <c r="B2" i="65"/>
  <c r="K6" i="71"/>
  <c r="K7" i="71" s="1"/>
  <c r="E6" i="71"/>
  <c r="I5" i="71"/>
  <c r="G5" i="71"/>
  <c r="I4" i="71"/>
  <c r="I3" i="71"/>
  <c r="I2" i="71"/>
  <c r="J14" i="71"/>
  <c r="G2" i="71"/>
  <c r="F2" i="71"/>
  <c r="I3" i="68"/>
  <c r="I4" i="68"/>
  <c r="I5" i="68"/>
  <c r="I6" i="68"/>
  <c r="I2" i="68"/>
  <c r="J2" i="68"/>
  <c r="W22" i="33"/>
  <c r="W20" i="33"/>
  <c r="C3" i="68"/>
  <c r="C4" i="68"/>
  <c r="C5" i="68"/>
  <c r="C6" i="68"/>
  <c r="C2" i="68"/>
  <c r="B2" i="68"/>
  <c r="B3" i="68"/>
  <c r="B4" i="68"/>
  <c r="B5" i="68"/>
  <c r="B6" i="68"/>
  <c r="E2" i="68"/>
  <c r="H2" i="68"/>
  <c r="H3" i="68"/>
  <c r="H4" i="68"/>
  <c r="H5" i="68"/>
  <c r="H6" i="68"/>
  <c r="D7" i="68"/>
  <c r="A2" i="14"/>
  <c r="A3" i="14"/>
  <c r="K4" i="66"/>
  <c r="K5" i="66"/>
  <c r="F11" i="66"/>
  <c r="C15" i="66"/>
  <c r="C2" i="66"/>
  <c r="D2" i="66"/>
  <c r="E2" i="66"/>
  <c r="F2" i="66"/>
  <c r="G2" i="66"/>
  <c r="H2" i="66"/>
  <c r="I2" i="66"/>
  <c r="J2" i="66"/>
  <c r="K2" i="66"/>
  <c r="L2" i="66"/>
  <c r="M2" i="66"/>
  <c r="N2" i="66"/>
  <c r="O2" i="66"/>
  <c r="P2" i="66"/>
  <c r="Q2" i="66"/>
  <c r="R2" i="66"/>
  <c r="S2" i="66"/>
  <c r="T2" i="66"/>
  <c r="U2" i="66"/>
  <c r="V2" i="66"/>
  <c r="W2" i="66"/>
  <c r="X2" i="66"/>
  <c r="Y2" i="66"/>
  <c r="Z2" i="66"/>
  <c r="AA2" i="66"/>
  <c r="AB2" i="66"/>
  <c r="AC2" i="66"/>
  <c r="AD2" i="66"/>
  <c r="AE2" i="66"/>
  <c r="AF2" i="66"/>
  <c r="AG2" i="66"/>
  <c r="AH2" i="66"/>
  <c r="AI2" i="66"/>
  <c r="AJ2" i="66"/>
  <c r="AK2" i="66"/>
  <c r="AL2" i="66"/>
  <c r="AM2" i="66"/>
  <c r="AN2" i="66"/>
  <c r="AO2" i="66"/>
  <c r="C3" i="66"/>
  <c r="D3" i="66"/>
  <c r="E3" i="66"/>
  <c r="F3" i="66"/>
  <c r="G3" i="66"/>
  <c r="H3" i="66"/>
  <c r="I3" i="66"/>
  <c r="J3" i="66"/>
  <c r="K3" i="66"/>
  <c r="L3" i="66"/>
  <c r="M3" i="66"/>
  <c r="N3" i="66"/>
  <c r="O3" i="66"/>
  <c r="P3" i="66"/>
  <c r="Q3" i="66"/>
  <c r="R3" i="66"/>
  <c r="S3" i="66"/>
  <c r="T3" i="66"/>
  <c r="U3" i="66"/>
  <c r="V3" i="66"/>
  <c r="W3" i="66"/>
  <c r="X3" i="66"/>
  <c r="Y3" i="66"/>
  <c r="Z3" i="66"/>
  <c r="AA3" i="66"/>
  <c r="AB3" i="66"/>
  <c r="AC3" i="66"/>
  <c r="AD3" i="66"/>
  <c r="AE3" i="66"/>
  <c r="AF3" i="66"/>
  <c r="AG3" i="66"/>
  <c r="AH3" i="66"/>
  <c r="AI3" i="66"/>
  <c r="AJ3" i="66"/>
  <c r="AK3" i="66"/>
  <c r="AL3" i="66"/>
  <c r="AM3" i="66"/>
  <c r="AN3" i="66"/>
  <c r="AO3" i="66"/>
  <c r="C4" i="66"/>
  <c r="D4" i="66"/>
  <c r="E4" i="66"/>
  <c r="F4" i="66"/>
  <c r="G4" i="66"/>
  <c r="H4" i="66"/>
  <c r="I4" i="66"/>
  <c r="J4" i="66"/>
  <c r="L4" i="66"/>
  <c r="M4" i="66"/>
  <c r="N4" i="66"/>
  <c r="O4" i="66"/>
  <c r="P4" i="66"/>
  <c r="Q4" i="66"/>
  <c r="R4" i="66"/>
  <c r="S4" i="66"/>
  <c r="T4" i="66"/>
  <c r="U4" i="66"/>
  <c r="V4" i="66"/>
  <c r="W4" i="66"/>
  <c r="X4" i="66"/>
  <c r="Y4" i="66"/>
  <c r="Z4" i="66"/>
  <c r="AA4" i="66"/>
  <c r="AB4" i="66"/>
  <c r="AC4" i="66"/>
  <c r="AD4" i="66"/>
  <c r="AE4" i="66"/>
  <c r="AF4" i="66"/>
  <c r="AG4" i="66"/>
  <c r="AH4" i="66"/>
  <c r="AI4" i="66"/>
  <c r="AJ4" i="66"/>
  <c r="AK4" i="66"/>
  <c r="AL4" i="66"/>
  <c r="AM4" i="66"/>
  <c r="AN4" i="66"/>
  <c r="AO4" i="66"/>
  <c r="C5" i="66"/>
  <c r="D5" i="66"/>
  <c r="E5" i="66"/>
  <c r="F5" i="66"/>
  <c r="G5" i="66"/>
  <c r="H5" i="66"/>
  <c r="I5" i="66"/>
  <c r="J5" i="66"/>
  <c r="L5" i="66"/>
  <c r="M5" i="66"/>
  <c r="N5" i="66"/>
  <c r="O5" i="66"/>
  <c r="P5" i="66"/>
  <c r="Q5" i="66"/>
  <c r="R5" i="66"/>
  <c r="S5" i="66"/>
  <c r="T5" i="66"/>
  <c r="U5" i="66"/>
  <c r="V5" i="66"/>
  <c r="W5" i="66"/>
  <c r="X5" i="66"/>
  <c r="Y5" i="66"/>
  <c r="Z5" i="66"/>
  <c r="AA5" i="66"/>
  <c r="AB5" i="66"/>
  <c r="AC5" i="66"/>
  <c r="AD5" i="66"/>
  <c r="AE5" i="66"/>
  <c r="AF5" i="66"/>
  <c r="AG5" i="66"/>
  <c r="AH5" i="66"/>
  <c r="AI5" i="66"/>
  <c r="AJ5" i="66"/>
  <c r="AK5" i="66"/>
  <c r="AL5" i="66"/>
  <c r="AM5" i="66"/>
  <c r="AN5" i="66"/>
  <c r="AO5" i="66"/>
  <c r="C6" i="66"/>
  <c r="D6" i="66"/>
  <c r="E6" i="66"/>
  <c r="F6" i="66"/>
  <c r="G6" i="66"/>
  <c r="H6" i="66"/>
  <c r="I6" i="66"/>
  <c r="J6" i="66"/>
  <c r="K6" i="66"/>
  <c r="L6" i="66"/>
  <c r="M6" i="66"/>
  <c r="N6" i="66"/>
  <c r="O6" i="66"/>
  <c r="P6" i="66"/>
  <c r="Q6" i="66"/>
  <c r="R6" i="66"/>
  <c r="S6" i="66"/>
  <c r="T6" i="66"/>
  <c r="U6" i="66"/>
  <c r="V6" i="66"/>
  <c r="W6" i="66"/>
  <c r="X6" i="66"/>
  <c r="Y6" i="66"/>
  <c r="Z6" i="66"/>
  <c r="AA6" i="66"/>
  <c r="AB6" i="66"/>
  <c r="AC6" i="66"/>
  <c r="AD6" i="66"/>
  <c r="AE6" i="66"/>
  <c r="AF6" i="66"/>
  <c r="AG6" i="66"/>
  <c r="AH6" i="66"/>
  <c r="AI6" i="66"/>
  <c r="AJ6" i="66"/>
  <c r="AK6" i="66"/>
  <c r="AL6" i="66"/>
  <c r="AM6" i="66"/>
  <c r="AN6" i="66"/>
  <c r="AO6" i="66"/>
  <c r="C7" i="66"/>
  <c r="D7" i="66"/>
  <c r="E7" i="66"/>
  <c r="F7" i="66"/>
  <c r="G7" i="66"/>
  <c r="H7" i="66"/>
  <c r="I7" i="66"/>
  <c r="J7" i="66"/>
  <c r="K7" i="66"/>
  <c r="L7" i="66"/>
  <c r="M7" i="66"/>
  <c r="N7" i="66"/>
  <c r="O7" i="66"/>
  <c r="P7" i="66"/>
  <c r="Q7" i="66"/>
  <c r="R7" i="66"/>
  <c r="S7" i="66"/>
  <c r="T7" i="66"/>
  <c r="U7" i="66"/>
  <c r="V7" i="66"/>
  <c r="W7" i="66"/>
  <c r="X7" i="66"/>
  <c r="Y7" i="66"/>
  <c r="Z7" i="66"/>
  <c r="AA7" i="66"/>
  <c r="AB7" i="66"/>
  <c r="AC7" i="66"/>
  <c r="AD7" i="66"/>
  <c r="AE7" i="66"/>
  <c r="AF7" i="66"/>
  <c r="AG7" i="66"/>
  <c r="AH7" i="66"/>
  <c r="AI7" i="66"/>
  <c r="AJ7" i="66"/>
  <c r="AK7" i="66"/>
  <c r="AL7" i="66"/>
  <c r="AM7" i="66"/>
  <c r="AN7" i="66"/>
  <c r="AO7" i="66"/>
  <c r="C8" i="66"/>
  <c r="D8" i="66"/>
  <c r="E8" i="66"/>
  <c r="F8" i="66"/>
  <c r="G8" i="66"/>
  <c r="H8" i="66"/>
  <c r="I8" i="66"/>
  <c r="J8" i="66"/>
  <c r="K8" i="66"/>
  <c r="L8" i="66"/>
  <c r="M8" i="66"/>
  <c r="N8" i="66"/>
  <c r="O8" i="66"/>
  <c r="P8" i="66"/>
  <c r="Q8" i="66"/>
  <c r="R8" i="66"/>
  <c r="S8" i="66"/>
  <c r="T8" i="66"/>
  <c r="U8" i="66"/>
  <c r="V8" i="66"/>
  <c r="W8" i="66"/>
  <c r="X8" i="66"/>
  <c r="Y8" i="66"/>
  <c r="Z8" i="66"/>
  <c r="AA8" i="66"/>
  <c r="AB8" i="66"/>
  <c r="AC8" i="66"/>
  <c r="AD8" i="66"/>
  <c r="AE8" i="66"/>
  <c r="AF8" i="66"/>
  <c r="AG8" i="66"/>
  <c r="AH8" i="66"/>
  <c r="AI8" i="66"/>
  <c r="AJ8" i="66"/>
  <c r="AK8" i="66"/>
  <c r="AL8" i="66"/>
  <c r="AM8" i="66"/>
  <c r="AN8" i="66"/>
  <c r="AO8" i="66"/>
  <c r="C9" i="66"/>
  <c r="D9" i="66"/>
  <c r="E9" i="66"/>
  <c r="F9" i="66"/>
  <c r="G9" i="66"/>
  <c r="H9" i="66"/>
  <c r="I9" i="66"/>
  <c r="J9" i="66"/>
  <c r="K9" i="66"/>
  <c r="L9" i="66"/>
  <c r="M9" i="66"/>
  <c r="N9" i="66"/>
  <c r="O9" i="66"/>
  <c r="P9" i="66"/>
  <c r="Q9" i="66"/>
  <c r="R9" i="66"/>
  <c r="S9" i="66"/>
  <c r="T9" i="66"/>
  <c r="U9" i="66"/>
  <c r="V9" i="66"/>
  <c r="W9" i="66"/>
  <c r="X9" i="66"/>
  <c r="Y9" i="66"/>
  <c r="Z9" i="66"/>
  <c r="AA9" i="66"/>
  <c r="AB9" i="66"/>
  <c r="AC9" i="66"/>
  <c r="AD9" i="66"/>
  <c r="AE9" i="66"/>
  <c r="AF9" i="66"/>
  <c r="AG9" i="66"/>
  <c r="AH9" i="66"/>
  <c r="AI9" i="66"/>
  <c r="AJ9" i="66"/>
  <c r="AK9" i="66"/>
  <c r="AL9" i="66"/>
  <c r="AM9" i="66"/>
  <c r="AN9" i="66"/>
  <c r="AO9" i="66"/>
  <c r="C10" i="66"/>
  <c r="D10" i="66"/>
  <c r="E10" i="66"/>
  <c r="F10" i="66"/>
  <c r="G10" i="66"/>
  <c r="H10" i="66"/>
  <c r="I10" i="66"/>
  <c r="J10" i="66"/>
  <c r="K10" i="66"/>
  <c r="L10" i="66"/>
  <c r="M10" i="66"/>
  <c r="N10" i="66"/>
  <c r="O10" i="66"/>
  <c r="P10" i="66"/>
  <c r="Q10" i="66"/>
  <c r="R10" i="66"/>
  <c r="S10" i="66"/>
  <c r="T10" i="66"/>
  <c r="U10" i="66"/>
  <c r="V10" i="66"/>
  <c r="W10" i="66"/>
  <c r="X10" i="66"/>
  <c r="Y10" i="66"/>
  <c r="Z10" i="66"/>
  <c r="AA10" i="66"/>
  <c r="AB10" i="66"/>
  <c r="AC10" i="66"/>
  <c r="AD10" i="66"/>
  <c r="AE10" i="66"/>
  <c r="AF10" i="66"/>
  <c r="AG10" i="66"/>
  <c r="AH10" i="66"/>
  <c r="AI10" i="66"/>
  <c r="AJ10" i="66"/>
  <c r="AK10" i="66"/>
  <c r="AL10" i="66"/>
  <c r="AM10" i="66"/>
  <c r="AN10" i="66"/>
  <c r="AO10" i="66"/>
  <c r="C11" i="66"/>
  <c r="D11" i="66"/>
  <c r="E11" i="66"/>
  <c r="G11" i="66"/>
  <c r="H11" i="66"/>
  <c r="I11" i="66"/>
  <c r="J11" i="66"/>
  <c r="K11" i="66"/>
  <c r="L11" i="66"/>
  <c r="M11" i="66"/>
  <c r="N11" i="66"/>
  <c r="O11" i="66"/>
  <c r="P11" i="66"/>
  <c r="Q11" i="66"/>
  <c r="R11" i="66"/>
  <c r="S11" i="66"/>
  <c r="T11" i="66"/>
  <c r="U11" i="66"/>
  <c r="V11" i="66"/>
  <c r="W11" i="66"/>
  <c r="X11" i="66"/>
  <c r="Y11" i="66"/>
  <c r="Z11" i="66"/>
  <c r="AA11" i="66"/>
  <c r="AB11" i="66"/>
  <c r="AC11" i="66"/>
  <c r="AD11" i="66"/>
  <c r="AE11" i="66"/>
  <c r="AF11" i="66"/>
  <c r="AG11" i="66"/>
  <c r="AH11" i="66"/>
  <c r="AI11" i="66"/>
  <c r="AJ11" i="66"/>
  <c r="AK11" i="66"/>
  <c r="AL11" i="66"/>
  <c r="AM11" i="66"/>
  <c r="AN11" i="66"/>
  <c r="AO11" i="66"/>
  <c r="C12" i="66"/>
  <c r="D12" i="66"/>
  <c r="E12" i="66"/>
  <c r="F12" i="66"/>
  <c r="G12" i="66"/>
  <c r="H12" i="66"/>
  <c r="I12" i="66"/>
  <c r="J12" i="66"/>
  <c r="K12" i="66"/>
  <c r="L12" i="66"/>
  <c r="M12" i="66"/>
  <c r="N12" i="66"/>
  <c r="O12" i="66"/>
  <c r="P12" i="66"/>
  <c r="Q12" i="66"/>
  <c r="R12" i="66"/>
  <c r="S12" i="66"/>
  <c r="T12" i="66"/>
  <c r="U12" i="66"/>
  <c r="V12" i="66"/>
  <c r="W12" i="66"/>
  <c r="X12" i="66"/>
  <c r="Y12" i="66"/>
  <c r="Z12" i="66"/>
  <c r="AA12" i="66"/>
  <c r="AB12" i="66"/>
  <c r="AC12" i="66"/>
  <c r="AD12" i="66"/>
  <c r="AE12" i="66"/>
  <c r="AF12" i="66"/>
  <c r="AG12" i="66"/>
  <c r="AH12" i="66"/>
  <c r="AI12" i="66"/>
  <c r="AJ12" i="66"/>
  <c r="AK12" i="66"/>
  <c r="AL12" i="66"/>
  <c r="AM12" i="66"/>
  <c r="AN12" i="66"/>
  <c r="AO12" i="66"/>
  <c r="C13" i="66"/>
  <c r="D13" i="66"/>
  <c r="E13" i="66"/>
  <c r="F13" i="66"/>
  <c r="G13" i="66"/>
  <c r="H13" i="66"/>
  <c r="I13" i="66"/>
  <c r="J13" i="66"/>
  <c r="K13" i="66"/>
  <c r="L13" i="66"/>
  <c r="M13" i="66"/>
  <c r="N13" i="66"/>
  <c r="O13" i="66"/>
  <c r="P13" i="66"/>
  <c r="Q13" i="66"/>
  <c r="R13" i="66"/>
  <c r="S13" i="66"/>
  <c r="T13" i="66"/>
  <c r="U13" i="66"/>
  <c r="V13" i="66"/>
  <c r="W13" i="66"/>
  <c r="X13" i="66"/>
  <c r="Y13" i="66"/>
  <c r="Z13" i="66"/>
  <c r="AA13" i="66"/>
  <c r="AB13" i="66"/>
  <c r="AC13" i="66"/>
  <c r="AD13" i="66"/>
  <c r="AE13" i="66"/>
  <c r="AF13" i="66"/>
  <c r="AG13" i="66"/>
  <c r="AH13" i="66"/>
  <c r="AI13" i="66"/>
  <c r="AJ13" i="66"/>
  <c r="AK13" i="66"/>
  <c r="AL13" i="66"/>
  <c r="AM13" i="66"/>
  <c r="AN13" i="66"/>
  <c r="AO13" i="66"/>
  <c r="C14" i="66"/>
  <c r="D14" i="66"/>
  <c r="E14" i="66"/>
  <c r="F14" i="66"/>
  <c r="G14" i="66"/>
  <c r="H14" i="66"/>
  <c r="I14" i="66"/>
  <c r="J14" i="66"/>
  <c r="K14" i="66"/>
  <c r="L14" i="66"/>
  <c r="M14" i="66"/>
  <c r="N14" i="66"/>
  <c r="O14" i="66"/>
  <c r="P14" i="66"/>
  <c r="Q14" i="66"/>
  <c r="R14" i="66"/>
  <c r="S14" i="66"/>
  <c r="T14" i="66"/>
  <c r="U14" i="66"/>
  <c r="V14" i="66"/>
  <c r="W14" i="66"/>
  <c r="X14" i="66"/>
  <c r="Y14" i="66"/>
  <c r="Z14" i="66"/>
  <c r="AA14" i="66"/>
  <c r="AB14" i="66"/>
  <c r="AC14" i="66"/>
  <c r="AD14" i="66"/>
  <c r="AE14" i="66"/>
  <c r="AF14" i="66"/>
  <c r="AG14" i="66"/>
  <c r="AH14" i="66"/>
  <c r="AI14" i="66"/>
  <c r="AJ14" i="66"/>
  <c r="AK14" i="66"/>
  <c r="AL14" i="66"/>
  <c r="AM14" i="66"/>
  <c r="AN14" i="66"/>
  <c r="AO14" i="66"/>
  <c r="D15" i="66"/>
  <c r="E15" i="66"/>
  <c r="F15" i="66"/>
  <c r="G15" i="66"/>
  <c r="H15" i="66"/>
  <c r="I15" i="66"/>
  <c r="J15" i="66"/>
  <c r="K15" i="66"/>
  <c r="L15" i="66"/>
  <c r="M15" i="66"/>
  <c r="N15" i="66"/>
  <c r="O15" i="66"/>
  <c r="P15" i="66"/>
  <c r="Q15" i="66"/>
  <c r="R15" i="66"/>
  <c r="S15" i="66"/>
  <c r="T15" i="66"/>
  <c r="U15" i="66"/>
  <c r="V15" i="66"/>
  <c r="W15" i="66"/>
  <c r="X15" i="66"/>
  <c r="Y15" i="66"/>
  <c r="Z15" i="66"/>
  <c r="AA15" i="66"/>
  <c r="AB15" i="66"/>
  <c r="AC15" i="66"/>
  <c r="AD15" i="66"/>
  <c r="AE15" i="66"/>
  <c r="AF15" i="66"/>
  <c r="AG15" i="66"/>
  <c r="AH15" i="66"/>
  <c r="AI15" i="66"/>
  <c r="AJ15" i="66"/>
  <c r="AK15" i="66"/>
  <c r="AL15" i="66"/>
  <c r="AM15" i="66"/>
  <c r="AN15" i="66"/>
  <c r="AO15" i="66"/>
  <c r="C16" i="66"/>
  <c r="D16" i="66"/>
  <c r="E16" i="66"/>
  <c r="F16" i="66"/>
  <c r="G16" i="66"/>
  <c r="H16" i="66"/>
  <c r="I16" i="66"/>
  <c r="J16" i="66"/>
  <c r="K16" i="66"/>
  <c r="L16" i="66"/>
  <c r="M16" i="66"/>
  <c r="N16" i="66"/>
  <c r="O16" i="66"/>
  <c r="P16" i="66"/>
  <c r="Q16" i="66"/>
  <c r="R16" i="66"/>
  <c r="S16" i="66"/>
  <c r="T16" i="66"/>
  <c r="U16" i="66"/>
  <c r="V16" i="66"/>
  <c r="W16" i="66"/>
  <c r="X16" i="66"/>
  <c r="Y16" i="66"/>
  <c r="Z16" i="66"/>
  <c r="AA16" i="66"/>
  <c r="AB16" i="66"/>
  <c r="AC16" i="66"/>
  <c r="AD16" i="66"/>
  <c r="AE16" i="66"/>
  <c r="AF16" i="66"/>
  <c r="AG16" i="66"/>
  <c r="AH16" i="66"/>
  <c r="AI16" i="66"/>
  <c r="AJ16" i="66"/>
  <c r="AK16" i="66"/>
  <c r="AL16" i="66"/>
  <c r="AM16" i="66"/>
  <c r="AN16" i="66"/>
  <c r="AO16" i="66"/>
  <c r="C17" i="66"/>
  <c r="D17" i="66"/>
  <c r="E17" i="66"/>
  <c r="F17" i="66"/>
  <c r="G17" i="66"/>
  <c r="H17" i="66"/>
  <c r="I17" i="66"/>
  <c r="J17" i="66"/>
  <c r="K17" i="66"/>
  <c r="L17" i="66"/>
  <c r="M17" i="66"/>
  <c r="N17" i="66"/>
  <c r="O17" i="66"/>
  <c r="P17" i="66"/>
  <c r="Q17" i="66"/>
  <c r="R17" i="66"/>
  <c r="S17" i="66"/>
  <c r="T17" i="66"/>
  <c r="U17" i="66"/>
  <c r="V17" i="66"/>
  <c r="W17" i="66"/>
  <c r="X17" i="66"/>
  <c r="Y17" i="66"/>
  <c r="Z17" i="66"/>
  <c r="AA17" i="66"/>
  <c r="AB17" i="66"/>
  <c r="AC17" i="66"/>
  <c r="AD17" i="66"/>
  <c r="AE17" i="66"/>
  <c r="AF17" i="66"/>
  <c r="AG17" i="66"/>
  <c r="AH17" i="66"/>
  <c r="AI17" i="66"/>
  <c r="AJ17" i="66"/>
  <c r="AK17" i="66"/>
  <c r="AL17" i="66"/>
  <c r="AM17" i="66"/>
  <c r="AN17" i="66"/>
  <c r="AO17" i="66"/>
  <c r="B3" i="66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2" i="66"/>
  <c r="W14" i="33"/>
  <c r="W15" i="33"/>
  <c r="W16" i="33"/>
  <c r="W17" i="33"/>
  <c r="W18" i="33"/>
  <c r="W2" i="33"/>
  <c r="W3" i="33"/>
  <c r="W6" i="33"/>
  <c r="W7" i="33"/>
  <c r="W21" i="33"/>
  <c r="K31" i="63"/>
  <c r="K32" i="63"/>
  <c r="N32" i="63" s="1"/>
  <c r="K30" i="63"/>
  <c r="E36" i="63"/>
  <c r="E4" i="63"/>
  <c r="E5" i="63"/>
  <c r="E6" i="63"/>
  <c r="E7" i="63"/>
  <c r="E8" i="63"/>
  <c r="E9" i="63"/>
  <c r="E10" i="63"/>
  <c r="E11" i="63"/>
  <c r="E12" i="63"/>
  <c r="E13" i="63"/>
  <c r="E14" i="63"/>
  <c r="E15" i="63"/>
  <c r="E16" i="63"/>
  <c r="E17" i="63"/>
  <c r="E18" i="63"/>
  <c r="E19" i="63"/>
  <c r="E20" i="63"/>
  <c r="E22" i="63"/>
  <c r="E23" i="63"/>
  <c r="E24" i="63"/>
  <c r="E25" i="63"/>
  <c r="E26" i="63"/>
  <c r="E27" i="63"/>
  <c r="E28" i="63"/>
  <c r="E29" i="63"/>
  <c r="E30" i="63"/>
  <c r="E31" i="63"/>
  <c r="E32" i="63"/>
  <c r="E33" i="63"/>
  <c r="E34" i="63"/>
  <c r="E35" i="63"/>
  <c r="E3" i="63"/>
  <c r="K23" i="63"/>
  <c r="K24" i="63"/>
  <c r="K25" i="63"/>
  <c r="K26" i="63"/>
  <c r="K22" i="63"/>
  <c r="L23" i="63"/>
  <c r="L24" i="63"/>
  <c r="L25" i="63"/>
  <c r="L26" i="63"/>
  <c r="L22" i="63"/>
  <c r="K8" i="63"/>
  <c r="K6" i="63"/>
  <c r="K7" i="63"/>
  <c r="M8" i="63"/>
  <c r="M9" i="63"/>
  <c r="M10" i="63" s="1"/>
  <c r="M11" i="63" s="1"/>
  <c r="M12" i="63" s="1"/>
  <c r="M13" i="63" s="1"/>
  <c r="M14" i="63" s="1"/>
  <c r="M15" i="63" s="1"/>
  <c r="M16" i="63" s="1"/>
  <c r="M17" i="63" s="1"/>
  <c r="M18" i="63" s="1"/>
  <c r="L8" i="63"/>
  <c r="L9" i="63" s="1"/>
  <c r="L10" i="63" s="1"/>
  <c r="L11" i="63" s="1"/>
  <c r="L12" i="63" s="1"/>
  <c r="L13" i="63" s="1"/>
  <c r="L14" i="63" s="1"/>
  <c r="L15" i="63" s="1"/>
  <c r="L16" i="63" s="1"/>
  <c r="L17" i="63" s="1"/>
  <c r="L18" i="63" s="1"/>
  <c r="K16" i="63"/>
  <c r="K9" i="63"/>
  <c r="K10" i="63"/>
  <c r="K11" i="63"/>
  <c r="K12" i="63"/>
  <c r="K13" i="63"/>
  <c r="K14" i="63"/>
  <c r="K15" i="63"/>
  <c r="K17" i="63"/>
  <c r="K18" i="63"/>
  <c r="E6" i="58"/>
  <c r="E11" i="58"/>
  <c r="E10" i="58"/>
  <c r="E9" i="58"/>
  <c r="E8" i="58"/>
  <c r="E7" i="58"/>
  <c r="E2" i="58"/>
  <c r="E5" i="58"/>
  <c r="E4" i="58"/>
  <c r="E3" i="58"/>
  <c r="C5" i="18"/>
  <c r="F6" i="50"/>
  <c r="F7" i="50"/>
  <c r="B16" i="50"/>
  <c r="X18" i="33"/>
  <c r="X2" i="33"/>
  <c r="X19" i="33"/>
  <c r="X3" i="33"/>
  <c r="X14" i="33"/>
  <c r="X22" i="33"/>
  <c r="X23" i="33"/>
  <c r="X8" i="33"/>
  <c r="X16" i="33"/>
  <c r="X17" i="33"/>
  <c r="X15" i="33"/>
  <c r="X4" i="33"/>
  <c r="C3" i="18"/>
  <c r="T20" i="33"/>
  <c r="X20" i="33" s="1"/>
  <c r="U20" i="33"/>
  <c r="V20" i="33"/>
  <c r="G3" i="35"/>
  <c r="G4" i="35"/>
  <c r="G5" i="35"/>
  <c r="G6" i="35"/>
  <c r="G7" i="35"/>
  <c r="G8" i="35"/>
  <c r="G9" i="35"/>
  <c r="G10" i="35"/>
  <c r="G11" i="35"/>
  <c r="G12" i="35"/>
  <c r="G13" i="35"/>
  <c r="G2" i="35"/>
  <c r="I8" i="35"/>
  <c r="I11" i="35"/>
  <c r="W4" i="33"/>
  <c r="W19" i="33" l="1"/>
  <c r="W8" i="33"/>
  <c r="W23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tc={6FC8EE55-4615-4678-B777-D2D250B8803A}</author>
  </authors>
  <commentList>
    <comment ref="B1" authorId="0" shapeId="0" xr:uid="{6FC8EE55-4615-4678-B777-D2D250B8803A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ones in purple are not yet in amiris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tc={AA507AE8-0B1A-4FD5-85B8-396AD49362CB}</author>
    <author>tc={CB92AA55-3A07-470B-9A26-A7FF27D2D2A4}</author>
    <author>tc={43FC892D-71D1-4868-BD9A-A88CFE0C563E}</author>
  </authors>
  <commentList>
    <comment ref="B1" authorId="0" shapeId="0" xr:uid="{AA507AE8-0B1A-4FD5-85B8-396AD49362CB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is for the triangular trend. To make montecarlo simulations of future prices</t>
      </text>
    </comment>
    <comment ref="C1" authorId="1" shapeId="0" xr:uid="{CB92AA55-3A07-470B-9A26-A7FF27D2D2A4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data cannot be yet changed in Amiris</t>
      </text>
    </comment>
    <comment ref="B9" authorId="2" shapeId="0" xr:uid="{43FC892D-71D1-4868-BD9A-A88CFE0C563E}">
      <text>
        <t>[Threaded comment]
Your version of Excel allows you to read this threaded comment; however, any edits to it will get removed if the file is opened in a newer version of Excel. Learn more: https://go.microsoft.com/fwlink/?linkid=870924
Comment:
    same as biomass?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tc={18927A67-964C-45B5-B27F-BD1FE2FFE04A}</author>
    <author>tc={3949E0A6-8CDE-4DF2-B3C3-D5D5CF7D5450}</author>
    <author>tc={0BD8E1A9-9574-4916-A03F-F4F4EFBC5243}</author>
    <author>tc={3F82BEFE-3858-4198-984F-A2165197D0C4}</author>
    <author>tc={81BA12EC-87B6-4F63-88B8-8B70CD12E2EF}</author>
    <author>tc={0D72634B-03FD-454E-9D84-E275C6836F74}</author>
  </authors>
  <commentList>
    <comment ref="B1" authorId="0" shapeId="0" xr:uid="{18927A67-964C-45B5-B27F-BD1FE2FFE04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For AMIRIS
</t>
      </text>
    </comment>
    <comment ref="C1" authorId="1" shapeId="0" xr:uid="{3949E0A6-8CDE-4DF2-B3C3-D5D5CF7D5450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be  at least 1, later change downpayment to</t>
      </text>
    </comment>
    <comment ref="D1" authorId="2" shapeId="0" xr:uid="{0BD8E1A9-9574-4916-A03F-F4F4EFBC5243}">
      <text>
        <t>[Threaded comment]
Your version of Excel allows you to read this threaded comment; however, any edits to it will get removed if the file is opened in a newer version of Excel. Learn more: https://go.microsoft.com/fwlink/?linkid=870924
Comment:
    permit must be at least 1 because dowpayment happen after the first year</t>
      </text>
    </comment>
    <comment ref="H1" authorId="3" shapeId="0" xr:uid="{3F82BEFE-3858-4198-984F-A2165197D0C4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fuels assigned in traderes</t>
      </text>
    </comment>
    <comment ref="O1" authorId="4" shapeId="0" xr:uid="{81BA12EC-87B6-4F63-88B8-8B70CD12E2EF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be  at least 1, later change downpayment to</t>
      </text>
    </comment>
    <comment ref="P1" authorId="5" shapeId="0" xr:uid="{0D72634B-03FD-454E-9D84-E275C6836F74}">
      <text>
        <t>[Threaded comment]
Your version of Excel allows you to read this threaded comment; however, any edits to it will get removed if the file is opened in a newer version of Excel. Learn more: https://go.microsoft.com/fwlink/?linkid=870924
Comment:
    permit must be at least 1 because dowpayment happen after the first year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tc={078A54F6-6EDB-49A6-AECC-3BEAECAF3AE2}</author>
    <author>tc={5CEB2FE5-73DE-4667-B8DE-F7014F0CF8B6}</author>
  </authors>
  <commentList>
    <comment ref="B1" authorId="0" shapeId="0" xr:uid="{078A54F6-6EDB-49A6-AECC-3BEAECAF3AE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Geometric trend
</t>
      </text>
    </comment>
    <comment ref="D1" authorId="1" shapeId="0" xr:uid="{5CEB2FE5-73DE-4667-B8DE-F7014F0CF8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Geometric trend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tc={8E362372-BCF5-4467-AF0F-2B103CBCDCB7}</author>
  </authors>
  <commentList>
    <comment ref="K7" authorId="0" shapeId="0" xr:uid="{8E362372-BCF5-4467-AF0F-2B103CBCDCB7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defined in prices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tc={5BA2F6DA-DC7C-4DCC-8D28-9D13E308C53C}</author>
  </authors>
  <commentList>
    <comment ref="M7" authorId="0" shapeId="0" xr:uid="{5BA2F6DA-DC7C-4DCC-8D28-9D13E308C53C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defined in prices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tc={7B5C1F1F-6E4E-4576-9930-0CFA28794271}</author>
  </authors>
  <commentList>
    <comment ref="I7" authorId="0" shapeId="0" xr:uid="{7B5C1F1F-6E4E-4576-9930-0CFA28794271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defined in prices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tc={439FB901-8C7B-48ED-B330-69D5DEF8E398}</author>
  </authors>
  <commentList>
    <comment ref="B6" authorId="0" shapeId="0" xr:uid="{439FB901-8C7B-48ED-B330-69D5DEF8E398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defined in prices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tc={715A2674-18CA-48E7-9836-1CBA31E2418B}</author>
  </authors>
  <commentList>
    <comment ref="D1" authorId="0" shapeId="0" xr:uid="{715A2674-18CA-48E7-9836-1CBA31E2418B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= limit for all years. For the ones with year, data is interpolated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tc={143BCABF-188A-4BBA-A069-8744AC9050DD}</author>
  </authors>
  <commentList>
    <comment ref="O5" authorId="0" shapeId="0" xr:uid="{143BCABF-188A-4BBA-A069-8744AC9050DD}">
      <text>
        <t>[Threaded comment]
Your version of Excel allows you to read this threaded comment; however, any edits to it will get removed if the file is opened in a newer version of Excel. Learn more: https://go.microsoft.com/fwlink/?linkid=870924
Comment:
    no idea for which nodes are these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tc={2FFCCCAA-EA7E-4AAF-8987-298D7E84D90A}</author>
  </authors>
  <commentList>
    <comment ref="H1" authorId="0" shapeId="0" xr:uid="{2FFCCCAA-EA7E-4AAF-8987-298D7E84D90A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BNetza
Reply:
    took a value on the ranger, but big enough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1937AE-E93F-4526-B9A3-9A4B610977E7}" keepAlive="1" name="Query - FuelGen" description="Connection to the 'FuelGen' query in the workbook." type="5" refreshedVersion="7" background="1" saveData="1">
    <dbPr connection="Provider=Microsoft.Mashup.OleDb.1;Data Source=$Workbook$;Location=FuelGen;Extended Properties=&quot;&quot;" command="SELECT * FROM [FuelGen]"/>
  </connection>
  <connection id="2" xr16:uid="{B0379D09-B771-46EE-A7C0-ACAEF0B85EEF}" keepAlive="1" name="Query - FuelMap" description="Connection to the 'FuelMap' query in the workbook." type="5" refreshedVersion="7" background="1" saveData="1">
    <dbPr connection="Provider=Microsoft.Mashup.OleDb.1;Data Source=$Workbook$;Location=FuelMap;Extended Properties=&quot;&quot;" command="SELECT * FROM [FuelMap]"/>
  </connection>
  <connection id="3" xr16:uid="{8EEB0481-69F9-4A87-A1CE-062F701D50D7}" keepAlive="1" name="Query - Technologies" description="Connection to the 'Technologies' query in the workbook." type="5" refreshedVersion="7" background="1" saveData="1">
    <dbPr connection="Provider=Microsoft.Mashup.OleDb.1;Data Source=$Workbook$;Location=Technologies;Extended Properties=&quot;&quot;" command="SELECT * FROM [Technologies]"/>
  </connection>
  <connection id="4" xr16:uid="{37A9FF94-4984-4975-AFD3-7371863639B7}" keepAlive="1" name="Query - Technologies (2)" description="Connection to the 'Technologies (2)' query in the workbook." type="5" refreshedVersion="7" background="1" saveData="1">
    <dbPr connection="Provider=Microsoft.Mashup.OleDb.1;Data Source=$Workbook$;Location=&quot;Technologies (2)&quot;;Extended Properties=&quot;&quot;" command="SELECT * FROM [Technologies (2)]"/>
  </connection>
</connections>
</file>

<file path=xl/sharedStrings.xml><?xml version="1.0" encoding="utf-8"?>
<sst xmlns="http://schemas.openxmlformats.org/spreadsheetml/2006/main" count="1158" uniqueCount="551">
  <si>
    <t>tabs in yellow</t>
  </si>
  <si>
    <t>from EMLab</t>
  </si>
  <si>
    <t>columns in pink</t>
  </si>
  <si>
    <t>from traderes</t>
  </si>
  <si>
    <t>columns in green</t>
  </si>
  <si>
    <t>from AMIRIS</t>
  </si>
  <si>
    <t xml:space="preserve">columns in gray </t>
  </si>
  <si>
    <t>not in use</t>
  </si>
  <si>
    <t>Data</t>
  </si>
  <si>
    <t>comment</t>
  </si>
  <si>
    <t>Emlab parameter</t>
  </si>
  <si>
    <t>for dutch case</t>
  </si>
  <si>
    <t>Power Plants</t>
  </si>
  <si>
    <t>Installed power plants by 2020</t>
  </si>
  <si>
    <t>for now, from EMLab 2017. input from EWI merit order curve, fraunhofer, Kraftwerksliste Bundesnetzagentur</t>
  </si>
  <si>
    <t>Installed power plants by 2040</t>
  </si>
  <si>
    <t>for now ENTSOE report. Take later results from optmization models</t>
  </si>
  <si>
    <t xml:space="preserve">Potentials per technologies per country </t>
  </si>
  <si>
    <t>Biomass from TNO</t>
  </si>
  <si>
    <t>targets (start, min value, increment)</t>
  </si>
  <si>
    <t>CO2 price</t>
  </si>
  <si>
    <t>same as Germany?</t>
  </si>
  <si>
    <t>powerTechnologies</t>
  </si>
  <si>
    <t>efficiencies</t>
  </si>
  <si>
    <t>to verify</t>
  </si>
  <si>
    <t>lifetime_technical</t>
  </si>
  <si>
    <t>lifetime_economic</t>
  </si>
  <si>
    <t>Investment costs</t>
  </si>
  <si>
    <t xml:space="preserve">for missing technologies: Coal PSC from pypsa </t>
  </si>
  <si>
    <t>vom costs</t>
  </si>
  <si>
    <t>missing Lignite PSC, Hydro ROR</t>
  </si>
  <si>
    <t xml:space="preserve">fom costs </t>
  </si>
  <si>
    <t xml:space="preserve"> €/MW(h)/year  missing Fuel oil PGT, hydro, storages</t>
  </si>
  <si>
    <t xml:space="preserve">FixedOperatingCostTimeSeries -&gt; growth trend </t>
  </si>
  <si>
    <t>FixedOperatingCostModifierAfterLifetime</t>
  </si>
  <si>
    <t>fixed costs are increased after their lifetime</t>
  </si>
  <si>
    <t>x</t>
  </si>
  <si>
    <t>expectedPermittime</t>
  </si>
  <si>
    <t>expectedLeadtime</t>
  </si>
  <si>
    <t xml:space="preserve">expected building time </t>
  </si>
  <si>
    <t>MaximumInstalledCapacityFractionPerAgent</t>
  </si>
  <si>
    <t>maximum capacity installed per year per technology</t>
  </si>
  <si>
    <t>PeakSegmentDependentAvailability</t>
  </si>
  <si>
    <t>for capacity market</t>
  </si>
  <si>
    <t>EnergyToPowerRatio</t>
  </si>
  <si>
    <t>storage</t>
  </si>
  <si>
    <t>ChargingEfficiency</t>
  </si>
  <si>
    <t>DischargingEfficiency</t>
  </si>
  <si>
    <t xml:space="preserve">Fuel for technology </t>
  </si>
  <si>
    <t>dictionary</t>
  </si>
  <si>
    <t>Fuels</t>
  </si>
  <si>
    <t>prices</t>
  </si>
  <si>
    <t>use the traderes data as the trend start</t>
  </si>
  <si>
    <t>trends (min, max, top)</t>
  </si>
  <si>
    <t>Instead of trend, should use fix future prices</t>
  </si>
  <si>
    <t>co2Density</t>
  </si>
  <si>
    <t>energyDensity</t>
  </si>
  <si>
    <t>Demand</t>
  </si>
  <si>
    <t>Renewables</t>
  </si>
  <si>
    <t>YieldProfile</t>
  </si>
  <si>
    <t>Res Support</t>
  </si>
  <si>
    <t>Set</t>
  </si>
  <si>
    <t xml:space="preserve"> for AMIRIS</t>
  </si>
  <si>
    <t>SupportInstrument</t>
  </si>
  <si>
    <t>FIT</t>
  </si>
  <si>
    <t>Premium</t>
  </si>
  <si>
    <t>Lcoe</t>
  </si>
  <si>
    <t>EnergyProducers</t>
  </si>
  <si>
    <t>downpaymentFractionOfCash</t>
  </si>
  <si>
    <t>dismantlingRequiredOperatingProfit</t>
  </si>
  <si>
    <t>dismantlingProlongingYearsAfterTechnicalLifetime</t>
  </si>
  <si>
    <t>debtRatioOfInvestments</t>
  </si>
  <si>
    <t>equityInterestRate</t>
  </si>
  <si>
    <t>or use interest from technologies?</t>
  </si>
  <si>
    <t>CapacityMarkets</t>
  </si>
  <si>
    <t>InstalledReserveMargin</t>
  </si>
  <si>
    <t>LowerMargin</t>
  </si>
  <si>
    <t>UpperMargin</t>
  </si>
  <si>
    <t>PriceCap</t>
  </si>
  <si>
    <t>Strategic Reserve</t>
  </si>
  <si>
    <t>reservePriceSR</t>
  </si>
  <si>
    <t>reserveVolumePercentSR</t>
  </si>
  <si>
    <t>VOLL per consumer group</t>
  </si>
  <si>
    <t>this is not yet implemented in amiris - emlab</t>
  </si>
  <si>
    <t>Governments</t>
  </si>
  <si>
    <t>co2Penalty</t>
  </si>
  <si>
    <t>For now we can use exogenous CO2 price</t>
  </si>
  <si>
    <t>co2TaxTrend</t>
  </si>
  <si>
    <t>co2CapTrend</t>
  </si>
  <si>
    <t>minCo2PriceTrend</t>
  </si>
  <si>
    <t xml:space="preserve">Wind and PV trend </t>
  </si>
  <si>
    <t>dictTech</t>
  </si>
  <si>
    <t>dictionary to translate technology names from traderes/emlab to AMIRIS</t>
  </si>
  <si>
    <t>dictFuel</t>
  </si>
  <si>
    <t>dictionary to translate fuel names from traderes/emlab to AMIRIS</t>
  </si>
  <si>
    <t>traderes_technology</t>
  </si>
  <si>
    <t>AmirisSet</t>
  </si>
  <si>
    <t>TechNumber</t>
  </si>
  <si>
    <t>don’t move the columns order</t>
  </si>
  <si>
    <t>Biofuel</t>
  </si>
  <si>
    <t>Undefined</t>
  </si>
  <si>
    <t>This list was used to assign the power plants lists to the data from traderes</t>
  </si>
  <si>
    <t>CCGT</t>
  </si>
  <si>
    <t xml:space="preserve">the technology number is assigned to make the names of power plants, AMIRIS needs a </t>
  </si>
  <si>
    <t>CCS gas</t>
  </si>
  <si>
    <t>Hard Coal</t>
  </si>
  <si>
    <t>Hydro Reservoir</t>
  </si>
  <si>
    <t>RunOfRiver</t>
  </si>
  <si>
    <t>hydrogen CHP</t>
  </si>
  <si>
    <t>hydrogen OCGT</t>
  </si>
  <si>
    <t>hydrogen CCGT</t>
  </si>
  <si>
    <t>Hydropower ROR</t>
  </si>
  <si>
    <t>Lignite</t>
  </si>
  <si>
    <t>Lithium ion battery</t>
  </si>
  <si>
    <t>Nuclear</t>
  </si>
  <si>
    <t>OCGT</t>
  </si>
  <si>
    <t>Oil</t>
  </si>
  <si>
    <t>PHS Discharge</t>
  </si>
  <si>
    <t>Solar PV large</t>
  </si>
  <si>
    <t>OtherPV</t>
  </si>
  <si>
    <t>Solar PV rooftop</t>
  </si>
  <si>
    <t>PVRooftop</t>
  </si>
  <si>
    <t>Wind Offshore</t>
  </si>
  <si>
    <t>WindOff</t>
  </si>
  <si>
    <t>Wind Onshore</t>
  </si>
  <si>
    <t>WindOn</t>
  </si>
  <si>
    <t>electrolyzer</t>
  </si>
  <si>
    <t>Lithium ion battery 4</t>
  </si>
  <si>
    <t>TraderesFuelname</t>
  </si>
  <si>
    <t>AmirisFuelName</t>
  </si>
  <si>
    <t>FuelNumber</t>
  </si>
  <si>
    <t>Fuel Numbers are assigned to make ids</t>
  </si>
  <si>
    <t>hard_coal</t>
  </si>
  <si>
    <t>HARD_COAL</t>
  </si>
  <si>
    <t>lignite</t>
  </si>
  <si>
    <t>LIGNITE</t>
  </si>
  <si>
    <t>processing_residues</t>
  </si>
  <si>
    <t>WASTE</t>
  </si>
  <si>
    <t>LNG</t>
  </si>
  <si>
    <t>oil</t>
  </si>
  <si>
    <t>OIL</t>
  </si>
  <si>
    <t>hydrogen</t>
  </si>
  <si>
    <t>HYDROGEN</t>
  </si>
  <si>
    <t>natural_gas</t>
  </si>
  <si>
    <t>NATURAL_GAS</t>
  </si>
  <si>
    <t>nuclear</t>
  </si>
  <si>
    <t>NUCLEAR</t>
  </si>
  <si>
    <t>bioliquids</t>
  </si>
  <si>
    <t>BIOLIQUIDS</t>
  </si>
  <si>
    <t>biomethane</t>
  </si>
  <si>
    <t>BIOMASS</t>
  </si>
  <si>
    <t>biomethane is not in AMIRIS</t>
  </si>
  <si>
    <t>OTHER</t>
  </si>
  <si>
    <t>targetTrend</t>
  </si>
  <si>
    <t>targetCountry</t>
  </si>
  <si>
    <t>targetTechnology</t>
  </si>
  <si>
    <t>yearlytargetNL_windonshore</t>
  </si>
  <si>
    <t>NL</t>
  </si>
  <si>
    <t>yearlytargetNL_windoffshore</t>
  </si>
  <si>
    <t>yearlytargetNL_PV</t>
  </si>
  <si>
    <t>year</t>
  </si>
  <si>
    <t>CO2_emission_intensity_limit</t>
  </si>
  <si>
    <t>Name</t>
  </si>
  <si>
    <t>TargetCapacity</t>
  </si>
  <si>
    <t>InitialPrice</t>
  </si>
  <si>
    <t>country</t>
  </si>
  <si>
    <t>long_term</t>
  </si>
  <si>
    <t>PriceCapTimesCONE</t>
  </si>
  <si>
    <t>forward_years_CM</t>
  </si>
  <si>
    <t>years_long_term_market</t>
  </si>
  <si>
    <t>&lt; to set CONE</t>
  </si>
  <si>
    <t>GermanCapacityMarket</t>
  </si>
  <si>
    <t>DE</t>
  </si>
  <si>
    <t>DutchCapacityMarket</t>
  </si>
  <si>
    <t>DutchForwardCapacityMarket</t>
  </si>
  <si>
    <t>vres</t>
  </si>
  <si>
    <t>pricap is used for capacity market and then rewritten</t>
  </si>
  <si>
    <t>old</t>
  </si>
  <si>
    <t>initialprice is for CS</t>
  </si>
  <si>
    <t>new</t>
  </si>
  <si>
    <t>novres</t>
  </si>
  <si>
    <t>lowTV</t>
  </si>
  <si>
    <t>novresHH</t>
  </si>
  <si>
    <t>name</t>
  </si>
  <si>
    <t>zone</t>
  </si>
  <si>
    <t>max_years_in_reserve</t>
  </si>
  <si>
    <t>years_accepted_inSR_before_decommissioned</t>
  </si>
  <si>
    <t>cash</t>
  </si>
  <si>
    <t>list_of_plants</t>
  </si>
  <si>
    <t>reserveVolume</t>
  </si>
  <si>
    <t>&lt;reserveVolume, cash and list of plants are to saved during simulations</t>
  </si>
  <si>
    <t>SRO_DE</t>
  </si>
  <si>
    <t>If max years in reserve are less than look ahead years, that can bring shortages. No time to invest in estimated reserve</t>
  </si>
  <si>
    <t>SRO_NL</t>
  </si>
  <si>
    <t>Max years in reserve should be more years than years_accepted_inSR_before_decommissioned. Otherwise plants can be decommissioned before their end of lifetime</t>
  </si>
  <si>
    <t>valueOfLostLoad</t>
  </si>
  <si>
    <t>realDemandIncrease</t>
  </si>
  <si>
    <t>WTP</t>
  </si>
  <si>
    <t>max_subscribed_percentage</t>
  </si>
  <si>
    <t>low wtp</t>
  </si>
  <si>
    <t>high wtp</t>
  </si>
  <si>
    <t>transport</t>
  </si>
  <si>
    <t>public sector and transport</t>
  </si>
  <si>
    <t xml:space="preserve">public sector </t>
  </si>
  <si>
    <t>commercial and service sector</t>
  </si>
  <si>
    <t>industry</t>
  </si>
  <si>
    <t xml:space="preserve">industry, non energy intensive </t>
  </si>
  <si>
    <t>household other</t>
  </si>
  <si>
    <t xml:space="preserve">industry, energy intensive </t>
  </si>
  <si>
    <t>household city center</t>
  </si>
  <si>
    <t>sum - unsubcribed - voluntary =1</t>
  </si>
  <si>
    <t>household feed in areas</t>
  </si>
  <si>
    <t>industrySME</t>
  </si>
  <si>
    <t>subscribed_yearly</t>
  </si>
  <si>
    <t>bid</t>
  </si>
  <si>
    <t>subscribed_volume</t>
  </si>
  <si>
    <t>&lt; initial subscribed volume</t>
  </si>
  <si>
    <t>max</t>
  </si>
  <si>
    <t>TimeSeriesFile</t>
  </si>
  <si>
    <t>TimeSeriesFileFuture</t>
  </si>
  <si>
    <t>ShedderCapacityMW</t>
  </si>
  <si>
    <t>VOLL</t>
  </si>
  <si>
    <t>-</t>
  </si>
  <si>
    <t>amiris-config/data/LS_hydrogen.csv</t>
  </si>
  <si>
    <t>amiris-config/data/future_LS_hydrogen.csv</t>
  </si>
  <si>
    <t>parameters</t>
  </si>
  <si>
    <t>peakConsumptionInMWyearly</t>
  </si>
  <si>
    <t>averagemonthlyConsumptionMWhyearly</t>
  </si>
  <si>
    <t>this data overwrites LoadShifterCap</t>
  </si>
  <si>
    <t>ShedderCapacityMWyearly</t>
  </si>
  <si>
    <t>Industrial_load_shifter</t>
  </si>
  <si>
    <t>peakConsumptionInMW</t>
  </si>
  <si>
    <t>&lt; if produce at max, every hour</t>
  </si>
  <si>
    <t>new results</t>
  </si>
  <si>
    <t>Old results</t>
  </si>
  <si>
    <t>averagemonthlyConsumptionMWh</t>
  </si>
  <si>
    <t>&lt; from competes results S3 = maximal industrial load/12</t>
  </si>
  <si>
    <t>TWh</t>
  </si>
  <si>
    <t>monthlyTimeSeriesFile</t>
  </si>
  <si>
    <t>None</t>
  </si>
  <si>
    <t>amiris-config/data/hydrogen_demand.csv</t>
  </si>
  <si>
    <t>from excel</t>
  </si>
  <si>
    <t>percentage_load</t>
  </si>
  <si>
    <t>reduction per year</t>
  </si>
  <si>
    <t>year 4</t>
  </si>
  <si>
    <t xml:space="preserve">according to ACER </t>
  </si>
  <si>
    <t xml:space="preserve">don’t change this </t>
  </si>
  <si>
    <t>1 - 3 -4-5…</t>
  </si>
  <si>
    <t>ElectricitySpotMarketNL</t>
  </si>
  <si>
    <t>this is just for initialization. The peak load is calculated in the initilization clock step</t>
  </si>
  <si>
    <t>&lt; load plus cap of industrial demand</t>
  </si>
  <si>
    <t>traderes fuels</t>
  </si>
  <si>
    <t>trend</t>
  </si>
  <si>
    <t>AmirisFuelSpecificCo2EmissionsInTperMWH</t>
  </si>
  <si>
    <t>from traderes https://github.com/PyPSA/technology-data/blob/master/outputs/costs_2020.csv</t>
  </si>
  <si>
    <t>biomethaneTrend</t>
  </si>
  <si>
    <t>electricity</t>
  </si>
  <si>
    <t>demandGrowthTrend</t>
  </si>
  <si>
    <t>hardCoalTrend</t>
  </si>
  <si>
    <t>OilTrend</t>
  </si>
  <si>
    <t>ligniteCoalTrend</t>
  </si>
  <si>
    <t>naturalGasTrend</t>
  </si>
  <si>
    <t>uraniumTrend</t>
  </si>
  <si>
    <t>residuesTrend</t>
  </si>
  <si>
    <t>hydrogenTrend</t>
  </si>
  <si>
    <t>Top</t>
  </si>
  <si>
    <t>Max</t>
  </si>
  <si>
    <t>Min</t>
  </si>
  <si>
    <t>Traderes fuel costs are taken as the start of the trend</t>
  </si>
  <si>
    <t>co2StartingPrice</t>
  </si>
  <si>
    <t>Technology</t>
  </si>
  <si>
    <t>ViableInvestment</t>
  </si>
  <si>
    <t>Realistic_capacity</t>
  </si>
  <si>
    <t>&lt; cannot model heat sector coupling, so not including CHP</t>
  </si>
  <si>
    <t>Fuel oil PGT</t>
  </si>
  <si>
    <t>hydrogen combined cycle</t>
  </si>
  <si>
    <t>traderes technology</t>
  </si>
  <si>
    <t>type</t>
  </si>
  <si>
    <t>Intermittent</t>
  </si>
  <si>
    <t>MaximumLifeExtension</t>
  </si>
  <si>
    <t>deratingFactor</t>
  </si>
  <si>
    <t>traderesfuels</t>
  </si>
  <si>
    <t>interest_rate</t>
  </si>
  <si>
    <t>no vres</t>
  </si>
  <si>
    <t>vres batteries</t>
  </si>
  <si>
    <t>CONE</t>
  </si>
  <si>
    <t>ApplicableForLongTermContract</t>
  </si>
  <si>
    <t>MaximumInstalledCapacityFractionInCountry</t>
  </si>
  <si>
    <t>permit and construction</t>
  </si>
  <si>
    <t>Complete info</t>
  </si>
  <si>
    <t xml:space="preserve">not defined </t>
  </si>
  <si>
    <t>emlabname</t>
  </si>
  <si>
    <t>capacity</t>
  </si>
  <si>
    <t>FUELNEW</t>
  </si>
  <si>
    <t>FUELTYPENEW</t>
  </si>
  <si>
    <t>EMISSIONS</t>
  </si>
  <si>
    <t>VAR O&amp;M</t>
  </si>
  <si>
    <t>FIXED O&amp;M</t>
  </si>
  <si>
    <t>CCS TRANSPORT</t>
  </si>
  <si>
    <t>lifetime extension</t>
  </si>
  <si>
    <t>ConventionalPlantOperator</t>
  </si>
  <si>
    <t>cheap one</t>
  </si>
  <si>
    <t>RES</t>
  </si>
  <si>
    <t>Onshore wind PGT</t>
  </si>
  <si>
    <t>WIND</t>
  </si>
  <si>
    <t>ONSHORE</t>
  </si>
  <si>
    <t>Photovoltaic PGT</t>
  </si>
  <si>
    <t>SUN</t>
  </si>
  <si>
    <t>PV</t>
  </si>
  <si>
    <t>Biomass CHP</t>
  </si>
  <si>
    <t>Standalone</t>
  </si>
  <si>
    <t>StorageTrader</t>
  </si>
  <si>
    <t>VariableRenewableOperator</t>
  </si>
  <si>
    <t>other</t>
  </si>
  <si>
    <t>GAS</t>
  </si>
  <si>
    <t>CCS CCGT</t>
  </si>
  <si>
    <t>central gas boiler</t>
  </si>
  <si>
    <t>&lt; here for industrial heat</t>
  </si>
  <si>
    <t>Offshore wind PGT</t>
  </si>
  <si>
    <t>OFFSHORE</t>
  </si>
  <si>
    <t>Gas</t>
  </si>
  <si>
    <t>geometricTrend</t>
  </si>
  <si>
    <t>growthRate</t>
  </si>
  <si>
    <r>
      <rPr>
        <sz val="11"/>
        <rFont val="Calibri"/>
        <family val="2"/>
        <scheme val="minor"/>
      </rPr>
      <t>pow</t>
    </r>
    <r>
      <rPr>
        <sz val="10"/>
        <rFont val="Calibri"/>
        <family val="2"/>
        <scheme val="minor"/>
      </rPr>
      <t>(1 + self.growth_rate, tick) * self.start</t>
    </r>
  </si>
  <si>
    <t>modifier</t>
  </si>
  <si>
    <t>&lt;Increase of fixed operating costs after lifetime</t>
  </si>
  <si>
    <t>geometric trend</t>
  </si>
  <si>
    <t>plus</t>
  </si>
  <si>
    <t>minus</t>
  </si>
  <si>
    <t xml:space="preserve">year </t>
  </si>
  <si>
    <t>var</t>
  </si>
  <si>
    <t>efficiency</t>
  </si>
  <si>
    <t xml:space="preserve">if the installation year is earlier than the earliest available data, </t>
  </si>
  <si>
    <t>then the investment cost is looked by a geometric trend, where the initial year is the earliest_investment_data_available = 2020</t>
  </si>
  <si>
    <t>otherwise it is looked interpolating the avialable data</t>
  </si>
  <si>
    <t>&lt; TECHNOLOGIES TEND TO BE MORE CHEAPER</t>
  </si>
  <si>
    <t>&lt; must be negative. As technologies use to get cheaper</t>
  </si>
  <si>
    <t>&lt; must be negative. As efficiency tend to decrease</t>
  </si>
  <si>
    <t>investorMarket</t>
  </si>
  <si>
    <t>willingToInvest</t>
  </si>
  <si>
    <t>loanInterestRate</t>
  </si>
  <si>
    <t>longTermContractPastTimeHorizon</t>
  </si>
  <si>
    <t>longTermContractMargin</t>
  </si>
  <si>
    <t>ProducerDE</t>
  </si>
  <si>
    <t>ElectricitySpotMarketDE</t>
  </si>
  <si>
    <t>ProducerNL</t>
  </si>
  <si>
    <t>weatheryear</t>
  </si>
  <si>
    <t>iterationHISTORICAL</t>
  </si>
  <si>
    <t>iteration2</t>
  </si>
  <si>
    <t>iteration3</t>
  </si>
  <si>
    <t>iteration4</t>
  </si>
  <si>
    <t>iteration5</t>
  </si>
  <si>
    <t>iteration6</t>
  </si>
  <si>
    <t>iteration7</t>
  </si>
  <si>
    <t>iteration8</t>
  </si>
  <si>
    <t>iteration9</t>
  </si>
  <si>
    <t>iteration10</t>
  </si>
  <si>
    <t>iterationLOWtoHIGHvRES</t>
  </si>
  <si>
    <t>iteration2020-2050</t>
  </si>
  <si>
    <t>Decommissioned</t>
  </si>
  <si>
    <t>Expected</t>
  </si>
  <si>
    <t>[]</t>
  </si>
  <si>
    <t>Done</t>
  </si>
  <si>
    <t>resource adequacy netherlands 2024</t>
  </si>
  <si>
    <t>hydrogen turbine</t>
  </si>
  <si>
    <t>cummulative</t>
  </si>
  <si>
    <t>VOLL original</t>
  </si>
  <si>
    <t>Percentage</t>
  </si>
  <si>
    <t>weighted average</t>
  </si>
  <si>
    <t>VOLL simplified</t>
  </si>
  <si>
    <t>percentage load</t>
  </si>
  <si>
    <t>load_unsheddable</t>
  </si>
  <si>
    <t>divided by 10</t>
  </si>
  <si>
    <t>real VOLL/25</t>
  </si>
  <si>
    <t>de nooij</t>
  </si>
  <si>
    <t>inflation adjusted</t>
  </si>
  <si>
    <t>source</t>
  </si>
  <si>
    <t>Eur/kwh</t>
  </si>
  <si>
    <t>government</t>
  </si>
  <si>
    <t>CMR regulation</t>
  </si>
  <si>
    <t>Belgium</t>
  </si>
  <si>
    <t>23,3</t>
  </si>
  <si>
    <t>manufacturing</t>
  </si>
  <si>
    <t>household</t>
  </si>
  <si>
    <t xml:space="preserve">industry, lasrge scale,non energy intensive </t>
  </si>
  <si>
    <t>services</t>
  </si>
  <si>
    <t xml:space="preserve">industry, lasrge scale, energy intensive </t>
  </si>
  <si>
    <t>Eur/mwh</t>
  </si>
  <si>
    <t>divided by 25 (real)</t>
  </si>
  <si>
    <t>ecorys</t>
  </si>
  <si>
    <t>Nooij ecorys average</t>
  </si>
  <si>
    <t>Eur/mw</t>
  </si>
  <si>
    <t>old VOLL</t>
  </si>
  <si>
    <t xml:space="preserve">industry,non energy intensive </t>
  </si>
  <si>
    <t xml:space="preserve">Group of consumers were asked for their  willingness to pay of consumers for not being curtailed one hour. </t>
  </si>
  <si>
    <t>the interviews were done during times of high electricity prices. And it refers to the</t>
  </si>
  <si>
    <t>subscribed</t>
  </si>
  <si>
    <t>unsubscribed</t>
  </si>
  <si>
    <t>Share volume</t>
  </si>
  <si>
    <t>how it was</t>
  </si>
  <si>
    <t>wholesale market VOLL Eur/MWh</t>
  </si>
  <si>
    <t>capacity market VOLL</t>
  </si>
  <si>
    <t>shortages LOLE</t>
  </si>
  <si>
    <t>cost of non supplied</t>
  </si>
  <si>
    <t>percentage</t>
  </si>
  <si>
    <t>subscribed1</t>
  </si>
  <si>
    <t>subscribed2</t>
  </si>
  <si>
    <t>unsubscribed1</t>
  </si>
  <si>
    <t>unsubscribed2</t>
  </si>
  <si>
    <t>unsubscribed3</t>
  </si>
  <si>
    <t>how will change</t>
  </si>
  <si>
    <t>VOLL *0.04</t>
  </si>
  <si>
    <t>RS</t>
  </si>
  <si>
    <t>reliability_standard</t>
  </si>
  <si>
    <t>CSV</t>
  </si>
  <si>
    <t>wholesale market</t>
  </si>
  <si>
    <t>calculated VOLL</t>
  </si>
  <si>
    <t>cone</t>
  </si>
  <si>
    <t>peak load</t>
  </si>
  <si>
    <t>CapacityMarketVlue</t>
  </si>
  <si>
    <t>volume</t>
  </si>
  <si>
    <t>The VOLL is saved in a different tab so that it can be added per year.</t>
  </si>
  <si>
    <t>base</t>
  </si>
  <si>
    <t>amiris-config/data/LS_base.csv</t>
  </si>
  <si>
    <t>amiris-config/data/future_LS_base.csv</t>
  </si>
  <si>
    <t>high</t>
  </si>
  <si>
    <t>amiris-config/data/LS_high.csv</t>
  </si>
  <si>
    <t>amiris-config/data/future_LS_high.csv</t>
  </si>
  <si>
    <t>industrial</t>
  </si>
  <si>
    <t>mid</t>
  </si>
  <si>
    <t>amiris-config/data/LS_mid.csv</t>
  </si>
  <si>
    <t>amiris-config/data/future_LS_mid.csv</t>
  </si>
  <si>
    <t>low</t>
  </si>
  <si>
    <t>amiris-config/data/LS_low.csv</t>
  </si>
  <si>
    <t>amiris-config/data/future_LS_low.csv</t>
  </si>
  <si>
    <t>commerce</t>
  </si>
  <si>
    <t>price</t>
  </si>
  <si>
    <t>electrolyzer efficieny * H2 price</t>
  </si>
  <si>
    <t>for less flexible scenario reduce the electrolyzer MW</t>
  </si>
  <si>
    <t>&lt;last capacity</t>
  </si>
  <si>
    <t>average CONE</t>
  </si>
  <si>
    <t>Eur/MWh</t>
  </si>
  <si>
    <t>Amiris</t>
  </si>
  <si>
    <t>Traderes</t>
  </si>
  <si>
    <t>identifier</t>
  </si>
  <si>
    <t>OpexVarInEURperMWH</t>
  </si>
  <si>
    <t>variable_operating_costs</t>
  </si>
  <si>
    <t>Efficiency Minimal</t>
  </si>
  <si>
    <t>Efficiency Maximal</t>
  </si>
  <si>
    <t>BlockSizeInMW</t>
  </si>
  <si>
    <t>Capacity</t>
  </si>
  <si>
    <t>InstalledPowerInMW</t>
  </si>
  <si>
    <t>FuelType</t>
  </si>
  <si>
    <t>fuel</t>
  </si>
  <si>
    <t>duration</t>
  </si>
  <si>
    <t>start</t>
  </si>
  <si>
    <t>minValue</t>
  </si>
  <si>
    <t>increment</t>
  </si>
  <si>
    <t>max(self.min_value, self.start + math.floor(time / self.duration) * self.increment)</t>
  </si>
  <si>
    <t>windTargetTrend</t>
  </si>
  <si>
    <t>pvTargetTrendDE</t>
  </si>
  <si>
    <t>windTargetTrendNL</t>
  </si>
  <si>
    <t>pvTargetTrendNL</t>
  </si>
  <si>
    <t>Targets now covered through yearly targets</t>
  </si>
  <si>
    <t>ContractWillingnessToPayFactor</t>
  </si>
  <si>
    <t>ContractDurationPreferenceFactor</t>
  </si>
  <si>
    <t>LtcMaximumCoverageFraction</t>
  </si>
  <si>
    <t>EnergyConsumer</t>
  </si>
  <si>
    <t>traderesTechnology</t>
  </si>
  <si>
    <t>Country</t>
  </si>
  <si>
    <t>parameter</t>
  </si>
  <si>
    <t>MW</t>
  </si>
  <si>
    <t>Biomass_CHP_wood_pellets_DH</t>
  </si>
  <si>
    <t>yearlyPotential</t>
  </si>
  <si>
    <t>Type</t>
  </si>
  <si>
    <t>Year</t>
  </si>
  <si>
    <t>Germany</t>
  </si>
  <si>
    <t>Netherlands</t>
  </si>
  <si>
    <t>Unit</t>
  </si>
  <si>
    <t>From tradeRES Scenario data corrected Transformed by Ricardo to GW with availability of 0.73</t>
  </si>
  <si>
    <t>Solid Biomass</t>
  </si>
  <si>
    <t>windonshore</t>
  </si>
  <si>
    <t>windoffshore</t>
  </si>
  <si>
    <t xml:space="preserve">DE from TYNDP 2020; </t>
  </si>
  <si>
    <t>€/TCO2</t>
  </si>
  <si>
    <t>PV_commercial_systems</t>
  </si>
  <si>
    <t>investment_limit</t>
  </si>
  <si>
    <t>PV_residential</t>
  </si>
  <si>
    <t>Biomass_CHP_wood_pellets_PH</t>
  </si>
  <si>
    <t>PV_utility_systems</t>
  </si>
  <si>
    <t>WTG_offshore</t>
  </si>
  <si>
    <t>WTG_onshore</t>
  </si>
  <si>
    <t>ReleaseTrend</t>
  </si>
  <si>
    <t>Wave_energy</t>
  </si>
  <si>
    <t>UpperTriggerTrend</t>
  </si>
  <si>
    <t>LowerTriggerTrend</t>
  </si>
  <si>
    <t>Power_to_Jet_Fuel</t>
  </si>
  <si>
    <t>CSP_Parabolic</t>
  </si>
  <si>
    <t>CSP_Tower</t>
  </si>
  <si>
    <t>Hydrogen_to_Jet_Fuel</t>
  </si>
  <si>
    <t>Hydropower_ROR</t>
  </si>
  <si>
    <t>Hydropower_reservoir_large</t>
  </si>
  <si>
    <t>Hydropower_reservoir_medium</t>
  </si>
  <si>
    <t>Hydropower_reservoir_small</t>
  </si>
  <si>
    <t>CCGT_CHP_backpressure_DH</t>
  </si>
  <si>
    <t>CCGT_CHP_backpressure_PH</t>
  </si>
  <si>
    <t>CCS</t>
  </si>
  <si>
    <t>Nuclear_CHP_DH</t>
  </si>
  <si>
    <t>Nuclear_CHP_PH</t>
  </si>
  <si>
    <t>PEM_Electrolyzer</t>
  </si>
  <si>
    <t>Lithium_ion_battery</t>
  </si>
  <si>
    <t>Pumped_hydro</t>
  </si>
  <si>
    <t>Coal PSC</t>
  </si>
  <si>
    <t>Lignite PSC</t>
  </si>
  <si>
    <t>iteration11</t>
  </si>
  <si>
    <t>iteration12</t>
  </si>
  <si>
    <t>iteration13</t>
  </si>
  <si>
    <t>iteration14</t>
  </si>
  <si>
    <t>iteration15</t>
  </si>
  <si>
    <t>iteration16</t>
  </si>
  <si>
    <t>https://www.umweltbundesamt.de/sites/default/files/medien/378/publikationen/energieziel_2050_kurz.pdf</t>
  </si>
  <si>
    <t>https://www.sciencedirect.com/science/article/pii/S1364032116002240#f0010</t>
  </si>
  <si>
    <t>RE H2 imports eur/mwh</t>
  </si>
  <si>
    <t>&lt; Benjamin lux study said 81 eur/mwh from outside europe. COMPETES 84 eur/mwh</t>
  </si>
  <si>
    <t>old prices</t>
  </si>
  <si>
    <t>heavy_oil</t>
  </si>
  <si>
    <t>light_oil</t>
  </si>
  <si>
    <t>oil_shale</t>
  </si>
  <si>
    <t>wood_pellets</t>
  </si>
  <si>
    <t>collectable_residues</t>
  </si>
  <si>
    <t>Category</t>
  </si>
  <si>
    <t>Commodity</t>
  </si>
  <si>
    <t>direction</t>
  </si>
  <si>
    <t>Vintage</t>
  </si>
  <si>
    <t>Scenario</t>
  </si>
  <si>
    <t>Unit size</t>
  </si>
  <si>
    <t>original unit size</t>
  </si>
  <si>
    <t>Electricity-only production</t>
  </si>
  <si>
    <t>output</t>
  </si>
  <si>
    <t>Heating and cooling (electric and fuel-based)</t>
  </si>
  <si>
    <t>CCGT CHP backpressure</t>
  </si>
  <si>
    <t>Storage</t>
  </si>
  <si>
    <t>input</t>
  </si>
  <si>
    <t>hydrogen turbine,hydrogen OCGT,Lithium ion battery,Lithium ion battery 4,hydrogen CCGT,OCGT,CCGT</t>
  </si>
  <si>
    <t>MWh</t>
  </si>
  <si>
    <t>hydrogen turbine,hydrogen OCGT,Lithium ion battery,Lithium ion battery 4,hydrogen CCGT,OCGT,CCGT,Biofuel,Wind Offshore,Wind Onshore,Solar PV large</t>
  </si>
  <si>
    <t>deratingFactor_yearly</t>
  </si>
  <si>
    <t>allowed_technologies_for_cone</t>
  </si>
  <si>
    <t>consider that these must be lower than the costs of fuel + CO2 intensity*CO2 price</t>
  </si>
  <si>
    <t>&gt; don’t changethis</t>
  </si>
  <si>
    <t>with dsr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</si>
</sst>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"/>
  </numFmts>
  <fonts count="37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A9B7C6"/>
      <name val="JetBrains Mono"/>
      <family val="3"/>
    </font>
    <font>
      <sz val="8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808080"/>
      <name val="JetBrains Mono"/>
      <family val="3"/>
    </font>
    <font>
      <i/>
      <sz val="10"/>
      <color rgb="FF6897BB"/>
      <name val="JetBrains Mono"/>
      <family val="3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color rgb="FF242424"/>
      <name val="Segoe UI"/>
      <family val="2"/>
    </font>
    <font>
      <b/>
      <sz val="10"/>
      <color rgb="FF6A8759"/>
      <name val="JetBrains Mono"/>
      <family val="3"/>
    </font>
    <font>
      <b/>
      <sz val="11"/>
      <color rgb="FFFF0000"/>
      <name val="Calibri"/>
      <family val="2"/>
      <scheme val="minor"/>
    </font>
    <font>
      <sz val="11"/>
      <color rgb="FF000000"/>
      <name val="Arial"/>
      <family val="2"/>
    </font>
    <font>
      <sz val="9"/>
      <color theme="1"/>
      <name val="Segoe UI"/>
      <family val="2"/>
    </font>
    <font>
      <sz val="11"/>
      <color rgb="FF9C0006"/>
      <name val="Calibri"/>
      <family val="2"/>
      <scheme val="minor"/>
    </font>
    <font>
      <sz val="10"/>
      <color rgb="FF6A8759"/>
      <name val="Arial Unicode MS"/>
    </font>
    <font>
      <b/>
      <sz val="13"/>
      <color theme="1"/>
      <name val="Calibri"/>
      <family val="2"/>
      <scheme val="minor"/>
    </font>
    <font>
      <sz val="10"/>
      <color rgb="FFA9B7C6"/>
      <name val="Arial Unicode MS"/>
    </font>
    <font>
      <sz val="10"/>
      <name val="Calibri"/>
      <family val="2"/>
      <scheme val="minor"/>
    </font>
    <font>
      <sz val="8"/>
      <color rgb="FF000000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2" tint="-9.9978637043366805E-2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theme="1"/>
      <name val="Calibri Light"/>
      <family val="2"/>
      <scheme val="major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"/>
      <family val="2"/>
    </font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1"/>
      <color rgb="FF9C0006"/>
      <name val="Calibri"/>
      <family val="2"/>
      <charset val="1"/>
    </font>
    <font>
      <sz val="11"/>
      <color rgb="FF006100"/>
      <name val="Calibri"/>
      <family val="2"/>
      <charset val="1"/>
    </font>
    <font>
      <sz val="10"/>
      <color rgb="FF6AAB73"/>
      <name val="JetBrains Mono"/>
      <family val="3"/>
    </font>
  </fonts>
  <fills count="2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66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EE8C4"/>
        <bgColor rgb="FF000000"/>
      </patternFill>
    </fill>
    <fill>
      <patternFill patternType="solid">
        <fgColor rgb="FFE6F3E0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FFC7CE"/>
        <bgColor rgb="FFF2DCDB"/>
      </patternFill>
    </fill>
    <fill>
      <patternFill patternType="solid">
        <fgColor rgb="FFC6EFCE"/>
        <bgColor rgb="FFDCE6F2"/>
      </patternFill>
    </fill>
    <fill>
      <patternFill patternType="solid">
        <fgColor rgb="FFFFC000"/>
        <bgColor rgb="FFF79646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D1D1D1"/>
      </left>
      <right style="medium">
        <color rgb="FFD1D1D1"/>
      </right>
      <top style="medium">
        <color rgb="FFD1D1D1"/>
      </top>
      <bottom style="medium">
        <color rgb="FFD1D1D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8">
    <xf numFmtId="0" fontId="0" fillId="0" borderId="0"/>
    <xf numFmtId="0" fontId="1" fillId="2" borderId="0" applyNumberFormat="0" applyBorder="0" applyAlignment="0" applyProtection="0"/>
    <xf numFmtId="0" fontId="8" fillId="0" borderId="0" applyNumberFormat="0" applyFill="0" applyBorder="0" applyAlignment="0" applyProtection="0"/>
    <xf numFmtId="0" fontId="18" fillId="14" borderId="0" applyNumberFormat="0" applyBorder="0" applyAlignment="0" applyProtection="0"/>
    <xf numFmtId="9" fontId="25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0" fontId="29" fillId="16" borderId="0" applyNumberFormat="0" applyBorder="0" applyAlignment="0" applyProtection="0"/>
    <xf numFmtId="0" fontId="32" fillId="0" borderId="0"/>
    <xf numFmtId="0" fontId="27" fillId="0" borderId="0" applyBorder="0" applyProtection="0"/>
    <xf numFmtId="0" fontId="27" fillId="0" borderId="0" applyBorder="0" applyProtection="0"/>
    <xf numFmtId="0" fontId="27" fillId="0" borderId="0" applyBorder="0" applyProtection="0"/>
    <xf numFmtId="0" fontId="27" fillId="0" borderId="0" applyBorder="0" applyProtection="0">
      <alignment horizontal="left"/>
    </xf>
    <xf numFmtId="0" fontId="33" fillId="0" borderId="0" applyBorder="0" applyProtection="0">
      <alignment horizontal="left"/>
    </xf>
    <xf numFmtId="0" fontId="33" fillId="0" borderId="0" applyBorder="0" applyProtection="0"/>
    <xf numFmtId="0" fontId="34" fillId="18" borderId="0" applyBorder="0" applyProtection="0"/>
    <xf numFmtId="0" fontId="35" fillId="19" borderId="0" applyBorder="0" applyProtection="0"/>
    <xf numFmtId="43" fontId="27" fillId="0" borderId="0" applyFont="0" applyFill="0" applyBorder="0" applyAlignment="0" applyProtection="0"/>
  </cellStyleXfs>
  <cellXfs count="9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  <xf numFmtId="0" fontId="1" fillId="2" borderId="0" xfId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3" borderId="0" xfId="0" applyFill="1"/>
    <xf numFmtId="0" fontId="0" fillId="5" borderId="0" xfId="0" applyFill="1" applyAlignment="1">
      <alignment wrapText="1"/>
    </xf>
    <xf numFmtId="0" fontId="2" fillId="0" borderId="0" xfId="0" applyFont="1"/>
    <xf numFmtId="0" fontId="3" fillId="0" borderId="0" xfId="0" applyFont="1"/>
    <xf numFmtId="0" fontId="5" fillId="0" borderId="0" xfId="0" applyFont="1" applyAlignment="1">
      <alignment vertical="center"/>
    </xf>
    <xf numFmtId="0" fontId="0" fillId="6" borderId="0" xfId="0" applyFill="1"/>
    <xf numFmtId="0" fontId="4" fillId="0" borderId="0" xfId="0" applyFont="1"/>
    <xf numFmtId="0" fontId="0" fillId="0" borderId="1" xfId="0" applyBorder="1"/>
    <xf numFmtId="0" fontId="7" fillId="0" borderId="0" xfId="0" applyFont="1"/>
    <xf numFmtId="0" fontId="0" fillId="8" borderId="0" xfId="0" applyFill="1"/>
    <xf numFmtId="1" fontId="0" fillId="0" borderId="0" xfId="0" applyNumberFormat="1"/>
    <xf numFmtId="0" fontId="9" fillId="0" borderId="0" xfId="0" applyFont="1" applyAlignment="1">
      <alignment vertical="center"/>
    </xf>
    <xf numFmtId="0" fontId="0" fillId="0" borderId="2" xfId="0" applyBorder="1"/>
    <xf numFmtId="0" fontId="0" fillId="3" borderId="1" xfId="0" applyFill="1" applyBorder="1"/>
    <xf numFmtId="0" fontId="10" fillId="0" borderId="0" xfId="0" applyFont="1" applyAlignment="1">
      <alignment vertical="center"/>
    </xf>
    <xf numFmtId="0" fontId="0" fillId="9" borderId="0" xfId="0" applyFill="1"/>
    <xf numFmtId="0" fontId="11" fillId="0" borderId="0" xfId="0" applyFont="1" applyAlignment="1">
      <alignment wrapText="1"/>
    </xf>
    <xf numFmtId="0" fontId="12" fillId="0" borderId="0" xfId="0" applyFont="1" applyAlignment="1">
      <alignment horizontal="right"/>
    </xf>
    <xf numFmtId="164" fontId="0" fillId="0" borderId="0" xfId="0" applyNumberFormat="1"/>
    <xf numFmtId="0" fontId="13" fillId="10" borderId="3" xfId="0" applyFont="1" applyFill="1" applyBorder="1" applyAlignment="1">
      <alignment vertical="center" wrapText="1"/>
    </xf>
    <xf numFmtId="0" fontId="13" fillId="10" borderId="0" xfId="0" applyFont="1" applyFill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0" xfId="0" applyFont="1"/>
    <xf numFmtId="0" fontId="16" fillId="11" borderId="0" xfId="0" applyFont="1" applyFill="1"/>
    <xf numFmtId="0" fontId="16" fillId="0" borderId="0" xfId="0" applyFont="1"/>
    <xf numFmtId="0" fontId="16" fillId="12" borderId="0" xfId="0" applyFont="1" applyFill="1"/>
    <xf numFmtId="0" fontId="17" fillId="0" borderId="0" xfId="0" applyFont="1"/>
    <xf numFmtId="0" fontId="0" fillId="13" borderId="0" xfId="0" applyFill="1"/>
    <xf numFmtId="1" fontId="0" fillId="0" borderId="1" xfId="0" applyNumberFormat="1" applyBorder="1"/>
    <xf numFmtId="2" fontId="0" fillId="0" borderId="0" xfId="0" applyNumberFormat="1"/>
    <xf numFmtId="0" fontId="19" fillId="0" borderId="0" xfId="0" applyFont="1" applyAlignment="1">
      <alignment vertical="center"/>
    </xf>
    <xf numFmtId="0" fontId="20" fillId="0" borderId="0" xfId="0" applyFont="1"/>
    <xf numFmtId="0" fontId="0" fillId="3" borderId="1" xfId="0" applyFill="1" applyBorder="1" applyAlignment="1">
      <alignment wrapText="1"/>
    </xf>
    <xf numFmtId="0" fontId="21" fillId="0" borderId="0" xfId="0" applyFont="1" applyAlignment="1">
      <alignment vertical="center"/>
    </xf>
    <xf numFmtId="0" fontId="3" fillId="15" borderId="0" xfId="0" applyFont="1" applyFill="1"/>
    <xf numFmtId="0" fontId="11" fillId="0" borderId="0" xfId="0" applyFont="1"/>
    <xf numFmtId="9" fontId="0" fillId="0" borderId="0" xfId="0" applyNumberFormat="1"/>
    <xf numFmtId="0" fontId="23" fillId="0" borderId="0" xfId="0" applyFont="1"/>
    <xf numFmtId="0" fontId="24" fillId="0" borderId="0" xfId="0" applyFont="1"/>
    <xf numFmtId="9" fontId="0" fillId="0" borderId="0" xfId="4" applyFont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7" borderId="1" xfId="0" applyFill="1" applyBorder="1"/>
    <xf numFmtId="0" fontId="0" fillId="0" borderId="1" xfId="0" applyBorder="1" applyAlignment="1">
      <alignment wrapText="1"/>
    </xf>
    <xf numFmtId="0" fontId="1" fillId="2" borderId="1" xfId="1" applyBorder="1"/>
    <xf numFmtId="0" fontId="0" fillId="9" borderId="1" xfId="0" applyFill="1" applyBorder="1"/>
    <xf numFmtId="0" fontId="26" fillId="0" borderId="0" xfId="0" applyFont="1"/>
    <xf numFmtId="1" fontId="24" fillId="0" borderId="0" xfId="0" applyNumberFormat="1" applyFont="1"/>
    <xf numFmtId="0" fontId="24" fillId="0" borderId="0" xfId="0" applyFont="1" applyAlignment="1">
      <alignment horizontal="center"/>
    </xf>
    <xf numFmtId="0" fontId="0" fillId="4" borderId="1" xfId="0" applyFill="1" applyBorder="1" applyAlignment="1">
      <alignment wrapText="1"/>
    </xf>
    <xf numFmtId="0" fontId="18" fillId="14" borderId="1" xfId="3" applyBorder="1" applyAlignment="1">
      <alignment wrapText="1"/>
    </xf>
    <xf numFmtId="0" fontId="2" fillId="0" borderId="1" xfId="0" applyFont="1" applyBorder="1"/>
    <xf numFmtId="0" fontId="0" fillId="15" borderId="1" xfId="0" applyFill="1" applyBorder="1"/>
    <xf numFmtId="164" fontId="27" fillId="0" borderId="1" xfId="5" applyNumberFormat="1" applyBorder="1"/>
    <xf numFmtId="0" fontId="25" fillId="0" borderId="1" xfId="5" applyFont="1" applyBorder="1"/>
    <xf numFmtId="0" fontId="28" fillId="0" borderId="1" xfId="0" applyFont="1" applyBorder="1" applyAlignment="1">
      <alignment horizontal="left"/>
    </xf>
    <xf numFmtId="2" fontId="25" fillId="0" borderId="1" xfId="5" applyNumberFormat="1" applyFont="1" applyBorder="1"/>
    <xf numFmtId="0" fontId="27" fillId="0" borderId="1" xfId="5" applyBorder="1"/>
    <xf numFmtId="0" fontId="27" fillId="0" borderId="0" xfId="5"/>
    <xf numFmtId="0" fontId="29" fillId="16" borderId="1" xfId="7" applyBorder="1"/>
    <xf numFmtId="0" fontId="0" fillId="0" borderId="4" xfId="0" applyBorder="1"/>
    <xf numFmtId="0" fontId="29" fillId="16" borderId="0" xfId="7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1" fontId="0" fillId="0" borderId="1" xfId="0" applyNumberFormat="1" applyBorder="1" applyAlignment="1">
      <alignment vertical="center"/>
    </xf>
    <xf numFmtId="1" fontId="0" fillId="0" borderId="1" xfId="0" applyNumberFormat="1" applyBorder="1" applyAlignment="1">
      <alignment horizontal="center" vertical="center"/>
    </xf>
    <xf numFmtId="1" fontId="30" fillId="17" borderId="0" xfId="0" applyNumberFormat="1" applyFont="1" applyFill="1"/>
    <xf numFmtId="0" fontId="29" fillId="16" borderId="2" xfId="7" applyBorder="1"/>
    <xf numFmtId="0" fontId="31" fillId="0" borderId="1" xfId="0" applyFont="1" applyBorder="1" applyAlignment="1">
      <alignment vertical="center"/>
    </xf>
    <xf numFmtId="0" fontId="0" fillId="0" borderId="10" xfId="0" applyBorder="1" applyAlignment="1">
      <alignment horizontal="center" vertical="center"/>
    </xf>
    <xf numFmtId="0" fontId="0" fillId="20" borderId="0" xfId="0" applyFill="1"/>
    <xf numFmtId="0" fontId="32" fillId="0" borderId="0" xfId="8"/>
    <xf numFmtId="0" fontId="34" fillId="18" borderId="0" xfId="15" applyBorder="1" applyProtection="1"/>
    <xf numFmtId="1" fontId="27" fillId="0" borderId="1" xfId="5" applyNumberFormat="1" applyBorder="1"/>
    <xf numFmtId="0" fontId="36" fillId="0" borderId="0" xfId="0" applyFont="1" applyAlignment="1">
      <alignment vertical="center"/>
    </xf>
    <xf numFmtId="0" fontId="0" fillId="8" borderId="1" xfId="0" applyFill="1" applyBorder="1"/>
    <xf numFmtId="0" fontId="0" fillId="8" borderId="1" xfId="0" applyFill="1" applyBorder="1" applyAlignment="1">
      <alignment vertical="center"/>
    </xf>
    <xf numFmtId="1" fontId="0" fillId="8" borderId="1" xfId="0" applyNumberFormat="1" applyFill="1" applyBorder="1" applyAlignment="1">
      <alignment vertical="center"/>
    </xf>
    <xf numFmtId="1" fontId="0" fillId="8" borderId="1" xfId="0" applyNumberFormat="1" applyFill="1" applyBorder="1"/>
    <xf numFmtId="0" fontId="17" fillId="0" borderId="0" xfId="0" applyFont="1" applyAlignment="1">
      <alignment horizontal="center" wrapText="1"/>
    </xf>
  </cellXfs>
  <cellStyles count="18">
    <cellStyle name="Bad" xfId="3" builtinId="27"/>
    <cellStyle name="Comma 2" xfId="6" xr:uid="{BF3EB6FC-FC95-4FE7-813F-81CB67931BA3}"/>
    <cellStyle name="Comma 3" xfId="17" xr:uid="{EC3F74C3-E658-4B8E-8E2D-1D204471E535}"/>
    <cellStyle name="Excel Built-in Bad" xfId="15" xr:uid="{FC3567C3-8CB5-48B0-A638-E9E56C1F295B}"/>
    <cellStyle name="Excel Built-in Good" xfId="16" xr:uid="{651E5F43-1029-4C21-ADB0-979C3207B0A7}"/>
    <cellStyle name="Good" xfId="7" builtinId="26"/>
    <cellStyle name="Hyperlink 2" xfId="2" xr:uid="{E602077D-462F-4400-AE4E-A206D51F4D20}"/>
    <cellStyle name="Neutral" xfId="1" builtinId="28"/>
    <cellStyle name="Normal" xfId="0" builtinId="0"/>
    <cellStyle name="Normal 2" xfId="5" xr:uid="{B382CCCB-1125-4982-8610-53DAC76A8711}"/>
    <cellStyle name="Normal 2 2" xfId="8" xr:uid="{A01D160F-0C8C-41E9-9536-F0F70C7D2080}"/>
    <cellStyle name="Percent" xfId="4" builtinId="5"/>
    <cellStyle name="Pivot Table Category" xfId="12" xr:uid="{490B0C4A-8B55-4C85-A6EC-626AB4F4C002}"/>
    <cellStyle name="Pivot Table Corner" xfId="10" xr:uid="{39431C57-6D60-4AA1-A352-56B126537FAA}"/>
    <cellStyle name="Pivot Table Field" xfId="9" xr:uid="{6E662220-3590-41A0-8849-6CB7E314BABD}"/>
    <cellStyle name="Pivot Table Result" xfId="14" xr:uid="{1775B612-0A38-43E0-B28F-C3B2118022AA}"/>
    <cellStyle name="Pivot Table Title" xfId="13" xr:uid="{29723493-A899-4EB9-A66F-095DE0911528}"/>
    <cellStyle name="Pivot Table Value" xfId="11" xr:uid="{476FF3DB-81F8-4526-8518-020DE9636A0C}"/>
  </cellStyles>
  <dxfs count="3">
    <dxf>
      <font>
        <color rgb="FFFF0000"/>
      </font>
    </dxf>
    <dxf>
      <font>
        <color theme="9" tint="-0.499984740745262"/>
      </font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6699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microsoft.com/office/2017/10/relationships/person" Target="persons/person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onnections" Target="connections.xml"/><Relationship Id="rId52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NL"/>
              <a:t>industrial</a:t>
            </a:r>
            <a:r>
              <a:rPr lang="nl-NL" baseline="0"/>
              <a:t> heating capacity</a:t>
            </a:r>
            <a:endParaRPr lang="nl-N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yearlyLoadShifterCap!$B$1</c:f>
              <c:strCache>
                <c:ptCount val="1"/>
                <c:pt idx="0">
                  <c:v>peakConsumptionInMWyearly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yearlyLoadShifterCap!$A$2:$A$4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xVal>
          <c:yVal>
            <c:numRef>
              <c:f>yearlyLoadShifterCap!$B$2:$B$4</c:f>
              <c:numCache>
                <c:formatCode>General</c:formatCode>
                <c:ptCount val="3"/>
                <c:pt idx="0">
                  <c:v>3100</c:v>
                </c:pt>
                <c:pt idx="1">
                  <c:v>3676</c:v>
                </c:pt>
                <c:pt idx="2">
                  <c:v>6155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C0-427D-BE3C-FCFC3DFB27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2697472"/>
        <c:axId val="222719072"/>
      </c:scatterChart>
      <c:valAx>
        <c:axId val="22269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22719072"/>
        <c:crosses val="autoZero"/>
        <c:crossBetween val="midCat"/>
      </c:valAx>
      <c:valAx>
        <c:axId val="22271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222697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electrolyzers capacity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yearlyHydrogen!$B$1</c:f>
              <c:strCache>
                <c:ptCount val="1"/>
                <c:pt idx="0">
                  <c:v>ShedderCapacityMWyearly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yearlyHydrogen!$A$2:$A$4</c:f>
              <c:numCache>
                <c:formatCode>General</c:formatCode>
                <c:ptCount val="3"/>
                <c:pt idx="0">
                  <c:v>2020</c:v>
                </c:pt>
                <c:pt idx="1">
                  <c:v>2030</c:v>
                </c:pt>
                <c:pt idx="2">
                  <c:v>2050</c:v>
                </c:pt>
              </c:numCache>
            </c:numRef>
          </c:xVal>
          <c:yVal>
            <c:numRef>
              <c:f>yearlyHydrogen!$B$2:$B$4</c:f>
              <c:numCache>
                <c:formatCode>General</c:formatCode>
                <c:ptCount val="3"/>
                <c:pt idx="0">
                  <c:v>3000</c:v>
                </c:pt>
                <c:pt idx="1">
                  <c:v>6731</c:v>
                </c:pt>
                <c:pt idx="2">
                  <c:v>37450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7E3-47A4-A944-9FD95C1FB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5462448"/>
        <c:axId val="1352621984"/>
      </c:scatterChart>
      <c:valAx>
        <c:axId val="1705462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52621984"/>
        <c:crosses val="autoZero"/>
        <c:crossBetween val="midCat"/>
      </c:valAx>
      <c:valAx>
        <c:axId val="1352621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705462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TechnologyTrends!$K$5</c:f>
              <c:strCache>
                <c:ptCount val="1"/>
                <c:pt idx="0">
                  <c:v>geometric trend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TechnologyTrends!$J$6:$J$18</c:f>
              <c:numCache>
                <c:formatCode>General</c:formatCode>
                <c:ptCount val="13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</c:numCache>
            </c:numRef>
          </c:xVal>
          <c:yVal>
            <c:numRef>
              <c:f>TechnologyTrends!$K$6:$K$18</c:f>
              <c:numCache>
                <c:formatCode>General</c:formatCode>
                <c:ptCount val="13"/>
                <c:pt idx="0">
                  <c:v>0.99502487562189068</c:v>
                </c:pt>
                <c:pt idx="1">
                  <c:v>1</c:v>
                </c:pt>
                <c:pt idx="2">
                  <c:v>1.0049999999999999</c:v>
                </c:pt>
                <c:pt idx="3">
                  <c:v>1.0100249999999997</c:v>
                </c:pt>
                <c:pt idx="4">
                  <c:v>1.0150751249999996</c:v>
                </c:pt>
                <c:pt idx="5">
                  <c:v>1.0201505006249993</c:v>
                </c:pt>
                <c:pt idx="6">
                  <c:v>1.0252512531281242</c:v>
                </c:pt>
                <c:pt idx="7">
                  <c:v>1.0303775093937646</c:v>
                </c:pt>
                <c:pt idx="8">
                  <c:v>1.0355293969407333</c:v>
                </c:pt>
                <c:pt idx="9">
                  <c:v>1.0407070439254369</c:v>
                </c:pt>
                <c:pt idx="10">
                  <c:v>1.045910579145064</c:v>
                </c:pt>
                <c:pt idx="11">
                  <c:v>1.0511401320407892</c:v>
                </c:pt>
                <c:pt idx="12">
                  <c:v>1.056395832700993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1B-4420-B455-FF89ED3B6884}"/>
            </c:ext>
          </c:extLst>
        </c:ser>
        <c:ser>
          <c:idx val="1"/>
          <c:order val="1"/>
          <c:tx>
            <c:strRef>
              <c:f>TechnologyTrends!$L$5</c:f>
              <c:strCache>
                <c:ptCount val="1"/>
                <c:pt idx="0">
                  <c:v>plus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TechnologyTrends!$J$6:$J$18</c:f>
              <c:numCache>
                <c:formatCode>General</c:formatCode>
                <c:ptCount val="13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</c:numCache>
            </c:numRef>
          </c:xVal>
          <c:yVal>
            <c:numRef>
              <c:f>TechnologyTrends!$L$6:$L$18</c:f>
              <c:numCache>
                <c:formatCode>General</c:formatCode>
                <c:ptCount val="13"/>
                <c:pt idx="2">
                  <c:v>1.0049999999999999</c:v>
                </c:pt>
                <c:pt idx="3">
                  <c:v>1.0100249999999997</c:v>
                </c:pt>
                <c:pt idx="4">
                  <c:v>1.0150751249999996</c:v>
                </c:pt>
                <c:pt idx="5">
                  <c:v>1.0201505006249996</c:v>
                </c:pt>
                <c:pt idx="6">
                  <c:v>1.0252512531281244</c:v>
                </c:pt>
                <c:pt idx="7">
                  <c:v>1.0303775093937648</c:v>
                </c:pt>
                <c:pt idx="8">
                  <c:v>1.0355293969407335</c:v>
                </c:pt>
                <c:pt idx="9">
                  <c:v>1.0407070439254371</c:v>
                </c:pt>
                <c:pt idx="10">
                  <c:v>1.0459105791450642</c:v>
                </c:pt>
                <c:pt idx="11">
                  <c:v>1.0511401320407894</c:v>
                </c:pt>
                <c:pt idx="12">
                  <c:v>1.0563958327009932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1B-4420-B455-FF89ED3B6884}"/>
            </c:ext>
          </c:extLst>
        </c:ser>
        <c:ser>
          <c:idx val="2"/>
          <c:order val="2"/>
          <c:tx>
            <c:strRef>
              <c:f>TechnologyTrends!$M$5</c:f>
              <c:strCache>
                <c:ptCount val="1"/>
                <c:pt idx="0">
                  <c:v>minus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TechnologyTrends!$J$6:$J$18</c:f>
              <c:numCache>
                <c:formatCode>General</c:formatCode>
                <c:ptCount val="13"/>
                <c:pt idx="0">
                  <c:v>-1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10</c:v>
                </c:pt>
                <c:pt idx="12">
                  <c:v>11</c:v>
                </c:pt>
              </c:numCache>
            </c:numRef>
          </c:xVal>
          <c:yVal>
            <c:numRef>
              <c:f>TechnologyTrends!$M$6:$M$18</c:f>
              <c:numCache>
                <c:formatCode>General</c:formatCode>
                <c:ptCount val="13"/>
                <c:pt idx="2">
                  <c:v>0.995</c:v>
                </c:pt>
                <c:pt idx="3">
                  <c:v>0.99002500000000004</c:v>
                </c:pt>
                <c:pt idx="4">
                  <c:v>0.98507487500000002</c:v>
                </c:pt>
                <c:pt idx="5">
                  <c:v>0.98014950062500006</c:v>
                </c:pt>
                <c:pt idx="6">
                  <c:v>0.97524875312187509</c:v>
                </c:pt>
                <c:pt idx="7">
                  <c:v>0.97037250935626573</c:v>
                </c:pt>
                <c:pt idx="8">
                  <c:v>0.96552064680948435</c:v>
                </c:pt>
                <c:pt idx="9">
                  <c:v>0.96069304357543694</c:v>
                </c:pt>
                <c:pt idx="10">
                  <c:v>0.95588957835755972</c:v>
                </c:pt>
                <c:pt idx="11">
                  <c:v>0.95111013046577186</c:v>
                </c:pt>
                <c:pt idx="12">
                  <c:v>0.94635457981344295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1B-4420-B455-FF89ED3B6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5991072"/>
        <c:axId val="815998560"/>
      </c:scatterChart>
      <c:valAx>
        <c:axId val="815991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15998560"/>
        <c:crosses val="autoZero"/>
        <c:crossBetween val="midCat"/>
      </c:valAx>
      <c:valAx>
        <c:axId val="81599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8159910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TechnologyTrends!$K$20</c:f>
              <c:strCache>
                <c:ptCount val="1"/>
                <c:pt idx="0">
                  <c:v>var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TechnologyTrends!$J$21:$J$26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9</c:v>
                </c:pt>
                <c:pt idx="5">
                  <c:v>26</c:v>
                </c:pt>
              </c:numCache>
            </c:numRef>
          </c:xVal>
          <c:yVal>
            <c:numRef>
              <c:f>TechnologyTrends!$K$21:$K$26</c:f>
              <c:numCache>
                <c:formatCode>General</c:formatCode>
                <c:ptCount val="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42-4045-9FA4-B5C669B5E699}"/>
            </c:ext>
          </c:extLst>
        </c:ser>
        <c:ser>
          <c:idx val="1"/>
          <c:order val="1"/>
          <c:tx>
            <c:strRef>
              <c:f>TechnologyTrends!$L$20</c:f>
              <c:strCache>
                <c:ptCount val="1"/>
                <c:pt idx="0">
                  <c:v>efficiency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TechnologyTrends!$J$21:$J$26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9</c:v>
                </c:pt>
                <c:pt idx="5">
                  <c:v>26</c:v>
                </c:pt>
              </c:numCache>
            </c:numRef>
          </c:xVal>
          <c:yVal>
            <c:numRef>
              <c:f>TechnologyTrends!$L$21:$L$26</c:f>
              <c:numCache>
                <c:formatCode>General</c:formatCode>
                <c:ptCount val="6"/>
                <c:pt idx="0">
                  <c:v>0.43</c:v>
                </c:pt>
                <c:pt idx="1">
                  <c:v>0.43</c:v>
                </c:pt>
                <c:pt idx="2">
                  <c:v>0.43</c:v>
                </c:pt>
                <c:pt idx="3">
                  <c:v>0.43</c:v>
                </c:pt>
                <c:pt idx="4">
                  <c:v>0.43</c:v>
                </c:pt>
                <c:pt idx="5">
                  <c:v>0.43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42-4045-9FA4-B5C669B5E6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946016"/>
        <c:axId val="1186949344"/>
      </c:scatterChart>
      <c:valAx>
        <c:axId val="1186946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86949344"/>
        <c:crosses val="autoZero"/>
        <c:crossBetween val="midCat"/>
      </c:valAx>
      <c:valAx>
        <c:axId val="118694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186946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tx>
            <c:strRef>
              <c:f>VOLLs!$C$1</c:f>
              <c:strCache>
                <c:ptCount val="1"/>
                <c:pt idx="0">
                  <c:v>VOLL original</c:v>
                </c:pt>
              </c:strCache>
            </c:strRef>
          </c:tx>
          <c:xVal>
            <c:numRef>
              <c:f>VOLLs!$B$2:$B$10</c:f>
              <c:numCache>
                <c:formatCode>General</c:formatCode>
                <c:ptCount val="9"/>
                <c:pt idx="0">
                  <c:v>4</c:v>
                </c:pt>
                <c:pt idx="1">
                  <c:v>13</c:v>
                </c:pt>
                <c:pt idx="2">
                  <c:v>26</c:v>
                </c:pt>
                <c:pt idx="3">
                  <c:v>31</c:v>
                </c:pt>
                <c:pt idx="4">
                  <c:v>59</c:v>
                </c:pt>
                <c:pt idx="5">
                  <c:v>68</c:v>
                </c:pt>
                <c:pt idx="6">
                  <c:v>89</c:v>
                </c:pt>
                <c:pt idx="7">
                  <c:v>97</c:v>
                </c:pt>
                <c:pt idx="8">
                  <c:v>100</c:v>
                </c:pt>
              </c:numCache>
            </c:numRef>
          </c:xVal>
          <c:yVal>
            <c:numRef>
              <c:f>VOLLs!$C$2:$C$10</c:f>
              <c:numCache>
                <c:formatCode>General</c:formatCode>
                <c:ptCount val="9"/>
                <c:pt idx="0">
                  <c:v>105914</c:v>
                </c:pt>
                <c:pt idx="1">
                  <c:v>100323</c:v>
                </c:pt>
                <c:pt idx="2">
                  <c:v>84942</c:v>
                </c:pt>
                <c:pt idx="3">
                  <c:v>73186</c:v>
                </c:pt>
                <c:pt idx="4">
                  <c:v>61758</c:v>
                </c:pt>
                <c:pt idx="5">
                  <c:v>42700</c:v>
                </c:pt>
                <c:pt idx="6">
                  <c:v>32723</c:v>
                </c:pt>
                <c:pt idx="7">
                  <c:v>30429</c:v>
                </c:pt>
                <c:pt idx="8">
                  <c:v>19785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9DA-4DBB-B561-1F6A30E3576B}"/>
            </c:ext>
          </c:extLst>
        </c:ser>
        <c:ser>
          <c:idx val="3"/>
          <c:order val="1"/>
          <c:tx>
            <c:strRef>
              <c:f>VOLLs!$J$1</c:f>
              <c:strCache>
                <c:ptCount val="1"/>
                <c:pt idx="0">
                  <c:v>VOLL simplified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VOLLs!$M$2:$M$8</c:f>
              <c:numCache>
                <c:formatCode>General</c:formatCode>
                <c:ptCount val="7"/>
                <c:pt idx="0">
                  <c:v>13</c:v>
                </c:pt>
                <c:pt idx="1">
                  <c:v>26</c:v>
                </c:pt>
                <c:pt idx="2">
                  <c:v>59</c:v>
                </c:pt>
                <c:pt idx="3">
                  <c:v>68</c:v>
                </c:pt>
                <c:pt idx="4">
                  <c:v>89</c:v>
                </c:pt>
                <c:pt idx="5">
                  <c:v>97</c:v>
                </c:pt>
                <c:pt idx="6">
                  <c:v>100</c:v>
                </c:pt>
              </c:numCache>
            </c:numRef>
          </c:xVal>
          <c:yVal>
            <c:numRef>
              <c:f>VOLLs!$J$2:$J$8</c:f>
              <c:numCache>
                <c:formatCode>0</c:formatCode>
                <c:ptCount val="7"/>
                <c:pt idx="0">
                  <c:v>102043.30769230769</c:v>
                </c:pt>
                <c:pt idx="1">
                  <c:v>84942</c:v>
                </c:pt>
                <c:pt idx="2">
                  <c:v>63489.515151515152</c:v>
                </c:pt>
                <c:pt idx="3">
                  <c:v>42700</c:v>
                </c:pt>
                <c:pt idx="4">
                  <c:v>32723</c:v>
                </c:pt>
                <c:pt idx="5">
                  <c:v>30429</c:v>
                </c:pt>
                <c:pt idx="6">
                  <c:v>19785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9DA-4DBB-B561-1F6A30E3576B}"/>
            </c:ext>
          </c:extLst>
        </c:ser>
        <c:ser>
          <c:idx val="1"/>
          <c:order val="2"/>
          <c:tx>
            <c:strRef>
              <c:f>VOLLs!$C$1</c:f>
              <c:strCache>
                <c:ptCount val="1"/>
                <c:pt idx="0">
                  <c:v>VOLL original</c:v>
                </c:pt>
              </c:strCache>
            </c:strRef>
          </c:tx>
          <c:xVal>
            <c:numRef>
              <c:f>VOLLs!$B$2:$B$10</c:f>
              <c:numCache>
                <c:formatCode>General</c:formatCode>
                <c:ptCount val="9"/>
                <c:pt idx="0">
                  <c:v>4</c:v>
                </c:pt>
                <c:pt idx="1">
                  <c:v>13</c:v>
                </c:pt>
                <c:pt idx="2">
                  <c:v>26</c:v>
                </c:pt>
                <c:pt idx="3">
                  <c:v>31</c:v>
                </c:pt>
                <c:pt idx="4">
                  <c:v>59</c:v>
                </c:pt>
                <c:pt idx="5">
                  <c:v>68</c:v>
                </c:pt>
                <c:pt idx="6">
                  <c:v>89</c:v>
                </c:pt>
                <c:pt idx="7">
                  <c:v>97</c:v>
                </c:pt>
                <c:pt idx="8">
                  <c:v>100</c:v>
                </c:pt>
              </c:numCache>
            </c:numRef>
          </c:xVal>
          <c:yVal>
            <c:numRef>
              <c:f>VOLLs!$C$2:$C$10</c:f>
              <c:numCache>
                <c:formatCode>General</c:formatCode>
                <c:ptCount val="9"/>
                <c:pt idx="0">
                  <c:v>105914</c:v>
                </c:pt>
                <c:pt idx="1">
                  <c:v>100323</c:v>
                </c:pt>
                <c:pt idx="2">
                  <c:v>84942</c:v>
                </c:pt>
                <c:pt idx="3">
                  <c:v>73186</c:v>
                </c:pt>
                <c:pt idx="4">
                  <c:v>61758</c:v>
                </c:pt>
                <c:pt idx="5">
                  <c:v>42700</c:v>
                </c:pt>
                <c:pt idx="6">
                  <c:v>32723</c:v>
                </c:pt>
                <c:pt idx="7">
                  <c:v>30429</c:v>
                </c:pt>
                <c:pt idx="8">
                  <c:v>19785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9DA-4DBB-B561-1F6A30E35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73295"/>
        <c:axId val="57451375"/>
      </c:scatterChart>
      <c:valAx>
        <c:axId val="48473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Percebtage</a:t>
                </a:r>
                <a:r>
                  <a:rPr lang="nl-NL" baseline="0"/>
                  <a:t> load</a:t>
                </a:r>
                <a:endParaRPr lang="nl-N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7451375"/>
        <c:crosses val="autoZero"/>
        <c:crossBetween val="midCat"/>
      </c:valAx>
      <c:valAx>
        <c:axId val="5745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VOLL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847329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VOLLs!$P$1</c:f>
              <c:strCache>
                <c:ptCount val="1"/>
                <c:pt idx="0">
                  <c:v>real VOLL/25</c:v>
                </c:pt>
              </c:strCache>
            </c:strRef>
          </c:tx>
          <c:xVal>
            <c:numRef>
              <c:f>VOLLs!$M$2:$M$8</c:f>
              <c:numCache>
                <c:formatCode>General</c:formatCode>
                <c:ptCount val="7"/>
                <c:pt idx="0">
                  <c:v>13</c:v>
                </c:pt>
                <c:pt idx="1">
                  <c:v>26</c:v>
                </c:pt>
                <c:pt idx="2">
                  <c:v>59</c:v>
                </c:pt>
                <c:pt idx="3">
                  <c:v>68</c:v>
                </c:pt>
                <c:pt idx="4">
                  <c:v>89</c:v>
                </c:pt>
                <c:pt idx="5">
                  <c:v>97</c:v>
                </c:pt>
                <c:pt idx="6">
                  <c:v>100</c:v>
                </c:pt>
              </c:numCache>
            </c:numRef>
          </c:xVal>
          <c:yVal>
            <c:numRef>
              <c:f>VOLLs!$P$2:$P$8</c:f>
              <c:numCache>
                <c:formatCode>0</c:formatCode>
                <c:ptCount val="7"/>
                <c:pt idx="0">
                  <c:v>4081.7323076923076</c:v>
                </c:pt>
                <c:pt idx="1">
                  <c:v>3397.68</c:v>
                </c:pt>
                <c:pt idx="2">
                  <c:v>2539.580606060606</c:v>
                </c:pt>
                <c:pt idx="3">
                  <c:v>1708</c:v>
                </c:pt>
                <c:pt idx="4">
                  <c:v>1308.92</c:v>
                </c:pt>
                <c:pt idx="5">
                  <c:v>1217.1600000000001</c:v>
                </c:pt>
                <c:pt idx="6">
                  <c:v>791.4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FAE-4787-84E5-111B0F04772D}"/>
            </c:ext>
          </c:extLst>
        </c:ser>
        <c:ser>
          <c:idx val="0"/>
          <c:order val="1"/>
          <c:tx>
            <c:strRef>
              <c:f>VOLLs!$Q$13</c:f>
              <c:strCache>
                <c:ptCount val="1"/>
                <c:pt idx="0">
                  <c:v>old VOLL</c:v>
                </c:pt>
              </c:strCache>
            </c:strRef>
          </c:tx>
          <c:xVal>
            <c:numRef>
              <c:f>VOLLs!$P$14:$P$17</c:f>
              <c:numCache>
                <c:formatCode>0</c:formatCode>
                <c:ptCount val="4"/>
                <c:pt idx="0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</c:numCache>
            </c:numRef>
          </c:xVal>
          <c:yVal>
            <c:numRef>
              <c:f>VOLLs!$Q$14:$Q$17</c:f>
              <c:numCache>
                <c:formatCode>General</c:formatCode>
                <c:ptCount val="4"/>
                <c:pt idx="0">
                  <c:v>4000</c:v>
                </c:pt>
                <c:pt idx="1">
                  <c:v>1500</c:v>
                </c:pt>
                <c:pt idx="2">
                  <c:v>500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AE-4787-84E5-111B0F047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73295"/>
        <c:axId val="57451375"/>
      </c:scatterChart>
      <c:valAx>
        <c:axId val="48473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Percentage</a:t>
                </a:r>
                <a:r>
                  <a:rPr lang="nl-NL" baseline="0"/>
                  <a:t> load</a:t>
                </a:r>
                <a:endParaRPr lang="nl-N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7451375"/>
        <c:crosses val="autoZero"/>
        <c:crossBetween val="midCat"/>
      </c:valAx>
      <c:valAx>
        <c:axId val="5745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VOLL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847329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VOLLs!$R$30</c:f>
              <c:strCache>
                <c:ptCount val="1"/>
                <c:pt idx="0">
                  <c:v>subscribed</c:v>
                </c:pt>
              </c:strCache>
            </c:strRef>
          </c:tx>
          <c:xVal>
            <c:numRef>
              <c:f>VOLLs!$P$29:$P$30</c:f>
              <c:numCache>
                <c:formatCode>0</c:formatCode>
                <c:ptCount val="2"/>
                <c:pt idx="0" formatCode="General">
                  <c:v>0</c:v>
                </c:pt>
                <c:pt idx="1">
                  <c:v>80</c:v>
                </c:pt>
              </c:numCache>
            </c:numRef>
          </c:xVal>
          <c:yVal>
            <c:numRef>
              <c:f>VOLLs!$Q$29:$Q$30</c:f>
              <c:numCache>
                <c:formatCode>General</c:formatCode>
                <c:ptCount val="2"/>
                <c:pt idx="0">
                  <c:v>4000</c:v>
                </c:pt>
                <c:pt idx="1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AD-447A-BD2D-74087A970B89}"/>
            </c:ext>
          </c:extLst>
        </c:ser>
        <c:ser>
          <c:idx val="0"/>
          <c:order val="1"/>
          <c:tx>
            <c:strRef>
              <c:f>VOLLs!$R$32</c:f>
              <c:strCache>
                <c:ptCount val="1"/>
                <c:pt idx="0">
                  <c:v>unsubscribed</c:v>
                </c:pt>
              </c:strCache>
            </c:strRef>
          </c:tx>
          <c:marker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VOLLs!$P$31:$P$34</c:f>
              <c:numCache>
                <c:formatCode>0</c:formatCode>
                <c:ptCount val="4"/>
                <c:pt idx="0" formatCode="General">
                  <c:v>80</c:v>
                </c:pt>
                <c:pt idx="1">
                  <c:v>90</c:v>
                </c:pt>
                <c:pt idx="2">
                  <c:v>95</c:v>
                </c:pt>
                <c:pt idx="3">
                  <c:v>100</c:v>
                </c:pt>
              </c:numCache>
            </c:numRef>
          </c:xVal>
          <c:yVal>
            <c:numRef>
              <c:f>VOLLs!$Q$31:$Q$34</c:f>
              <c:numCache>
                <c:formatCode>General</c:formatCode>
                <c:ptCount val="4"/>
                <c:pt idx="0">
                  <c:v>1500</c:v>
                </c:pt>
                <c:pt idx="1">
                  <c:v>1500</c:v>
                </c:pt>
                <c:pt idx="2">
                  <c:v>500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5AD-447A-BD2D-74087A970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73295"/>
        <c:axId val="57451375"/>
      </c:scatterChart>
      <c:valAx>
        <c:axId val="48473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Percentage</a:t>
                </a:r>
                <a:r>
                  <a:rPr lang="nl-NL" baseline="0"/>
                  <a:t> load</a:t>
                </a:r>
                <a:endParaRPr lang="nl-N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7451375"/>
        <c:crosses val="autoZero"/>
        <c:crossBetween val="midCat"/>
      </c:valAx>
      <c:valAx>
        <c:axId val="5745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VOLL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847329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1"/>
          <c:order val="0"/>
          <c:tx>
            <c:strRef>
              <c:f>VOLLs!$J$1</c:f>
              <c:strCache>
                <c:ptCount val="1"/>
                <c:pt idx="0">
                  <c:v>VOLL simplified</c:v>
                </c:pt>
              </c:strCache>
            </c:strRef>
          </c:tx>
          <c:xVal>
            <c:numRef>
              <c:f>VOLLs!$M$2:$M$8</c:f>
              <c:numCache>
                <c:formatCode>General</c:formatCode>
                <c:ptCount val="7"/>
                <c:pt idx="0">
                  <c:v>13</c:v>
                </c:pt>
                <c:pt idx="1">
                  <c:v>26</c:v>
                </c:pt>
                <c:pt idx="2">
                  <c:v>59</c:v>
                </c:pt>
                <c:pt idx="3">
                  <c:v>68</c:v>
                </c:pt>
                <c:pt idx="4">
                  <c:v>89</c:v>
                </c:pt>
                <c:pt idx="5">
                  <c:v>97</c:v>
                </c:pt>
                <c:pt idx="6">
                  <c:v>100</c:v>
                </c:pt>
              </c:numCache>
            </c:numRef>
          </c:xVal>
          <c:yVal>
            <c:numRef>
              <c:f>VOLLs!$J$2:$J$8</c:f>
              <c:numCache>
                <c:formatCode>0</c:formatCode>
                <c:ptCount val="7"/>
                <c:pt idx="0">
                  <c:v>102043.30769230769</c:v>
                </c:pt>
                <c:pt idx="1">
                  <c:v>84942</c:v>
                </c:pt>
                <c:pt idx="2">
                  <c:v>63489.515151515152</c:v>
                </c:pt>
                <c:pt idx="3">
                  <c:v>42700</c:v>
                </c:pt>
                <c:pt idx="4">
                  <c:v>32723</c:v>
                </c:pt>
                <c:pt idx="5">
                  <c:v>30429</c:v>
                </c:pt>
                <c:pt idx="6">
                  <c:v>19785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DC-41A1-8753-800D4595D2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73295"/>
        <c:axId val="57451375"/>
      </c:scatterChart>
      <c:valAx>
        <c:axId val="48473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Percentage</a:t>
                </a:r>
                <a:r>
                  <a:rPr lang="nl-NL" baseline="0"/>
                  <a:t> load</a:t>
                </a:r>
                <a:endParaRPr lang="nl-N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7451375"/>
        <c:crosses val="autoZero"/>
        <c:crossBetween val="midCat"/>
      </c:valAx>
      <c:valAx>
        <c:axId val="5745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VOLL</a:t>
                </a:r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847329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VOLLs!$V$9</c:f>
              <c:strCache>
                <c:ptCount val="1"/>
                <c:pt idx="0">
                  <c:v>ecorys</c:v>
                </c:pt>
              </c:strCache>
            </c:strRef>
          </c:tx>
          <c:xVal>
            <c:numRef>
              <c:f>VOLLs!$U$10:$U$18</c:f>
              <c:numCache>
                <c:formatCode>General</c:formatCode>
                <c:ptCount val="9"/>
                <c:pt idx="0">
                  <c:v>4</c:v>
                </c:pt>
                <c:pt idx="1">
                  <c:v>13</c:v>
                </c:pt>
                <c:pt idx="2">
                  <c:v>26</c:v>
                </c:pt>
                <c:pt idx="3">
                  <c:v>31</c:v>
                </c:pt>
                <c:pt idx="4">
                  <c:v>59</c:v>
                </c:pt>
                <c:pt idx="5">
                  <c:v>68</c:v>
                </c:pt>
                <c:pt idx="6">
                  <c:v>89</c:v>
                </c:pt>
                <c:pt idx="7">
                  <c:v>97</c:v>
                </c:pt>
                <c:pt idx="8">
                  <c:v>100</c:v>
                </c:pt>
              </c:numCache>
            </c:numRef>
          </c:xVal>
          <c:yVal>
            <c:numRef>
              <c:f>VOLLs!$V$10:$V$18</c:f>
              <c:numCache>
                <c:formatCode>General</c:formatCode>
                <c:ptCount val="9"/>
                <c:pt idx="0">
                  <c:v>105914</c:v>
                </c:pt>
                <c:pt idx="1">
                  <c:v>100323</c:v>
                </c:pt>
                <c:pt idx="2">
                  <c:v>84942</c:v>
                </c:pt>
                <c:pt idx="3">
                  <c:v>73186</c:v>
                </c:pt>
                <c:pt idx="4">
                  <c:v>61758</c:v>
                </c:pt>
                <c:pt idx="5">
                  <c:v>42700</c:v>
                </c:pt>
                <c:pt idx="6">
                  <c:v>32723</c:v>
                </c:pt>
                <c:pt idx="7">
                  <c:v>30429</c:v>
                </c:pt>
                <c:pt idx="8">
                  <c:v>19785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622-4965-B49B-03A4FD67DDF9}"/>
            </c:ext>
          </c:extLst>
        </c:ser>
        <c:ser>
          <c:idx val="2"/>
          <c:order val="1"/>
          <c:tx>
            <c:strRef>
              <c:f>VOLLs!$X$9</c:f>
              <c:strCache>
                <c:ptCount val="1"/>
                <c:pt idx="0">
                  <c:v>Nooij ecorys average</c:v>
                </c:pt>
              </c:strCache>
            </c:strRef>
          </c:tx>
          <c:xVal>
            <c:numRef>
              <c:f>VOLLs!$U$10:$U$18</c:f>
              <c:numCache>
                <c:formatCode>General</c:formatCode>
                <c:ptCount val="9"/>
                <c:pt idx="0">
                  <c:v>4</c:v>
                </c:pt>
                <c:pt idx="1">
                  <c:v>13</c:v>
                </c:pt>
                <c:pt idx="2">
                  <c:v>26</c:v>
                </c:pt>
                <c:pt idx="3">
                  <c:v>31</c:v>
                </c:pt>
                <c:pt idx="4">
                  <c:v>59</c:v>
                </c:pt>
                <c:pt idx="5">
                  <c:v>68</c:v>
                </c:pt>
                <c:pt idx="6">
                  <c:v>89</c:v>
                </c:pt>
                <c:pt idx="7">
                  <c:v>97</c:v>
                </c:pt>
                <c:pt idx="8">
                  <c:v>100</c:v>
                </c:pt>
              </c:numCache>
            </c:numRef>
          </c:xVal>
          <c:yVal>
            <c:numRef>
              <c:f>VOLLs!$X$10:$X$18</c:f>
              <c:numCache>
                <c:formatCode>General</c:formatCode>
                <c:ptCount val="9"/>
                <c:pt idx="0">
                  <c:v>78082</c:v>
                </c:pt>
                <c:pt idx="1">
                  <c:v>75286.5</c:v>
                </c:pt>
                <c:pt idx="2" formatCode="0">
                  <c:v>56496</c:v>
                </c:pt>
                <c:pt idx="3" formatCode="0">
                  <c:v>50618</c:v>
                </c:pt>
                <c:pt idx="4" formatCode="0">
                  <c:v>44904</c:v>
                </c:pt>
                <c:pt idx="5" formatCode="0">
                  <c:v>33635</c:v>
                </c:pt>
                <c:pt idx="6" formatCode="0">
                  <c:v>28646.5</c:v>
                </c:pt>
                <c:pt idx="7" formatCode="0">
                  <c:v>27499.5</c:v>
                </c:pt>
                <c:pt idx="8" formatCode="0">
                  <c:v>19207.5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622-4965-B49B-03A4FD67D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473295"/>
        <c:axId val="57451375"/>
      </c:scatterChart>
      <c:valAx>
        <c:axId val="48473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Percentage</a:t>
                </a:r>
                <a:r>
                  <a:rPr lang="nl-NL" baseline="0"/>
                  <a:t> load</a:t>
                </a:r>
                <a:endParaRPr lang="nl-NL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57451375"/>
        <c:crosses val="autoZero"/>
        <c:crossBetween val="midCat"/>
      </c:valAx>
      <c:valAx>
        <c:axId val="57451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nl-NL"/>
                  <a:t>VOLL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48473295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yearlytechnologyPotentials2!$D$7:$D$11</c:f>
              <c:numCache>
                <c:formatCode>General</c:formatCode>
                <c:ptCount val="5"/>
                <c:pt idx="0">
                  <c:v>2019</c:v>
                </c:pt>
                <c:pt idx="1">
                  <c:v>2020</c:v>
                </c:pt>
                <c:pt idx="2">
                  <c:v>2030</c:v>
                </c:pt>
                <c:pt idx="3">
                  <c:v>2040</c:v>
                </c:pt>
                <c:pt idx="4">
                  <c:v>2050</c:v>
                </c:pt>
              </c:numCache>
            </c:numRef>
          </c:xVal>
          <c:yVal>
            <c:numRef>
              <c:f>yearlytechnologyPotentials2!$E$7:$E$11</c:f>
              <c:numCache>
                <c:formatCode>General</c:formatCode>
                <c:ptCount val="5"/>
                <c:pt idx="0">
                  <c:v>89450</c:v>
                </c:pt>
                <c:pt idx="1">
                  <c:v>69440</c:v>
                </c:pt>
                <c:pt idx="2">
                  <c:v>65680</c:v>
                </c:pt>
                <c:pt idx="3">
                  <c:v>64430.000000000007</c:v>
                </c:pt>
                <c:pt idx="4">
                  <c:v>68340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C3-41F7-A9ED-A75ED77A86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154192"/>
        <c:axId val="341150864"/>
      </c:scatterChart>
      <c:valAx>
        <c:axId val="341154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1150864"/>
        <c:crosses val="autoZero"/>
        <c:crossBetween val="midCat"/>
      </c:valAx>
      <c:valAx>
        <c:axId val="34115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341154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yearly</a:t>
            </a:r>
            <a:r>
              <a:rPr lang="en-GB" baseline="0"/>
              <a:t> </a:t>
            </a:r>
            <a:r>
              <a:rPr lang="en-GB"/>
              <a:t>Target investments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graphs!$B$1</c:f>
              <c:strCache>
                <c:ptCount val="1"/>
                <c:pt idx="0">
                  <c:v>windonshore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graphs!$A$2:$A$33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graphs!$B$2:$B$33</c:f>
              <c:numCache>
                <c:formatCode>0.0</c:formatCode>
                <c:ptCount val="32"/>
                <c:pt idx="0">
                  <c:v>290.54545454545456</c:v>
                </c:pt>
                <c:pt idx="1">
                  <c:v>290.54545454545456</c:v>
                </c:pt>
                <c:pt idx="2">
                  <c:v>290.54545454545456</c:v>
                </c:pt>
                <c:pt idx="3">
                  <c:v>290.54545454545456</c:v>
                </c:pt>
                <c:pt idx="4">
                  <c:v>290.54545454545456</c:v>
                </c:pt>
                <c:pt idx="5">
                  <c:v>290.54545454545456</c:v>
                </c:pt>
                <c:pt idx="6">
                  <c:v>290.54545454545456</c:v>
                </c:pt>
                <c:pt idx="7">
                  <c:v>290.54545454545456</c:v>
                </c:pt>
                <c:pt idx="8">
                  <c:v>290.54545454545456</c:v>
                </c:pt>
                <c:pt idx="9">
                  <c:v>290.54545454545456</c:v>
                </c:pt>
                <c:pt idx="10">
                  <c:v>290.54545454545456</c:v>
                </c:pt>
                <c:pt idx="11">
                  <c:v>228.4</c:v>
                </c:pt>
                <c:pt idx="12">
                  <c:v>228.4</c:v>
                </c:pt>
                <c:pt idx="13">
                  <c:v>228.4</c:v>
                </c:pt>
                <c:pt idx="14">
                  <c:v>228.4</c:v>
                </c:pt>
                <c:pt idx="15">
                  <c:v>228.4</c:v>
                </c:pt>
                <c:pt idx="16">
                  <c:v>228.4</c:v>
                </c:pt>
                <c:pt idx="17">
                  <c:v>228.4</c:v>
                </c:pt>
                <c:pt idx="18">
                  <c:v>228.4</c:v>
                </c:pt>
                <c:pt idx="19">
                  <c:v>228.4</c:v>
                </c:pt>
                <c:pt idx="20">
                  <c:v>228.4</c:v>
                </c:pt>
                <c:pt idx="21">
                  <c:v>228.4</c:v>
                </c:pt>
                <c:pt idx="22">
                  <c:v>228.4</c:v>
                </c:pt>
                <c:pt idx="23">
                  <c:v>228.4</c:v>
                </c:pt>
                <c:pt idx="24">
                  <c:v>228.4</c:v>
                </c:pt>
                <c:pt idx="25">
                  <c:v>228.4</c:v>
                </c:pt>
                <c:pt idx="26">
                  <c:v>228.4</c:v>
                </c:pt>
                <c:pt idx="27">
                  <c:v>228.4</c:v>
                </c:pt>
                <c:pt idx="28">
                  <c:v>228.4</c:v>
                </c:pt>
                <c:pt idx="29">
                  <c:v>228.4</c:v>
                </c:pt>
                <c:pt idx="30">
                  <c:v>228.4</c:v>
                </c:pt>
                <c:pt idx="31">
                  <c:v>228.4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1E-4797-A63D-CFAFFDAEDDA1}"/>
            </c:ext>
          </c:extLst>
        </c:ser>
        <c:ser>
          <c:idx val="1"/>
          <c:order val="1"/>
          <c:tx>
            <c:strRef>
              <c:f>graphs!$C$1</c:f>
              <c:strCache>
                <c:ptCount val="1"/>
                <c:pt idx="0">
                  <c:v>windoffshore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cat>
            <c:numRef>
              <c:f>graphs!$A$2:$A$33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graphs!$C$2:$C$33</c:f>
              <c:numCache>
                <c:formatCode>0.0</c:formatCode>
                <c:ptCount val="32"/>
                <c:pt idx="0">
                  <c:v>1821.6363636363637</c:v>
                </c:pt>
                <c:pt idx="1">
                  <c:v>1821.6363636363637</c:v>
                </c:pt>
                <c:pt idx="2">
                  <c:v>1821.6363636363637</c:v>
                </c:pt>
                <c:pt idx="3">
                  <c:v>1821.6363636363637</c:v>
                </c:pt>
                <c:pt idx="4">
                  <c:v>1821.6363636363637</c:v>
                </c:pt>
                <c:pt idx="5">
                  <c:v>1821.6363636363637</c:v>
                </c:pt>
                <c:pt idx="6">
                  <c:v>1821.6363636363637</c:v>
                </c:pt>
                <c:pt idx="7">
                  <c:v>1821.6363636363637</c:v>
                </c:pt>
                <c:pt idx="8">
                  <c:v>1821.6363636363637</c:v>
                </c:pt>
                <c:pt idx="9">
                  <c:v>1821.6363636363637</c:v>
                </c:pt>
                <c:pt idx="10">
                  <c:v>1821.6363636363637</c:v>
                </c:pt>
                <c:pt idx="11">
                  <c:v>2450</c:v>
                </c:pt>
                <c:pt idx="12">
                  <c:v>2450</c:v>
                </c:pt>
                <c:pt idx="13">
                  <c:v>2450</c:v>
                </c:pt>
                <c:pt idx="14">
                  <c:v>2450</c:v>
                </c:pt>
                <c:pt idx="15">
                  <c:v>2450</c:v>
                </c:pt>
                <c:pt idx="16">
                  <c:v>2450</c:v>
                </c:pt>
                <c:pt idx="17">
                  <c:v>2450</c:v>
                </c:pt>
                <c:pt idx="18">
                  <c:v>2450</c:v>
                </c:pt>
                <c:pt idx="19">
                  <c:v>2450</c:v>
                </c:pt>
                <c:pt idx="20">
                  <c:v>2450</c:v>
                </c:pt>
                <c:pt idx="21">
                  <c:v>2450</c:v>
                </c:pt>
                <c:pt idx="22">
                  <c:v>2450</c:v>
                </c:pt>
                <c:pt idx="23">
                  <c:v>2450</c:v>
                </c:pt>
                <c:pt idx="24">
                  <c:v>2450</c:v>
                </c:pt>
                <c:pt idx="25">
                  <c:v>2450</c:v>
                </c:pt>
                <c:pt idx="26">
                  <c:v>2450</c:v>
                </c:pt>
                <c:pt idx="27">
                  <c:v>2450</c:v>
                </c:pt>
                <c:pt idx="28">
                  <c:v>2450</c:v>
                </c:pt>
                <c:pt idx="29">
                  <c:v>2450</c:v>
                </c:pt>
                <c:pt idx="30">
                  <c:v>2450</c:v>
                </c:pt>
                <c:pt idx="31">
                  <c:v>2450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1E-4797-A63D-CFAFFDAEDDA1}"/>
            </c:ext>
          </c:extLst>
        </c:ser>
        <c:ser>
          <c:idx val="2"/>
          <c:order val="2"/>
          <c:tx>
            <c:strRef>
              <c:f>graphs!$D$1</c:f>
              <c:strCache>
                <c:ptCount val="1"/>
                <c:pt idx="0">
                  <c:v>PV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graphs!$A$2:$A$33</c:f>
              <c:numCache>
                <c:formatCode>General</c:formatCode>
                <c:ptCount val="32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  <c:pt idx="8">
                  <c:v>2027</c:v>
                </c:pt>
                <c:pt idx="9">
                  <c:v>2028</c:v>
                </c:pt>
                <c:pt idx="10">
                  <c:v>2029</c:v>
                </c:pt>
                <c:pt idx="11">
                  <c:v>2030</c:v>
                </c:pt>
                <c:pt idx="12">
                  <c:v>2031</c:v>
                </c:pt>
                <c:pt idx="13">
                  <c:v>2032</c:v>
                </c:pt>
                <c:pt idx="14">
                  <c:v>2033</c:v>
                </c:pt>
                <c:pt idx="15">
                  <c:v>2034</c:v>
                </c:pt>
                <c:pt idx="16">
                  <c:v>2035</c:v>
                </c:pt>
                <c:pt idx="17">
                  <c:v>2036</c:v>
                </c:pt>
                <c:pt idx="18">
                  <c:v>2037</c:v>
                </c:pt>
                <c:pt idx="19">
                  <c:v>2038</c:v>
                </c:pt>
                <c:pt idx="20">
                  <c:v>2039</c:v>
                </c:pt>
                <c:pt idx="21">
                  <c:v>2040</c:v>
                </c:pt>
                <c:pt idx="22">
                  <c:v>2041</c:v>
                </c:pt>
                <c:pt idx="23">
                  <c:v>2042</c:v>
                </c:pt>
                <c:pt idx="24">
                  <c:v>2043</c:v>
                </c:pt>
                <c:pt idx="25">
                  <c:v>2044</c:v>
                </c:pt>
                <c:pt idx="26">
                  <c:v>2045</c:v>
                </c:pt>
                <c:pt idx="27">
                  <c:v>2046</c:v>
                </c:pt>
                <c:pt idx="28">
                  <c:v>2047</c:v>
                </c:pt>
                <c:pt idx="29">
                  <c:v>2048</c:v>
                </c:pt>
                <c:pt idx="30">
                  <c:v>2049</c:v>
                </c:pt>
                <c:pt idx="31">
                  <c:v>2050</c:v>
                </c:pt>
              </c:numCache>
            </c:numRef>
          </c:cat>
          <c:val>
            <c:numRef>
              <c:f>graphs!$D$2:$D$33</c:f>
              <c:numCache>
                <c:formatCode>0.0</c:formatCode>
                <c:ptCount val="32"/>
                <c:pt idx="0">
                  <c:v>1724.3181818181818</c:v>
                </c:pt>
                <c:pt idx="1">
                  <c:v>1724.3181818181818</c:v>
                </c:pt>
                <c:pt idx="2">
                  <c:v>1724.3181818181818</c:v>
                </c:pt>
                <c:pt idx="3">
                  <c:v>1724.3181818181818</c:v>
                </c:pt>
                <c:pt idx="4">
                  <c:v>1724.3181818181818</c:v>
                </c:pt>
                <c:pt idx="5">
                  <c:v>1724.3181818181818</c:v>
                </c:pt>
                <c:pt idx="6">
                  <c:v>1724.3181818181818</c:v>
                </c:pt>
                <c:pt idx="7">
                  <c:v>1724.3181818181818</c:v>
                </c:pt>
                <c:pt idx="8">
                  <c:v>1724.3181818181818</c:v>
                </c:pt>
                <c:pt idx="9">
                  <c:v>1724.3181818181818</c:v>
                </c:pt>
                <c:pt idx="10">
                  <c:v>1724.3181818181818</c:v>
                </c:pt>
                <c:pt idx="11">
                  <c:v>3298.8249999999998</c:v>
                </c:pt>
                <c:pt idx="12">
                  <c:v>3298.8249999999998</c:v>
                </c:pt>
                <c:pt idx="13">
                  <c:v>3298.8249999999998</c:v>
                </c:pt>
                <c:pt idx="14">
                  <c:v>3298.8249999999998</c:v>
                </c:pt>
                <c:pt idx="15">
                  <c:v>3298.8249999999998</c:v>
                </c:pt>
                <c:pt idx="16">
                  <c:v>3298.8249999999998</c:v>
                </c:pt>
                <c:pt idx="17">
                  <c:v>3298.8249999999998</c:v>
                </c:pt>
                <c:pt idx="18">
                  <c:v>3298.8249999999998</c:v>
                </c:pt>
                <c:pt idx="19">
                  <c:v>3298.8249999999998</c:v>
                </c:pt>
                <c:pt idx="20">
                  <c:v>3298.8249999999998</c:v>
                </c:pt>
                <c:pt idx="21">
                  <c:v>3298.8249999999998</c:v>
                </c:pt>
                <c:pt idx="22">
                  <c:v>3298.8249999999998</c:v>
                </c:pt>
                <c:pt idx="23">
                  <c:v>3298.8249999999998</c:v>
                </c:pt>
                <c:pt idx="24">
                  <c:v>3298.8249999999998</c:v>
                </c:pt>
                <c:pt idx="25">
                  <c:v>3298.8249999999998</c:v>
                </c:pt>
                <c:pt idx="26">
                  <c:v>3298.8249999999998</c:v>
                </c:pt>
                <c:pt idx="27">
                  <c:v>3298.8249999999998</c:v>
                </c:pt>
                <c:pt idx="28">
                  <c:v>3298.8249999999998</c:v>
                </c:pt>
                <c:pt idx="29">
                  <c:v>3298.8249999999998</c:v>
                </c:pt>
                <c:pt idx="30">
                  <c:v>3298.8249999999998</c:v>
                </c:pt>
                <c:pt idx="31">
                  <c:v>3298.8249999999998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1E-4797-A63D-CFAFFDAEDD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9437152"/>
        <c:axId val="1389430912"/>
      </c:areaChart>
      <c:catAx>
        <c:axId val="138943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430912"/>
        <c:crosses val="autoZero"/>
        <c:auto val="1"/>
        <c:lblAlgn val="ctr"/>
        <c:lblOffset val="100"/>
        <c:noMultiLvlLbl val="0"/>
      </c:catAx>
      <c:valAx>
        <c:axId val="13894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389437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jpe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9</xdr:row>
      <xdr:rowOff>126686</xdr:rowOff>
    </xdr:from>
    <xdr:to>
      <xdr:col>12</xdr:col>
      <xdr:colOff>73200</xdr:colOff>
      <xdr:row>21</xdr:row>
      <xdr:rowOff>2201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3A63393-80C2-4816-B343-8132E90CD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00875" y="1841186"/>
          <a:ext cx="3730799" cy="2161515"/>
        </a:xfrm>
        <a:prstGeom prst="rect">
          <a:avLst/>
        </a:prstGeom>
      </xdr:spPr>
    </xdr:pic>
    <xdr:clientData/>
  </xdr:twoCellAnchor>
  <xdr:twoCellAnchor editAs="oneCell">
    <xdr:from>
      <xdr:col>13</xdr:col>
      <xdr:colOff>262836</xdr:colOff>
      <xdr:row>8</xdr:row>
      <xdr:rowOff>0</xdr:rowOff>
    </xdr:from>
    <xdr:to>
      <xdr:col>17</xdr:col>
      <xdr:colOff>605191</xdr:colOff>
      <xdr:row>21</xdr:row>
      <xdr:rowOff>97189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8ED80BE-C67D-4A8C-808B-21BCE7A01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30911" y="1524000"/>
          <a:ext cx="2780755" cy="2573689"/>
        </a:xfrm>
        <a:prstGeom prst="rect">
          <a:avLst/>
        </a:prstGeom>
      </xdr:spPr>
    </xdr:pic>
    <xdr:clientData/>
  </xdr:twoCellAnchor>
  <xdr:twoCellAnchor>
    <xdr:from>
      <xdr:col>7</xdr:col>
      <xdr:colOff>498475</xdr:colOff>
      <xdr:row>23</xdr:row>
      <xdr:rowOff>130175</xdr:rowOff>
    </xdr:from>
    <xdr:to>
      <xdr:col>15</xdr:col>
      <xdr:colOff>193675</xdr:colOff>
      <xdr:row>38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C342C3-8A0C-A74F-75CA-0A3EF32B8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28575</xdr:colOff>
      <xdr:row>19</xdr:row>
      <xdr:rowOff>34925</xdr:rowOff>
    </xdr:from>
    <xdr:to>
      <xdr:col>21</xdr:col>
      <xdr:colOff>333375</xdr:colOff>
      <xdr:row>33</xdr:row>
      <xdr:rowOff>111125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7907B4-DD91-D817-D660-F45C7FF849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542924</xdr:colOff>
      <xdr:row>6</xdr:row>
      <xdr:rowOff>85502</xdr:rowOff>
    </xdr:from>
    <xdr:to>
      <xdr:col>20</xdr:col>
      <xdr:colOff>351101</xdr:colOff>
      <xdr:row>15</xdr:row>
      <xdr:rowOff>66196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01C6A8-0173-EE5A-8469-E1660C1C5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48799" y="1228502"/>
          <a:ext cx="4684977" cy="16951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368300</xdr:colOff>
      <xdr:row>2</xdr:row>
      <xdr:rowOff>87312</xdr:rowOff>
    </xdr:from>
    <xdr:to>
      <xdr:col>21</xdr:col>
      <xdr:colOff>63500</xdr:colOff>
      <xdr:row>17</xdr:row>
      <xdr:rowOff>125412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19C596-828B-8011-CBF1-C5675D9C5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196850</xdr:colOff>
      <xdr:row>19</xdr:row>
      <xdr:rowOff>1587</xdr:rowOff>
    </xdr:from>
    <xdr:to>
      <xdr:col>21</xdr:col>
      <xdr:colOff>501650</xdr:colOff>
      <xdr:row>34</xdr:row>
      <xdr:rowOff>36512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9F70D7-D932-2C9E-6E43-870ED1EA1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104776</xdr:colOff>
      <xdr:row>1</xdr:row>
      <xdr:rowOff>47625</xdr:rowOff>
    </xdr:from>
    <xdr:to>
      <xdr:col>6</xdr:col>
      <xdr:colOff>593048</xdr:colOff>
      <xdr:row>15</xdr:row>
      <xdr:rowOff>75442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6B368D-C84C-F4F9-F254-09079591C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4776" y="238125"/>
          <a:ext cx="4145872" cy="269481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1752600</xdr:colOff>
      <xdr:row>17</xdr:row>
      <xdr:rowOff>80962</xdr:rowOff>
    </xdr:from>
    <xdr:to>
      <xdr:col>5</xdr:col>
      <xdr:colOff>285750</xdr:colOff>
      <xdr:row>31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9957C4-E85B-88D5-B539-E4A96B2DC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434975</xdr:colOff>
      <xdr:row>13</xdr:row>
      <xdr:rowOff>161925</xdr:rowOff>
    </xdr:from>
    <xdr:to>
      <xdr:col>10</xdr:col>
      <xdr:colOff>962026</xdr:colOff>
      <xdr:row>26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178E40-E84F-4391-96C1-4E89D1FAC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1377950</xdr:colOff>
      <xdr:row>30</xdr:row>
      <xdr:rowOff>44450</xdr:rowOff>
    </xdr:from>
    <xdr:to>
      <xdr:col>13</xdr:col>
      <xdr:colOff>838200</xdr:colOff>
      <xdr:row>43</xdr:row>
      <xdr:rowOff>66675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A800C7-309C-4A80-B887-9F25218619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42496</xdr:colOff>
      <xdr:row>21</xdr:row>
      <xdr:rowOff>175847</xdr:rowOff>
    </xdr:from>
    <xdr:to>
      <xdr:col>14</xdr:col>
      <xdr:colOff>373674</xdr:colOff>
      <xdr:row>29</xdr:row>
      <xdr:rowOff>59593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0704713-6937-4E6B-B4BE-A7D0863F3D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534552</xdr:colOff>
      <xdr:row>18</xdr:row>
      <xdr:rowOff>170008</xdr:rowOff>
    </xdr:from>
    <xdr:to>
      <xdr:col>26</xdr:col>
      <xdr:colOff>850456</xdr:colOff>
      <xdr:row>33</xdr:row>
      <xdr:rowOff>54689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D24A65F-276B-4675-83CC-50DD16C917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606425</xdr:colOff>
      <xdr:row>4</xdr:row>
      <xdr:rowOff>95250</xdr:rowOff>
    </xdr:from>
    <xdr:to>
      <xdr:col>23</xdr:col>
      <xdr:colOff>301625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9A040A-8711-42B4-A4A8-6AF0E5D01A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266700</xdr:colOff>
      <xdr:row>11</xdr:row>
      <xdr:rowOff>176212</xdr:rowOff>
    </xdr:from>
    <xdr:to>
      <xdr:col>17</xdr:col>
      <xdr:colOff>571500</xdr:colOff>
      <xdr:row>27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96A9A1-28A6-1C05-F442-D9CB3833C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11</xdr:col>
      <xdr:colOff>313600</xdr:colOff>
      <xdr:row>17</xdr:row>
      <xdr:rowOff>139314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0F1C4A-82D4-64C9-5F89-C3C1F3480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184150"/>
          <a:ext cx="5800000" cy="3085714"/>
        </a:xfrm>
        <a:prstGeom prst="rect">
          <a:avLst/>
        </a:prstGeom>
      </xdr:spPr>
    </xdr:pic>
    <xdr:clientData/>
  </xdr:twoCellAnchor>
  <xdr:twoCellAnchor editAs="oneCell">
    <xdr:from>
      <xdr:col>12</xdr:col>
      <xdr:colOff>387350</xdr:colOff>
      <xdr:row>4</xdr:row>
      <xdr:rowOff>26990</xdr:rowOff>
    </xdr:from>
    <xdr:to>
      <xdr:col>16</xdr:col>
      <xdr:colOff>508000</xdr:colOff>
      <xdr:row>15</xdr:row>
      <xdr:rowOff>171450</xdr:rowOff>
    </xdr:to>
    <xdr:pic>
      <xdr:nvPicPr>
        <xdr:cNvPr id="3" name="Picture 2" descr="Fig. 3">
          <a:extLst>
            <a:ext uri="{FF2B5EF4-FFF2-40B4-BE49-F238E27FC236}">
              <a16:creationId xmlns:a16="http://schemas.microsoft.com/office/drawing/2014/main" id="{4C948B8A-20B2-DCBC-A4C9-220B97D7F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02550" y="763590"/>
          <a:ext cx="2559050" cy="2170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18</xdr:row>
      <xdr:rowOff>190499</xdr:rowOff>
    </xdr:from>
    <xdr:to>
      <xdr:col>13</xdr:col>
      <xdr:colOff>390525</xdr:colOff>
      <xdr:row>41</xdr:row>
      <xdr:rowOff>85724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4B4BBF-4A26-41CC-B135-94BD4B7804AC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2438400" y="3619499"/>
          <a:ext cx="5876925" cy="4276725"/>
        </a:xfrm>
        <a:prstGeom prst="rect">
          <a:avLst/>
        </a:prstGeom>
        <a:ln w="0"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Ingrid Sanchez Jimenez" id="{9E95C7A5-7FDF-48FF-95DD-9C4C7D0F3D8F}" userId="S::isanchezjimene@tudelft.nl::cc90341c-89c3-4988-92a9-0175758ccb6e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2-05-12T13:01:42.03" personId="{9E95C7A5-7FDF-48FF-95DD-9C4C7D0F3D8F}" id="{6FC8EE55-4615-4678-B777-D2D250B8803A}">
    <text>the ones in purple are not yet in amiris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" dT="2022-07-13T17:04:35.82" personId="{9E95C7A5-7FDF-48FF-95DD-9C4C7D0F3D8F}" id="{AA507AE8-0B1A-4FD5-85B8-396AD49362CB}">
    <text>this is for the triangular trend. To make montecarlo simulations of future prices</text>
  </threadedComment>
  <threadedComment ref="C1" dT="2022-05-12T13:01:42.03" personId="{9E95C7A5-7FDF-48FF-95DD-9C4C7D0F3D8F}" id="{CB92AA55-3A07-470B-9A26-A7FF27D2D2A4}">
    <text>This data cannot be yet changed in Amiris</text>
  </threadedComment>
  <threadedComment ref="B9" dT="2022-04-06T15:22:46.27" personId="{9E95C7A5-7FDF-48FF-95DD-9C4C7D0F3D8F}" id="{43FC892D-71D1-4868-BD9A-A88CFE0C563E}">
    <text>same as biomass?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" dT="2024-02-27T17:50:18.29" personId="{9E95C7A5-7FDF-48FF-95DD-9C4C7D0F3D8F}" id="{18927A67-964C-45B5-B27F-BD1FE2FFE04A}">
    <text xml:space="preserve">For AMIRIS
</text>
  </threadedComment>
  <threadedComment ref="C1" dT="2022-06-08T21:52:01.09" personId="{9E95C7A5-7FDF-48FF-95DD-9C4C7D0F3D8F}" id="{3949E0A6-8CDE-4DF2-B3C3-D5D5CF7D5450}">
    <text>must be  at least 1, later change downpayment to</text>
  </threadedComment>
  <threadedComment ref="D1" dT="2022-10-04T18:40:06.76" personId="{9E95C7A5-7FDF-48FF-95DD-9C4C7D0F3D8F}" id="{0BD8E1A9-9574-4916-A03F-F4F4EFBC5243}">
    <text>permit must be at least 1 because dowpayment happen after the first year</text>
  </threadedComment>
  <threadedComment ref="H1" dT="2022-03-02T09:21:14.78" personId="{9E95C7A5-7FDF-48FF-95DD-9C4C7D0F3D8F}" id="{3F82BEFE-3858-4198-984F-A2165197D0C4}">
    <text>CHECK fuels assigned in traderes</text>
  </threadedComment>
  <threadedComment ref="O1" dT="2022-06-08T21:52:01.09" personId="{9E95C7A5-7FDF-48FF-95DD-9C4C7D0F3D8F}" id="{81BA12EC-87B6-4F63-88B8-8B70CD12E2EF}">
    <text>must be  at least 1, later change downpayment to</text>
  </threadedComment>
  <threadedComment ref="P1" dT="2022-10-04T18:40:06.76" personId="{9E95C7A5-7FDF-48FF-95DD-9C4C7D0F3D8F}" id="{0D72634B-03FD-454E-9D84-E275C6836F74}">
    <text>permit must be at least 1 because dowpayment happen after the first year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" dT="2023-03-24T11:01:03.12" personId="{9E95C7A5-7FDF-48FF-95DD-9C4C7D0F3D8F}" id="{078A54F6-6EDB-49A6-AECC-3BEAECAF3AE2}">
    <text xml:space="preserve">Geometric trend
</text>
  </threadedComment>
  <threadedComment ref="D1" dT="2023-03-24T11:01:03.12" personId="{9E95C7A5-7FDF-48FF-95DD-9C4C7D0F3D8F}" id="{5CEB2FE5-73DE-4667-B8DE-F7014F0CF8B6}">
    <text xml:space="preserve">Geometric trend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K7" dT="2023-11-09T16:08:32.41" personId="{9E95C7A5-7FDF-48FF-95DD-9C4C7D0F3D8F}" id="{8E362372-BCF5-4467-AF0F-2B103CBCDCB7}">
    <text>Price defined in prices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M7" dT="2023-11-09T16:08:32.41" personId="{9E95C7A5-7FDF-48FF-95DD-9C4C7D0F3D8F}" id="{5BA2F6DA-DC7C-4DCC-8D28-9D13E308C53C}">
    <text>Price defined in prices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I7" dT="2023-11-09T16:08:32.41" personId="{9E95C7A5-7FDF-48FF-95DD-9C4C7D0F3D8F}" id="{7B5C1F1F-6E4E-4576-9930-0CFA28794271}">
    <text>Price defined in prices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B6" dT="2023-11-09T16:08:32.41" personId="{9E95C7A5-7FDF-48FF-95DD-9C4C7D0F3D8F}" id="{439FB901-8C7B-48ED-B330-69D5DEF8E398}">
    <text>Price defined in prices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D1" dT="2022-11-25T14:28:38.44" personId="{9E95C7A5-7FDF-48FF-95DD-9C4C7D0F3D8F}" id="{715A2674-18CA-48E7-9836-1CBA31E2418B}">
    <text>Total = limit for all years. For the ones with year, data is interpolated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O5" dT="2022-04-13T10:51:22.89" personId="{9E95C7A5-7FDF-48FF-95DD-9C4C7D0F3D8F}" id="{143BCABF-188A-4BBA-A069-8744AC9050DD}">
    <text>no idea for which nodes are these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H1" dT="2022-03-15T18:01:03.58" personId="{9E95C7A5-7FDF-48FF-95DD-9C4C7D0F3D8F}" id="{2FFCCCAA-EA7E-4AAF-8987-298D7E84D90A}">
    <text>from BNetza</text>
  </threadedComment>
  <threadedComment ref="H1" dT="2022-03-15T18:42:29.07" personId="{9E95C7A5-7FDF-48FF-95DD-9C4C7D0F3D8F}" id="{C6EE6F31-80BD-480C-814F-9732C0C747C9}" parentId="{2FFCCCAA-EA7E-4AAF-8987-298D7E84D90A}">
    <text>took a value on the ranger, but big enough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3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6.xml"/></Relationships>
</file>

<file path=xl/worksheets/_rels/sheet3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7.xml"/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8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Relationship Id="rId5" Type="http://schemas.microsoft.com/office/2017/10/relationships/threadedComment" Target="../threadedComments/threadedComment9.xml"/><Relationship Id="rId4" Type="http://schemas.openxmlformats.org/officeDocument/2006/relationships/comments" Target="../comments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0.xml"/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0.bin"/><Relationship Id="rId4" Type="http://schemas.microsoft.com/office/2017/10/relationships/threadedComment" Target="../threadedComments/threadedComment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FC4C3-33F4-4CAA-A337-843491645352}">
  <sheetPr>
    <tabColor rgb="FFC00000"/>
  </sheetPr>
  <dimension ref="A1:E63"/>
  <sheetViews>
    <sheetView zoomScale="85" zoomScaleNormal="85" workbookViewId="0">
      <pane ySplit="6" topLeftCell="A22" activePane="bottomLeft" state="frozen"/>
      <selection pane="bottomLeft" activeCell="F60" sqref="F60"/>
    </sheetView>
  </sheetViews>
  <sheetFormatPr defaultRowHeight="15"/>
  <cols>
    <col min="1" max="1" width="31.85546875" customWidth="1"/>
    <col min="2" max="2" width="46.7109375" customWidth="1"/>
    <col min="3" max="3" width="60.42578125" customWidth="1"/>
    <col min="4" max="4" width="60.7109375" customWidth="1"/>
    <col min="5" max="5" width="12.5703125" customWidth="1"/>
    <col min="6" max="6" width="14.42578125" customWidth="1"/>
    <col min="9" max="9" width="13.42578125" customWidth="1"/>
  </cols>
  <sheetData>
    <row r="1" spans="1:5">
      <c r="A1" s="3" t="s">
        <v>0</v>
      </c>
      <c r="B1" t="s">
        <v>1</v>
      </c>
    </row>
    <row r="2" spans="1:5">
      <c r="A2" s="6" t="s">
        <v>2</v>
      </c>
      <c r="B2" t="s">
        <v>3</v>
      </c>
    </row>
    <row r="3" spans="1:5">
      <c r="A3" s="21" t="s">
        <v>4</v>
      </c>
      <c r="B3" t="s">
        <v>5</v>
      </c>
    </row>
    <row r="4" spans="1:5">
      <c r="A4" s="33" t="s">
        <v>6</v>
      </c>
      <c r="B4" t="s">
        <v>7</v>
      </c>
    </row>
    <row r="6" spans="1:5">
      <c r="A6" s="13"/>
      <c r="B6" s="13" t="s">
        <v>8</v>
      </c>
      <c r="C6" s="13" t="s">
        <v>9</v>
      </c>
      <c r="D6" s="13" t="s">
        <v>10</v>
      </c>
      <c r="E6" s="13" t="s">
        <v>11</v>
      </c>
    </row>
    <row r="7" spans="1:5">
      <c r="A7" s="13" t="s">
        <v>12</v>
      </c>
      <c r="B7" s="13" t="s">
        <v>13</v>
      </c>
      <c r="C7" s="13" t="s">
        <v>14</v>
      </c>
      <c r="D7" s="13"/>
      <c r="E7" s="13"/>
    </row>
    <row r="8" spans="1:5">
      <c r="A8" s="13"/>
      <c r="B8" s="13" t="s">
        <v>15</v>
      </c>
      <c r="C8" s="13" t="s">
        <v>16</v>
      </c>
      <c r="D8" s="13"/>
      <c r="E8" s="13"/>
    </row>
    <row r="9" spans="1:5">
      <c r="B9" s="19" t="s">
        <v>17</v>
      </c>
      <c r="C9" s="13" t="s">
        <v>18</v>
      </c>
      <c r="D9" s="13"/>
      <c r="E9" s="13"/>
    </row>
    <row r="10" spans="1:5">
      <c r="B10" s="13" t="s">
        <v>19</v>
      </c>
      <c r="C10" s="13"/>
      <c r="D10" s="13"/>
      <c r="E10" s="13"/>
    </row>
    <row r="11" spans="1:5">
      <c r="B11" s="13" t="s">
        <v>20</v>
      </c>
      <c r="C11" s="13" t="s">
        <v>21</v>
      </c>
      <c r="D11" s="13"/>
      <c r="E11" s="13"/>
    </row>
    <row r="12" spans="1:5">
      <c r="A12" s="13" t="s">
        <v>22</v>
      </c>
      <c r="B12" s="6" t="s">
        <v>23</v>
      </c>
      <c r="C12" s="13" t="s">
        <v>24</v>
      </c>
      <c r="D12" s="13"/>
      <c r="E12" s="13"/>
    </row>
    <row r="13" spans="1:5">
      <c r="A13" s="13"/>
      <c r="B13" s="6" t="s">
        <v>25</v>
      </c>
      <c r="C13" s="13" t="s">
        <v>24</v>
      </c>
      <c r="D13" s="13"/>
    </row>
    <row r="14" spans="1:5">
      <c r="A14" s="13"/>
      <c r="B14" s="6" t="s">
        <v>26</v>
      </c>
      <c r="C14" s="13" t="s">
        <v>24</v>
      </c>
      <c r="D14" s="13"/>
      <c r="E14" s="13"/>
    </row>
    <row r="15" spans="1:5">
      <c r="A15" s="13"/>
      <c r="B15" s="6" t="s">
        <v>27</v>
      </c>
      <c r="C15" s="13" t="s">
        <v>28</v>
      </c>
      <c r="D15" s="13"/>
      <c r="E15" s="13"/>
    </row>
    <row r="16" spans="1:5">
      <c r="A16" s="13"/>
      <c r="B16" s="6" t="s">
        <v>29</v>
      </c>
      <c r="C16" s="13" t="s">
        <v>30</v>
      </c>
      <c r="D16" s="13"/>
      <c r="E16" s="13"/>
    </row>
    <row r="17" spans="1:5">
      <c r="A17" s="13"/>
      <c r="B17" s="6" t="s">
        <v>31</v>
      </c>
      <c r="C17" s="13" t="s">
        <v>32</v>
      </c>
      <c r="D17" s="13"/>
      <c r="E17" s="13"/>
    </row>
    <row r="18" spans="1:5">
      <c r="A18" s="13"/>
      <c r="B18" s="13" t="s">
        <v>33</v>
      </c>
      <c r="C18" s="13"/>
      <c r="D18" s="13"/>
      <c r="E18" s="13"/>
    </row>
    <row r="19" spans="1:5">
      <c r="A19" s="13"/>
      <c r="B19" s="13" t="s">
        <v>34</v>
      </c>
      <c r="C19" s="13" t="s">
        <v>35</v>
      </c>
      <c r="D19" s="13" t="s">
        <v>36</v>
      </c>
      <c r="E19" s="13"/>
    </row>
    <row r="20" spans="1:5">
      <c r="A20" s="13"/>
      <c r="B20" s="13" t="s">
        <v>37</v>
      </c>
      <c r="C20" s="13"/>
      <c r="D20" s="13" t="s">
        <v>36</v>
      </c>
      <c r="E20" s="13"/>
    </row>
    <row r="21" spans="1:5">
      <c r="A21" s="13"/>
      <c r="B21" s="13" t="s">
        <v>38</v>
      </c>
      <c r="C21" s="13" t="s">
        <v>39</v>
      </c>
      <c r="D21" s="13" t="s">
        <v>36</v>
      </c>
      <c r="E21" s="13"/>
    </row>
    <row r="22" spans="1:5">
      <c r="A22" s="13"/>
      <c r="B22" s="13" t="s">
        <v>40</v>
      </c>
      <c r="C22" s="13" t="s">
        <v>41</v>
      </c>
      <c r="D22" s="13" t="s">
        <v>36</v>
      </c>
      <c r="E22" s="13"/>
    </row>
    <row r="23" spans="1:5">
      <c r="A23" s="13"/>
      <c r="B23" s="13" t="s">
        <v>42</v>
      </c>
      <c r="C23" s="18" t="s">
        <v>43</v>
      </c>
      <c r="D23" s="13" t="s">
        <v>36</v>
      </c>
      <c r="E23" s="13"/>
    </row>
    <row r="24" spans="1:5">
      <c r="A24" s="13"/>
      <c r="B24" s="13" t="s">
        <v>44</v>
      </c>
      <c r="C24" s="13" t="s">
        <v>45</v>
      </c>
      <c r="D24" s="13" t="s">
        <v>36</v>
      </c>
    </row>
    <row r="25" spans="1:5">
      <c r="A25" s="13"/>
      <c r="B25" s="13" t="s">
        <v>46</v>
      </c>
      <c r="C25" s="13" t="s">
        <v>45</v>
      </c>
      <c r="D25" s="13"/>
      <c r="E25" s="13"/>
    </row>
    <row r="26" spans="1:5">
      <c r="A26" s="13"/>
      <c r="B26" s="13" t="s">
        <v>47</v>
      </c>
      <c r="C26" s="13" t="s">
        <v>45</v>
      </c>
      <c r="D26" s="13"/>
      <c r="E26" s="13"/>
    </row>
    <row r="27" spans="1:5" ht="17.100000000000001" customHeight="1">
      <c r="A27" s="13"/>
      <c r="B27" s="13" t="s">
        <v>48</v>
      </c>
      <c r="C27" s="13"/>
      <c r="D27" s="13" t="s">
        <v>49</v>
      </c>
      <c r="E27" s="13"/>
    </row>
    <row r="28" spans="1:5">
      <c r="A28" s="13" t="s">
        <v>50</v>
      </c>
      <c r="B28" s="19" t="s">
        <v>51</v>
      </c>
      <c r="C28" s="13" t="s">
        <v>52</v>
      </c>
      <c r="D28" s="13"/>
      <c r="E28" s="13"/>
    </row>
    <row r="29" spans="1:5">
      <c r="A29" s="13"/>
      <c r="B29" s="13" t="s">
        <v>53</v>
      </c>
      <c r="C29" s="13" t="s">
        <v>54</v>
      </c>
      <c r="D29" s="13" t="s">
        <v>36</v>
      </c>
      <c r="E29" s="13"/>
    </row>
    <row r="30" spans="1:5">
      <c r="A30" s="13"/>
      <c r="B30" s="13" t="s">
        <v>55</v>
      </c>
      <c r="C30" s="13"/>
      <c r="D30" s="13"/>
      <c r="E30" s="13"/>
    </row>
    <row r="31" spans="1:5">
      <c r="A31" s="13"/>
      <c r="B31" s="13" t="s">
        <v>56</v>
      </c>
      <c r="C31" s="13"/>
      <c r="D31" s="13"/>
      <c r="E31" s="13"/>
    </row>
    <row r="32" spans="1:5">
      <c r="A32" s="13" t="s">
        <v>57</v>
      </c>
      <c r="B32" s="13" t="s">
        <v>53</v>
      </c>
      <c r="C32" s="13" t="s">
        <v>54</v>
      </c>
      <c r="D32" s="13" t="s">
        <v>36</v>
      </c>
      <c r="E32" s="13"/>
    </row>
    <row r="33" spans="1:5">
      <c r="A33" s="13" t="s">
        <v>58</v>
      </c>
      <c r="B33" s="13" t="s">
        <v>59</v>
      </c>
      <c r="C33" s="13"/>
      <c r="D33" s="13"/>
      <c r="E33" s="13"/>
    </row>
    <row r="34" spans="1:5">
      <c r="A34" s="13" t="s">
        <v>60</v>
      </c>
      <c r="B34" s="13" t="s">
        <v>61</v>
      </c>
      <c r="C34" s="13" t="s">
        <v>62</v>
      </c>
      <c r="D34" s="13"/>
      <c r="E34" s="13"/>
    </row>
    <row r="35" spans="1:5">
      <c r="A35" s="13"/>
      <c r="B35" s="13" t="s">
        <v>63</v>
      </c>
      <c r="C35" s="13" t="s">
        <v>62</v>
      </c>
      <c r="D35" s="13"/>
      <c r="E35" s="13"/>
    </row>
    <row r="36" spans="1:5">
      <c r="A36" s="13"/>
      <c r="B36" s="13" t="s">
        <v>64</v>
      </c>
      <c r="C36" s="13" t="s">
        <v>62</v>
      </c>
      <c r="D36" s="13"/>
      <c r="E36" s="13"/>
    </row>
    <row r="37" spans="1:5">
      <c r="A37" s="13"/>
      <c r="B37" s="13" t="s">
        <v>65</v>
      </c>
      <c r="C37" s="13" t="s">
        <v>62</v>
      </c>
      <c r="D37" s="13"/>
      <c r="E37" s="13"/>
    </row>
    <row r="38" spans="1:5">
      <c r="A38" s="13"/>
      <c r="B38" s="13" t="s">
        <v>66</v>
      </c>
      <c r="C38" s="13" t="s">
        <v>62</v>
      </c>
      <c r="D38" s="13"/>
      <c r="E38" s="13"/>
    </row>
    <row r="39" spans="1:5">
      <c r="A39" s="13" t="s">
        <v>67</v>
      </c>
      <c r="B39" s="13" t="s">
        <v>68</v>
      </c>
      <c r="C39" s="13"/>
      <c r="D39" s="13" t="s">
        <v>36</v>
      </c>
      <c r="E39" s="13"/>
    </row>
    <row r="40" spans="1:5">
      <c r="A40" s="13"/>
      <c r="B40" s="13" t="s">
        <v>69</v>
      </c>
      <c r="C40" s="13"/>
      <c r="D40" s="13" t="s">
        <v>36</v>
      </c>
      <c r="E40" s="13"/>
    </row>
    <row r="41" spans="1:5">
      <c r="A41" s="13"/>
      <c r="B41" s="13" t="s">
        <v>70</v>
      </c>
      <c r="C41" s="13"/>
      <c r="D41" s="13" t="s">
        <v>36</v>
      </c>
      <c r="E41" s="13"/>
    </row>
    <row r="42" spans="1:5">
      <c r="A42" s="13"/>
      <c r="B42" s="13" t="s">
        <v>71</v>
      </c>
      <c r="C42" s="13"/>
      <c r="D42" s="13" t="s">
        <v>36</v>
      </c>
      <c r="E42" s="13"/>
    </row>
    <row r="43" spans="1:5">
      <c r="A43" s="13"/>
      <c r="B43" s="13" t="s">
        <v>72</v>
      </c>
      <c r="C43" s="13" t="s">
        <v>73</v>
      </c>
      <c r="D43" s="13" t="s">
        <v>36</v>
      </c>
      <c r="E43" s="13"/>
    </row>
    <row r="44" spans="1:5">
      <c r="A44" s="13" t="s">
        <v>74</v>
      </c>
      <c r="B44" s="13" t="s">
        <v>75</v>
      </c>
      <c r="C44" s="13"/>
      <c r="D44" s="13" t="s">
        <v>36</v>
      </c>
      <c r="E44" s="13"/>
    </row>
    <row r="45" spans="1:5">
      <c r="A45" s="13"/>
      <c r="B45" s="13" t="s">
        <v>76</v>
      </c>
      <c r="C45" s="13"/>
      <c r="D45" s="13" t="s">
        <v>36</v>
      </c>
      <c r="E45" s="13"/>
    </row>
    <row r="46" spans="1:5">
      <c r="A46" s="13"/>
      <c r="B46" s="13" t="s">
        <v>77</v>
      </c>
      <c r="C46" s="13"/>
      <c r="D46" s="13" t="s">
        <v>36</v>
      </c>
      <c r="E46" s="13"/>
    </row>
    <row r="47" spans="1:5">
      <c r="A47" s="13"/>
      <c r="B47" s="13" t="s">
        <v>78</v>
      </c>
      <c r="C47" s="13"/>
      <c r="D47" s="13" t="s">
        <v>36</v>
      </c>
      <c r="E47" s="13"/>
    </row>
    <row r="48" spans="1:5">
      <c r="A48" s="13" t="s">
        <v>79</v>
      </c>
      <c r="B48" s="13" t="s">
        <v>80</v>
      </c>
      <c r="C48" s="13"/>
      <c r="D48" s="13" t="s">
        <v>36</v>
      </c>
      <c r="E48" s="13"/>
    </row>
    <row r="49" spans="1:5">
      <c r="A49" s="13"/>
      <c r="B49" s="13" t="s">
        <v>81</v>
      </c>
      <c r="C49" s="13"/>
      <c r="D49" s="13" t="s">
        <v>36</v>
      </c>
      <c r="E49" s="13"/>
    </row>
    <row r="50" spans="1:5">
      <c r="A50" s="13" t="s">
        <v>79</v>
      </c>
      <c r="B50" s="13" t="s">
        <v>82</v>
      </c>
      <c r="C50" s="13" t="s">
        <v>83</v>
      </c>
      <c r="D50" s="13" t="s">
        <v>36</v>
      </c>
      <c r="E50" s="13"/>
    </row>
    <row r="51" spans="1:5">
      <c r="A51" s="13" t="s">
        <v>84</v>
      </c>
      <c r="B51" s="13" t="s">
        <v>85</v>
      </c>
      <c r="C51" s="13" t="s">
        <v>86</v>
      </c>
      <c r="D51" s="13" t="s">
        <v>36</v>
      </c>
      <c r="E51" s="13"/>
    </row>
    <row r="52" spans="1:5">
      <c r="A52" s="13"/>
      <c r="B52" s="13" t="s">
        <v>87</v>
      </c>
      <c r="C52" s="13" t="s">
        <v>86</v>
      </c>
      <c r="D52" s="13" t="s">
        <v>36</v>
      </c>
      <c r="E52" s="13"/>
    </row>
    <row r="53" spans="1:5">
      <c r="A53" s="13"/>
      <c r="B53" s="13" t="s">
        <v>88</v>
      </c>
      <c r="C53" s="13" t="s">
        <v>86</v>
      </c>
      <c r="D53" s="13" t="s">
        <v>36</v>
      </c>
      <c r="E53" s="13"/>
    </row>
    <row r="54" spans="1:5">
      <c r="A54" s="13"/>
      <c r="B54" s="13" t="s">
        <v>89</v>
      </c>
      <c r="C54" s="13" t="s">
        <v>86</v>
      </c>
      <c r="D54" s="13" t="s">
        <v>36</v>
      </c>
      <c r="E54" s="13"/>
    </row>
    <row r="55" spans="1:5">
      <c r="A55" s="13"/>
      <c r="B55" s="13" t="s">
        <v>90</v>
      </c>
      <c r="C55" s="13" t="s">
        <v>86</v>
      </c>
      <c r="D55" s="13" t="s">
        <v>36</v>
      </c>
      <c r="E55" s="13"/>
    </row>
    <row r="56" spans="1:5">
      <c r="A56" t="s">
        <v>91</v>
      </c>
      <c r="C56" s="18" t="s">
        <v>92</v>
      </c>
    </row>
    <row r="57" spans="1:5">
      <c r="A57" t="s">
        <v>93</v>
      </c>
      <c r="C57" s="18" t="s">
        <v>94</v>
      </c>
    </row>
    <row r="62" spans="1:5" ht="18.75">
      <c r="A62" s="12"/>
      <c r="B62" s="12"/>
      <c r="C62" s="12"/>
    </row>
    <row r="63" spans="1:5">
      <c r="A63" s="9"/>
      <c r="B63" s="9"/>
      <c r="C63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A7C04-5449-4334-8D14-4B3B4084D5FB}">
  <sheetPr>
    <tabColor theme="7" tint="0.79998168889431442"/>
  </sheetPr>
  <dimension ref="A1:G23"/>
  <sheetViews>
    <sheetView zoomScaleNormal="100" workbookViewId="0">
      <selection activeCell="F40" sqref="F40"/>
    </sheetView>
  </sheetViews>
  <sheetFormatPr defaultRowHeight="15"/>
  <cols>
    <col min="1" max="1" width="33.42578125" customWidth="1"/>
    <col min="2" max="2" width="13.42578125" customWidth="1"/>
    <col min="3" max="3" width="14.7109375" customWidth="1"/>
    <col min="4" max="4" width="10.5703125" customWidth="1"/>
    <col min="5" max="5" width="25.5703125" customWidth="1"/>
  </cols>
  <sheetData>
    <row r="1" spans="1:7">
      <c r="A1" s="38" t="s">
        <v>95</v>
      </c>
      <c r="B1" s="38" t="s">
        <v>96</v>
      </c>
      <c r="C1" s="38" t="s">
        <v>97</v>
      </c>
      <c r="E1" s="15" t="s">
        <v>98</v>
      </c>
    </row>
    <row r="2" spans="1:7">
      <c r="A2" s="62" t="s">
        <v>99</v>
      </c>
      <c r="B2" s="13" t="s">
        <v>100</v>
      </c>
      <c r="C2" s="13">
        <v>1</v>
      </c>
      <c r="E2" t="s">
        <v>101</v>
      </c>
    </row>
    <row r="3" spans="1:7">
      <c r="A3" s="62" t="s">
        <v>102</v>
      </c>
      <c r="B3" s="13" t="s">
        <v>100</v>
      </c>
      <c r="C3" s="13">
        <v>2</v>
      </c>
      <c r="E3" t="s">
        <v>103</v>
      </c>
    </row>
    <row r="4" spans="1:7">
      <c r="A4" s="62" t="s">
        <v>104</v>
      </c>
      <c r="B4" s="13" t="s">
        <v>100</v>
      </c>
      <c r="C4" s="13">
        <v>3</v>
      </c>
    </row>
    <row r="5" spans="1:7">
      <c r="A5" s="62" t="s">
        <v>105</v>
      </c>
      <c r="B5" s="13" t="s">
        <v>100</v>
      </c>
      <c r="C5" s="13">
        <v>4</v>
      </c>
    </row>
    <row r="6" spans="1:7">
      <c r="A6" s="62" t="s">
        <v>106</v>
      </c>
      <c r="B6" s="13" t="s">
        <v>107</v>
      </c>
      <c r="C6" s="13">
        <v>5</v>
      </c>
    </row>
    <row r="7" spans="1:7">
      <c r="A7" s="62" t="s">
        <v>108</v>
      </c>
      <c r="B7" s="13" t="s">
        <v>100</v>
      </c>
      <c r="C7" s="13">
        <v>6</v>
      </c>
      <c r="G7" s="9"/>
    </row>
    <row r="8" spans="1:7">
      <c r="A8" s="62" t="s">
        <v>109</v>
      </c>
      <c r="B8" s="13" t="s">
        <v>100</v>
      </c>
      <c r="C8" s="13">
        <v>7</v>
      </c>
      <c r="G8" s="9"/>
    </row>
    <row r="9" spans="1:7">
      <c r="A9" s="62" t="s">
        <v>110</v>
      </c>
      <c r="B9" s="13" t="s">
        <v>100</v>
      </c>
      <c r="C9" s="13">
        <v>8</v>
      </c>
      <c r="G9" s="9"/>
    </row>
    <row r="10" spans="1:7">
      <c r="A10" s="62" t="s">
        <v>111</v>
      </c>
      <c r="B10" s="13" t="s">
        <v>107</v>
      </c>
      <c r="C10" s="13">
        <v>9</v>
      </c>
      <c r="G10" s="9"/>
    </row>
    <row r="11" spans="1:7">
      <c r="A11" s="62" t="s">
        <v>112</v>
      </c>
      <c r="B11" s="13" t="s">
        <v>100</v>
      </c>
      <c r="C11" s="13">
        <v>10</v>
      </c>
      <c r="G11" s="9"/>
    </row>
    <row r="12" spans="1:7">
      <c r="A12" s="62" t="s">
        <v>113</v>
      </c>
      <c r="B12" s="13" t="s">
        <v>100</v>
      </c>
      <c r="C12" s="13">
        <v>11</v>
      </c>
      <c r="G12" s="9"/>
    </row>
    <row r="13" spans="1:7">
      <c r="A13" s="62" t="s">
        <v>114</v>
      </c>
      <c r="B13" s="13" t="s">
        <v>100</v>
      </c>
      <c r="C13" s="13">
        <v>12</v>
      </c>
    </row>
    <row r="14" spans="1:7">
      <c r="A14" s="62" t="s">
        <v>115</v>
      </c>
      <c r="B14" s="13" t="s">
        <v>100</v>
      </c>
      <c r="C14" s="13">
        <v>13</v>
      </c>
    </row>
    <row r="15" spans="1:7">
      <c r="A15" s="62" t="s">
        <v>116</v>
      </c>
      <c r="B15" s="13" t="s">
        <v>100</v>
      </c>
      <c r="C15" s="13">
        <v>14</v>
      </c>
    </row>
    <row r="16" spans="1:7">
      <c r="A16" s="62" t="s">
        <v>117</v>
      </c>
      <c r="B16" s="13" t="s">
        <v>100</v>
      </c>
      <c r="C16" s="13">
        <v>15</v>
      </c>
    </row>
    <row r="17" spans="1:7">
      <c r="A17" s="62" t="s">
        <v>118</v>
      </c>
      <c r="B17" s="13" t="s">
        <v>119</v>
      </c>
      <c r="C17" s="13">
        <v>16</v>
      </c>
    </row>
    <row r="18" spans="1:7">
      <c r="A18" s="62" t="s">
        <v>120</v>
      </c>
      <c r="B18" s="13" t="s">
        <v>121</v>
      </c>
      <c r="C18" s="13">
        <v>17</v>
      </c>
    </row>
    <row r="19" spans="1:7">
      <c r="A19" s="62" t="s">
        <v>122</v>
      </c>
      <c r="B19" s="13" t="s">
        <v>123</v>
      </c>
      <c r="C19" s="13">
        <v>18</v>
      </c>
    </row>
    <row r="20" spans="1:7">
      <c r="A20" s="62" t="s">
        <v>124</v>
      </c>
      <c r="B20" s="13" t="s">
        <v>125</v>
      </c>
      <c r="C20" s="13">
        <v>19</v>
      </c>
    </row>
    <row r="21" spans="1:7">
      <c r="A21" s="62" t="s">
        <v>126</v>
      </c>
      <c r="B21" s="13" t="s">
        <v>100</v>
      </c>
      <c r="C21" s="13">
        <v>20</v>
      </c>
    </row>
    <row r="22" spans="1:7">
      <c r="A22" s="62" t="s">
        <v>127</v>
      </c>
      <c r="B22" s="13" t="s">
        <v>100</v>
      </c>
      <c r="C22" s="13">
        <v>11</v>
      </c>
    </row>
    <row r="23" spans="1:7">
      <c r="G23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EBA3E-4BE8-4ADA-8D93-5D093A081D71}">
  <sheetPr>
    <tabColor theme="7" tint="0.79998168889431442"/>
  </sheetPr>
  <dimension ref="A1:E26"/>
  <sheetViews>
    <sheetView workbookViewId="0">
      <selection activeCell="K28" sqref="K28"/>
    </sheetView>
  </sheetViews>
  <sheetFormatPr defaultRowHeight="15"/>
  <cols>
    <col min="1" max="1" width="24.5703125" customWidth="1"/>
    <col min="2" max="3" width="19.42578125" customWidth="1"/>
    <col min="4" max="4" width="17.28515625" customWidth="1"/>
    <col min="5" max="5" width="24" customWidth="1"/>
    <col min="6" max="6" width="25.28515625" customWidth="1"/>
  </cols>
  <sheetData>
    <row r="1" spans="1:5">
      <c r="A1" s="13" t="s">
        <v>128</v>
      </c>
      <c r="B1" s="13" t="s">
        <v>129</v>
      </c>
      <c r="C1" s="13" t="s">
        <v>130</v>
      </c>
      <c r="E1" t="s">
        <v>131</v>
      </c>
    </row>
    <row r="2" spans="1:5">
      <c r="A2" s="13" t="s">
        <v>132</v>
      </c>
      <c r="B2" s="13" t="s">
        <v>133</v>
      </c>
      <c r="C2" s="13">
        <v>1</v>
      </c>
      <c r="E2" s="20"/>
    </row>
    <row r="3" spans="1:5">
      <c r="A3" s="13" t="s">
        <v>134</v>
      </c>
      <c r="B3" s="13" t="s">
        <v>135</v>
      </c>
      <c r="C3" s="13">
        <v>2</v>
      </c>
      <c r="E3" s="20"/>
    </row>
    <row r="4" spans="1:5">
      <c r="A4" s="13" t="s">
        <v>136</v>
      </c>
      <c r="B4" s="13" t="s">
        <v>137</v>
      </c>
      <c r="C4" s="13">
        <v>3</v>
      </c>
    </row>
    <row r="5" spans="1:5">
      <c r="A5" s="13" t="s">
        <v>138</v>
      </c>
      <c r="B5" s="48" t="s">
        <v>138</v>
      </c>
      <c r="C5" s="13">
        <v>4</v>
      </c>
    </row>
    <row r="6" spans="1:5">
      <c r="A6" s="13" t="s">
        <v>139</v>
      </c>
      <c r="B6" s="13" t="s">
        <v>140</v>
      </c>
      <c r="C6" s="13">
        <v>5</v>
      </c>
      <c r="E6" s="20"/>
    </row>
    <row r="7" spans="1:5">
      <c r="A7" s="13" t="s">
        <v>141</v>
      </c>
      <c r="B7" s="48" t="s">
        <v>142</v>
      </c>
      <c r="C7" s="13">
        <v>6</v>
      </c>
    </row>
    <row r="8" spans="1:5">
      <c r="A8" s="13" t="s">
        <v>143</v>
      </c>
      <c r="B8" s="13" t="s">
        <v>144</v>
      </c>
      <c r="C8" s="13">
        <v>8</v>
      </c>
    </row>
    <row r="9" spans="1:5">
      <c r="A9" s="13" t="s">
        <v>145</v>
      </c>
      <c r="B9" s="13" t="s">
        <v>146</v>
      </c>
      <c r="C9" s="13">
        <v>9</v>
      </c>
      <c r="E9" s="20"/>
    </row>
    <row r="10" spans="1:5">
      <c r="A10" s="13" t="s">
        <v>147</v>
      </c>
      <c r="B10" s="48" t="s">
        <v>148</v>
      </c>
      <c r="C10" s="13">
        <v>12</v>
      </c>
    </row>
    <row r="11" spans="1:5">
      <c r="A11" s="59" t="s">
        <v>149</v>
      </c>
      <c r="B11" s="13" t="s">
        <v>150</v>
      </c>
      <c r="C11" s="13">
        <v>13</v>
      </c>
      <c r="E11" t="s">
        <v>151</v>
      </c>
    </row>
    <row r="12" spans="1:5">
      <c r="A12" s="13" t="s">
        <v>152</v>
      </c>
      <c r="B12" s="48" t="s">
        <v>152</v>
      </c>
      <c r="C12" s="13">
        <v>14</v>
      </c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C1B5F-00E0-4238-9B2D-52989498219E}">
  <sheetPr codeName="Sheet20">
    <tabColor theme="7" tint="0.79998168889431442"/>
  </sheetPr>
  <dimension ref="A1:C26"/>
  <sheetViews>
    <sheetView zoomScaleNormal="100" workbookViewId="0">
      <selection activeCell="D30" sqref="D30"/>
    </sheetView>
  </sheetViews>
  <sheetFormatPr defaultRowHeight="15"/>
  <cols>
    <col min="1" max="1" width="26.28515625" customWidth="1"/>
    <col min="2" max="2" width="18.28515625" customWidth="1"/>
    <col min="3" max="3" width="17.7109375" customWidth="1"/>
  </cols>
  <sheetData>
    <row r="1" spans="1:3">
      <c r="A1" s="13" t="s">
        <v>153</v>
      </c>
      <c r="B1" s="13" t="s">
        <v>154</v>
      </c>
      <c r="C1" s="13" t="s">
        <v>155</v>
      </c>
    </row>
    <row r="2" spans="1:3">
      <c r="A2" s="13" t="s">
        <v>156</v>
      </c>
      <c r="B2" s="13" t="s">
        <v>157</v>
      </c>
      <c r="C2" s="13" t="s">
        <v>124</v>
      </c>
    </row>
    <row r="3" spans="1:3">
      <c r="A3" s="13" t="s">
        <v>158</v>
      </c>
      <c r="B3" s="13" t="s">
        <v>157</v>
      </c>
      <c r="C3" s="13" t="s">
        <v>122</v>
      </c>
    </row>
    <row r="4" spans="1:3">
      <c r="A4" s="13" t="s">
        <v>159</v>
      </c>
      <c r="B4" s="13" t="s">
        <v>157</v>
      </c>
      <c r="C4" s="13" t="s">
        <v>118</v>
      </c>
    </row>
    <row r="7" spans="1:3">
      <c r="A7" s="9"/>
    </row>
    <row r="8" spans="1:3">
      <c r="A8" s="9"/>
    </row>
    <row r="9" spans="1:3">
      <c r="A9" s="9"/>
    </row>
    <row r="10" spans="1:3">
      <c r="A10" s="9"/>
    </row>
    <row r="11" spans="1:3">
      <c r="A11" s="9"/>
    </row>
    <row r="12" spans="1:3">
      <c r="A12" s="9"/>
    </row>
    <row r="13" spans="1:3">
      <c r="A13" s="9"/>
    </row>
    <row r="14" spans="1:3">
      <c r="A14" s="9"/>
    </row>
    <row r="15" spans="1:3">
      <c r="A15" s="9"/>
    </row>
    <row r="20" spans="1:1">
      <c r="A20" s="9"/>
    </row>
    <row r="21" spans="1:1">
      <c r="A21" s="9"/>
    </row>
    <row r="22" spans="1:1">
      <c r="A22" s="9"/>
    </row>
    <row r="23" spans="1:1">
      <c r="A23" s="9"/>
    </row>
    <row r="24" spans="1:1">
      <c r="A24" s="9"/>
    </row>
    <row r="25" spans="1:1">
      <c r="A25" s="9"/>
    </row>
    <row r="26" spans="1:1">
      <c r="A26" s="9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6B23C-BDA0-4A17-A4FB-15A025812CF4}">
  <sheetPr>
    <tabColor theme="7" tint="0.79998168889431442"/>
  </sheetPr>
  <dimension ref="A1:B3"/>
  <sheetViews>
    <sheetView workbookViewId="0">
      <selection activeCell="J33" sqref="J33"/>
    </sheetView>
  </sheetViews>
  <sheetFormatPr defaultRowHeight="15"/>
  <cols>
    <col min="1" max="1" width="13.7109375" customWidth="1"/>
    <col min="2" max="2" width="14" customWidth="1"/>
  </cols>
  <sheetData>
    <row r="1" spans="1:2">
      <c r="A1" s="13" t="s">
        <v>160</v>
      </c>
      <c r="B1" s="13" t="s">
        <v>161</v>
      </c>
    </row>
    <row r="2" spans="1:2">
      <c r="A2">
        <v>2020</v>
      </c>
      <c r="B2">
        <v>550</v>
      </c>
    </row>
    <row r="3" spans="1:2">
      <c r="A3" s="13">
        <v>2050</v>
      </c>
      <c r="B3">
        <v>550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1AA88-5F40-4BA1-A7EC-BE0291798A32}">
  <sheetPr codeName="Sheet7">
    <tabColor theme="7" tint="0.79998168889431442"/>
  </sheetPr>
  <dimension ref="A1:P12"/>
  <sheetViews>
    <sheetView zoomScale="123" workbookViewId="0">
      <selection activeCell="I11" sqref="I11"/>
    </sheetView>
  </sheetViews>
  <sheetFormatPr defaultRowHeight="15"/>
  <cols>
    <col min="1" max="1" width="28.42578125" customWidth="1"/>
    <col min="2" max="2" width="5.85546875" customWidth="1"/>
    <col min="3" max="3" width="14.5703125" customWidth="1"/>
    <col min="4" max="5" width="12" customWidth="1"/>
    <col min="6" max="6" width="16.85546875" customWidth="1"/>
    <col min="7" max="9" width="12" customWidth="1"/>
    <col min="10" max="10" width="9" customWidth="1"/>
    <col min="11" max="11" width="14.140625" customWidth="1"/>
    <col min="12" max="12" width="9" customWidth="1"/>
    <col min="13" max="13" width="28.85546875" customWidth="1"/>
    <col min="14" max="14" width="18.7109375" customWidth="1"/>
  </cols>
  <sheetData>
    <row r="1" spans="1:16">
      <c r="A1" s="13" t="s">
        <v>162</v>
      </c>
      <c r="B1" s="13" t="s">
        <v>75</v>
      </c>
      <c r="C1" s="13" t="s">
        <v>163</v>
      </c>
      <c r="D1" s="13" t="s">
        <v>76</v>
      </c>
      <c r="E1" s="13" t="s">
        <v>77</v>
      </c>
      <c r="F1" s="13" t="s">
        <v>164</v>
      </c>
      <c r="G1" s="13" t="s">
        <v>78</v>
      </c>
      <c r="H1" s="13" t="s">
        <v>167</v>
      </c>
      <c r="I1" s="13" t="s">
        <v>168</v>
      </c>
      <c r="J1" s="13" t="s">
        <v>169</v>
      </c>
      <c r="K1" s="13" t="s">
        <v>547</v>
      </c>
      <c r="L1" s="13" t="s">
        <v>165</v>
      </c>
      <c r="M1" s="13" t="s">
        <v>166</v>
      </c>
      <c r="O1" t="s">
        <v>170</v>
      </c>
    </row>
    <row r="2" spans="1:16">
      <c r="A2" s="13" t="s">
        <v>171</v>
      </c>
      <c r="B2" s="13">
        <v>0</v>
      </c>
      <c r="C2" s="13">
        <v>25500</v>
      </c>
      <c r="D2" s="13">
        <v>3.5000000000000003E-2</v>
      </c>
      <c r="E2" s="13">
        <v>3.5000000000000003E-2</v>
      </c>
      <c r="F2" s="13">
        <v>0</v>
      </c>
      <c r="G2" s="13">
        <v>30000</v>
      </c>
      <c r="H2" s="13">
        <v>1</v>
      </c>
      <c r="I2" s="13">
        <v>1</v>
      </c>
      <c r="J2" s="13">
        <v>1</v>
      </c>
      <c r="K2" s="13" t="s">
        <v>543</v>
      </c>
      <c r="L2" s="13" t="s">
        <v>172</v>
      </c>
      <c r="M2" s="13" t="b">
        <v>0</v>
      </c>
      <c r="P2" s="65" t="s">
        <v>545</v>
      </c>
    </row>
    <row r="3" spans="1:16">
      <c r="A3" s="13" t="s">
        <v>173</v>
      </c>
      <c r="B3" s="13">
        <v>0</v>
      </c>
      <c r="C3" s="13">
        <v>23000</v>
      </c>
      <c r="D3" s="13">
        <v>0.05</v>
      </c>
      <c r="E3" s="13">
        <v>0.05</v>
      </c>
      <c r="F3" s="13">
        <v>9000</v>
      </c>
      <c r="G3" s="13">
        <v>40000</v>
      </c>
      <c r="H3" s="65">
        <v>1.5</v>
      </c>
      <c r="I3" s="13">
        <v>4</v>
      </c>
      <c r="J3" s="13">
        <v>1</v>
      </c>
      <c r="K3" s="13" t="s">
        <v>543</v>
      </c>
      <c r="L3" s="13" t="s">
        <v>157</v>
      </c>
      <c r="M3" s="13" t="b">
        <v>0</v>
      </c>
      <c r="P3" s="50" t="s">
        <v>543</v>
      </c>
    </row>
    <row r="4" spans="1:16">
      <c r="A4" s="13" t="s">
        <v>174</v>
      </c>
      <c r="B4" s="13">
        <v>0</v>
      </c>
      <c r="C4" s="13">
        <v>23000</v>
      </c>
      <c r="D4" s="13">
        <v>0.05</v>
      </c>
      <c r="E4" s="13">
        <v>0.05</v>
      </c>
      <c r="F4" s="13">
        <v>9000</v>
      </c>
      <c r="G4" s="13">
        <v>40000</v>
      </c>
      <c r="H4" s="13">
        <v>1.5</v>
      </c>
      <c r="I4" s="13">
        <v>4</v>
      </c>
      <c r="J4" s="13">
        <v>15</v>
      </c>
      <c r="K4" s="13" t="s">
        <v>543</v>
      </c>
      <c r="L4" s="13" t="s">
        <v>157</v>
      </c>
      <c r="M4" s="13" t="b">
        <v>1</v>
      </c>
      <c r="P4" s="13"/>
    </row>
    <row r="6" spans="1:16">
      <c r="E6" t="s">
        <v>175</v>
      </c>
      <c r="G6" t="s">
        <v>176</v>
      </c>
    </row>
    <row r="7" spans="1:16">
      <c r="D7" s="13">
        <v>26776</v>
      </c>
      <c r="E7" t="s">
        <v>177</v>
      </c>
      <c r="F7" t="s">
        <v>178</v>
      </c>
    </row>
    <row r="8" spans="1:16">
      <c r="D8" s="13">
        <v>26500</v>
      </c>
      <c r="E8" t="s">
        <v>179</v>
      </c>
    </row>
    <row r="9" spans="1:16">
      <c r="D9">
        <v>20000</v>
      </c>
      <c r="E9" t="s">
        <v>180</v>
      </c>
    </row>
    <row r="10" spans="1:16">
      <c r="D10">
        <v>24500</v>
      </c>
      <c r="E10" t="s">
        <v>181</v>
      </c>
      <c r="M10" s="13"/>
    </row>
    <row r="12" spans="1:16">
      <c r="D12">
        <v>19200</v>
      </c>
      <c r="E12" t="s">
        <v>182</v>
      </c>
    </row>
  </sheetData>
  <phoneticPr fontId="6" type="noConversion"/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D6CD0-CD66-4468-B5C5-60D1DB08926D}">
  <sheetPr>
    <tabColor theme="7" tint="0.79998168889431442"/>
  </sheetPr>
  <dimension ref="A1:K18"/>
  <sheetViews>
    <sheetView workbookViewId="0">
      <selection activeCell="K10" sqref="K10"/>
    </sheetView>
  </sheetViews>
  <sheetFormatPr defaultRowHeight="15"/>
  <cols>
    <col min="1" max="1" width="8.140625" customWidth="1"/>
    <col min="2" max="2" width="20.140625" customWidth="1"/>
    <col min="3" max="3" width="21.5703125" customWidth="1"/>
    <col min="4" max="4" width="12.140625" customWidth="1"/>
    <col min="5" max="5" width="20.140625" customWidth="1"/>
    <col min="6" max="6" width="22.7109375" customWidth="1"/>
    <col min="7" max="7" width="9.5703125" customWidth="1"/>
  </cols>
  <sheetData>
    <row r="1" spans="1:11" ht="51.75" customHeight="1">
      <c r="A1" s="49" t="s">
        <v>183</v>
      </c>
      <c r="B1" s="49" t="s">
        <v>80</v>
      </c>
      <c r="C1" s="49" t="s">
        <v>81</v>
      </c>
      <c r="D1" s="49" t="s">
        <v>184</v>
      </c>
      <c r="E1" s="49" t="s">
        <v>185</v>
      </c>
      <c r="F1" s="49" t="s">
        <v>186</v>
      </c>
      <c r="G1" s="49" t="s">
        <v>187</v>
      </c>
      <c r="H1" s="49" t="s">
        <v>188</v>
      </c>
      <c r="I1" s="49" t="s">
        <v>189</v>
      </c>
      <c r="K1" t="s">
        <v>190</v>
      </c>
    </row>
    <row r="2" spans="1:11">
      <c r="A2" s="13" t="s">
        <v>191</v>
      </c>
      <c r="B2" s="13">
        <v>3900</v>
      </c>
      <c r="C2" s="13">
        <v>0.15</v>
      </c>
      <c r="D2" s="13" t="s">
        <v>172</v>
      </c>
      <c r="E2" s="13">
        <f>6+F2</f>
        <v>31</v>
      </c>
      <c r="F2" s="13">
        <v>25</v>
      </c>
      <c r="G2" s="13">
        <v>0</v>
      </c>
      <c r="H2" s="13"/>
      <c r="I2" s="13">
        <v>0</v>
      </c>
      <c r="K2" t="s">
        <v>192</v>
      </c>
    </row>
    <row r="3" spans="1:11">
      <c r="A3" s="13" t="s">
        <v>193</v>
      </c>
      <c r="B3" s="13">
        <v>3900</v>
      </c>
      <c r="C3" s="13">
        <v>0.15</v>
      </c>
      <c r="D3" s="13" t="s">
        <v>157</v>
      </c>
      <c r="E3" s="13">
        <f>6+F3</f>
        <v>31</v>
      </c>
      <c r="F3" s="13">
        <v>25</v>
      </c>
      <c r="G3" s="13">
        <v>0</v>
      </c>
      <c r="H3" s="13"/>
      <c r="I3" s="13">
        <v>0</v>
      </c>
      <c r="K3" t="s">
        <v>194</v>
      </c>
    </row>
    <row r="5" spans="1:11">
      <c r="B5" t="s">
        <v>548</v>
      </c>
    </row>
    <row r="18" spans="5:5">
      <c r="E18" s="17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A9C64-3EC0-46BF-A063-7EB6A04BD6C3}">
  <sheetPr codeName="Sheet6">
    <tabColor theme="7" tint="0.79998168889431442"/>
  </sheetPr>
  <dimension ref="A1:F3"/>
  <sheetViews>
    <sheetView zoomScale="130" zoomScaleNormal="130" workbookViewId="0">
      <selection activeCell="E25" sqref="E25"/>
    </sheetView>
  </sheetViews>
  <sheetFormatPr defaultRowHeight="15"/>
  <cols>
    <col min="1" max="1" width="29.85546875" customWidth="1"/>
    <col min="2" max="2" width="15.85546875" customWidth="1"/>
    <col min="3" max="4" width="11.5703125" customWidth="1"/>
    <col min="5" max="5" width="22.140625" style="44" customWidth="1"/>
    <col min="6" max="6" width="11.5703125" customWidth="1"/>
    <col min="7" max="7" width="43.42578125" customWidth="1"/>
  </cols>
  <sheetData>
    <row r="1" spans="1:6">
      <c r="A1" s="13" t="s">
        <v>162</v>
      </c>
      <c r="B1" s="13" t="s">
        <v>195</v>
      </c>
      <c r="C1" s="13" t="s">
        <v>165</v>
      </c>
      <c r="F1" s="44" t="s">
        <v>196</v>
      </c>
    </row>
    <row r="2" spans="1:6">
      <c r="A2" s="13" t="str">
        <f>CONCATENATE("ElectricitySpotMarket",C2)</f>
        <v>ElectricitySpotMarketDE</v>
      </c>
      <c r="B2" s="13">
        <v>4000</v>
      </c>
      <c r="C2" s="13" t="s">
        <v>172</v>
      </c>
      <c r="F2" s="44">
        <v>1.0860000000000001</v>
      </c>
    </row>
    <row r="3" spans="1:6">
      <c r="A3" s="13" t="str">
        <f>CONCATENATE("ElectricitySpotMarket",C3)</f>
        <v>ElectricitySpotMarketNL</v>
      </c>
      <c r="B3" s="13">
        <v>4000</v>
      </c>
      <c r="C3" s="13" t="s">
        <v>157</v>
      </c>
      <c r="F3" s="44">
        <v>1.0860000000000001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B6C4E-7EEE-4AD8-BC52-AC020417D1C6}">
  <sheetPr>
    <tabColor theme="7" tint="0.79998168889431442"/>
  </sheetPr>
  <dimension ref="A1:L18"/>
  <sheetViews>
    <sheetView tabSelected="1" zoomScale="85" zoomScaleNormal="85" workbookViewId="0">
      <selection activeCell="C41" sqref="C41"/>
    </sheetView>
  </sheetViews>
  <sheetFormatPr defaultRowHeight="15"/>
  <cols>
    <col min="1" max="1" width="36.140625" customWidth="1"/>
    <col min="2" max="2" width="17.85546875" style="74" customWidth="1"/>
    <col min="3" max="3" width="28.140625" customWidth="1"/>
    <col min="4" max="10" width="17.85546875" customWidth="1"/>
  </cols>
  <sheetData>
    <row r="1" spans="1:12">
      <c r="A1" s="88" t="s">
        <v>162</v>
      </c>
      <c r="B1" s="89" t="s">
        <v>197</v>
      </c>
      <c r="C1" s="88" t="s">
        <v>198</v>
      </c>
      <c r="F1" t="s">
        <v>199</v>
      </c>
      <c r="G1" t="s">
        <v>200</v>
      </c>
    </row>
    <row r="2" spans="1:12">
      <c r="A2" s="89" t="s">
        <v>201</v>
      </c>
      <c r="B2" s="90">
        <v>78082</v>
      </c>
      <c r="C2" s="88">
        <v>0.04</v>
      </c>
      <c r="E2" s="13" t="s">
        <v>202</v>
      </c>
      <c r="F2">
        <v>50000</v>
      </c>
      <c r="G2" s="77">
        <v>102043.30769230769</v>
      </c>
    </row>
    <row r="3" spans="1:12">
      <c r="A3" s="89" t="s">
        <v>203</v>
      </c>
      <c r="B3" s="90">
        <v>75286.5</v>
      </c>
      <c r="C3" s="88">
        <v>0.09</v>
      </c>
      <c r="E3" s="13" t="s">
        <v>204</v>
      </c>
      <c r="F3">
        <v>40000</v>
      </c>
      <c r="G3" s="77">
        <v>84942</v>
      </c>
    </row>
    <row r="4" spans="1:12">
      <c r="A4" s="89" t="s">
        <v>204</v>
      </c>
      <c r="B4" s="90">
        <v>56496</v>
      </c>
      <c r="C4" s="88">
        <v>0.13</v>
      </c>
      <c r="E4" s="13" t="s">
        <v>205</v>
      </c>
      <c r="F4">
        <v>30000</v>
      </c>
      <c r="G4" s="77">
        <v>63489.515151515152</v>
      </c>
    </row>
    <row r="5" spans="1:12">
      <c r="A5" s="89" t="s">
        <v>206</v>
      </c>
      <c r="B5" s="90">
        <v>50618</v>
      </c>
      <c r="C5" s="88">
        <v>0.05</v>
      </c>
      <c r="E5" s="13" t="s">
        <v>207</v>
      </c>
      <c r="F5">
        <v>20000</v>
      </c>
      <c r="G5" s="77">
        <v>42700</v>
      </c>
    </row>
    <row r="6" spans="1:12">
      <c r="A6" s="89" t="s">
        <v>208</v>
      </c>
      <c r="B6" s="90">
        <v>44904</v>
      </c>
      <c r="C6" s="88">
        <v>0.28000000000000003</v>
      </c>
      <c r="E6" s="13" t="s">
        <v>209</v>
      </c>
      <c r="F6">
        <v>10000</v>
      </c>
      <c r="G6" s="77">
        <v>32723</v>
      </c>
      <c r="H6" t="s">
        <v>210</v>
      </c>
    </row>
    <row r="7" spans="1:12">
      <c r="A7" s="89" t="s">
        <v>207</v>
      </c>
      <c r="B7" s="91">
        <v>33635</v>
      </c>
      <c r="C7" s="88">
        <v>0.09</v>
      </c>
      <c r="H7">
        <f>SUM(C2:C8)</f>
        <v>0.89</v>
      </c>
      <c r="J7" s="13" t="s">
        <v>211</v>
      </c>
      <c r="K7" s="34">
        <v>30429</v>
      </c>
      <c r="L7" s="13">
        <v>0.08</v>
      </c>
    </row>
    <row r="8" spans="1:12">
      <c r="A8" s="89" t="s">
        <v>209</v>
      </c>
      <c r="B8" s="91">
        <v>28646.5</v>
      </c>
      <c r="C8" s="88">
        <v>0.21</v>
      </c>
      <c r="J8" s="13" t="s">
        <v>212</v>
      </c>
      <c r="K8" s="34">
        <v>19785</v>
      </c>
      <c r="L8" s="13">
        <v>0.03</v>
      </c>
    </row>
    <row r="9" spans="1:12">
      <c r="A9" s="13"/>
      <c r="B9" s="34"/>
      <c r="C9" s="13"/>
    </row>
    <row r="11" spans="1:12">
      <c r="E11" s="16">
        <f>C2*B2</f>
        <v>3123.28</v>
      </c>
    </row>
    <row r="12" spans="1:12">
      <c r="E12" s="16">
        <f t="shared" ref="E12:E17" si="0">C3*B3</f>
        <v>6775.7849999999999</v>
      </c>
    </row>
    <row r="13" spans="1:12">
      <c r="E13" s="16">
        <f t="shared" si="0"/>
        <v>7344.4800000000005</v>
      </c>
    </row>
    <row r="14" spans="1:12">
      <c r="E14" s="16">
        <f t="shared" si="0"/>
        <v>2530.9</v>
      </c>
    </row>
    <row r="15" spans="1:12">
      <c r="E15" s="16">
        <f t="shared" si="0"/>
        <v>12573.12</v>
      </c>
      <c r="F15" t="s">
        <v>550</v>
      </c>
    </row>
    <row r="16" spans="1:12">
      <c r="E16" s="16">
        <f t="shared" si="0"/>
        <v>3027.15</v>
      </c>
      <c r="F16">
        <f>K7*L7</f>
        <v>2434.3200000000002</v>
      </c>
    </row>
    <row r="17" spans="4:7">
      <c r="E17" s="16">
        <f t="shared" si="0"/>
        <v>6015.7649999999994</v>
      </c>
      <c r="F17">
        <f>K8*L8</f>
        <v>593.54999999999995</v>
      </c>
      <c r="G17">
        <f>1500*0.11</f>
        <v>165</v>
      </c>
    </row>
    <row r="18" spans="4:7">
      <c r="D18" t="s">
        <v>368</v>
      </c>
      <c r="E18" s="16">
        <f>SUM(E11:E17)</f>
        <v>41390.480000000003</v>
      </c>
      <c r="F18" s="16">
        <f>E18+F16+F17</f>
        <v>44418.350000000006</v>
      </c>
      <c r="G18" s="16">
        <f>E18+G17</f>
        <v>41555.480000000003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BA6DF-6308-4C22-97F3-E72B689FC20A}">
  <sheetPr>
    <tabColor theme="7" tint="0.79998168889431442"/>
  </sheetPr>
  <dimension ref="A1:M15"/>
  <sheetViews>
    <sheetView zoomScale="85" zoomScaleNormal="85" workbookViewId="0">
      <selection activeCell="C2" sqref="C2"/>
    </sheetView>
  </sheetViews>
  <sheetFormatPr defaultRowHeight="15"/>
  <cols>
    <col min="1" max="1" width="36.140625" customWidth="1"/>
    <col min="2" max="4" width="17.85546875" style="76" customWidth="1"/>
    <col min="5" max="5" width="18.7109375" customWidth="1"/>
    <col min="6" max="6" width="33.42578125" customWidth="1"/>
    <col min="7" max="8" width="17.85546875" customWidth="1"/>
  </cols>
  <sheetData>
    <row r="1" spans="1:13">
      <c r="A1" s="13" t="s">
        <v>162</v>
      </c>
      <c r="B1" s="75" t="s">
        <v>213</v>
      </c>
      <c r="C1" s="75" t="s">
        <v>214</v>
      </c>
      <c r="D1" s="75" t="s">
        <v>215</v>
      </c>
      <c r="F1" s="82" t="s">
        <v>216</v>
      </c>
      <c r="G1" t="s">
        <v>217</v>
      </c>
    </row>
    <row r="2" spans="1:13">
      <c r="A2" s="73" t="s">
        <v>201</v>
      </c>
      <c r="B2" s="13">
        <f>CapacitySubscriptionConsumer!C2</f>
        <v>0.04</v>
      </c>
      <c r="C2" s="78">
        <f>CapacitySubscriptionConsumer!B2</f>
        <v>78082</v>
      </c>
      <c r="D2" s="78">
        <f>+B2*20000</f>
        <v>800</v>
      </c>
      <c r="G2" s="13">
        <f>H2/100</f>
        <v>0.13</v>
      </c>
      <c r="H2">
        <v>13</v>
      </c>
      <c r="K2" s="13" t="s">
        <v>211</v>
      </c>
      <c r="L2" s="13">
        <f>G7-0.05</f>
        <v>0.03</v>
      </c>
      <c r="M2" s="75">
        <v>0</v>
      </c>
    </row>
    <row r="3" spans="1:13">
      <c r="A3" s="73" t="s">
        <v>203</v>
      </c>
      <c r="B3" s="13">
        <f>CapacitySubscriptionConsumer!C3</f>
        <v>0.09</v>
      </c>
      <c r="C3" s="78">
        <f>CapacitySubscriptionConsumer!B3</f>
        <v>75286.5</v>
      </c>
      <c r="D3" s="78">
        <f t="shared" ref="D3:D7" si="0">+B3*20000</f>
        <v>1800</v>
      </c>
      <c r="G3" s="13">
        <f t="shared" ref="G3:G6" si="1">H3/100</f>
        <v>0.13</v>
      </c>
      <c r="H3">
        <v>13</v>
      </c>
      <c r="K3" s="13" t="s">
        <v>212</v>
      </c>
      <c r="L3" s="13">
        <v>0</v>
      </c>
      <c r="M3" s="75">
        <v>0</v>
      </c>
    </row>
    <row r="4" spans="1:13">
      <c r="A4" s="73" t="s">
        <v>204</v>
      </c>
      <c r="B4" s="13">
        <f>CapacitySubscriptionConsumer!C4</f>
        <v>0.13</v>
      </c>
      <c r="C4" s="78">
        <f>CapacitySubscriptionConsumer!B4</f>
        <v>56496</v>
      </c>
      <c r="D4" s="78">
        <f t="shared" si="0"/>
        <v>2600</v>
      </c>
      <c r="G4" s="13">
        <f t="shared" si="1"/>
        <v>0.33</v>
      </c>
      <c r="H4">
        <v>33</v>
      </c>
    </row>
    <row r="5" spans="1:13">
      <c r="A5" s="73" t="s">
        <v>206</v>
      </c>
      <c r="B5" s="13">
        <f>CapacitySubscriptionConsumer!C5</f>
        <v>0.05</v>
      </c>
      <c r="C5" s="78">
        <f>CapacitySubscriptionConsumer!B5</f>
        <v>50618</v>
      </c>
      <c r="D5" s="78">
        <f t="shared" si="0"/>
        <v>1000</v>
      </c>
      <c r="G5" s="13">
        <f t="shared" si="1"/>
        <v>0.09</v>
      </c>
      <c r="H5">
        <v>9</v>
      </c>
    </row>
    <row r="6" spans="1:13">
      <c r="A6" s="73" t="s">
        <v>208</v>
      </c>
      <c r="B6" s="13">
        <f>CapacitySubscriptionConsumer!C6</f>
        <v>0.28000000000000003</v>
      </c>
      <c r="C6" s="78">
        <f>CapacitySubscriptionConsumer!B6</f>
        <v>44904</v>
      </c>
      <c r="D6" s="78">
        <f t="shared" si="0"/>
        <v>5600.0000000000009</v>
      </c>
      <c r="G6" s="13">
        <f t="shared" si="1"/>
        <v>0.21</v>
      </c>
      <c r="H6">
        <v>21</v>
      </c>
    </row>
    <row r="7" spans="1:13">
      <c r="A7" s="73" t="s">
        <v>207</v>
      </c>
      <c r="B7" s="13">
        <f>CapacitySubscriptionConsumer!C7</f>
        <v>0.09</v>
      </c>
      <c r="C7" s="78">
        <f>CapacitySubscriptionConsumer!B7</f>
        <v>33635</v>
      </c>
      <c r="D7" s="78">
        <f t="shared" si="0"/>
        <v>1800</v>
      </c>
      <c r="G7" s="13">
        <f>H7/100</f>
        <v>0.08</v>
      </c>
      <c r="H7">
        <v>8</v>
      </c>
    </row>
    <row r="8" spans="1:13">
      <c r="A8" s="73" t="s">
        <v>209</v>
      </c>
      <c r="B8" s="13">
        <f>CapacitySubscriptionConsumer!C8</f>
        <v>0.21</v>
      </c>
      <c r="C8" s="78">
        <f>CapacitySubscriptionConsumer!B8</f>
        <v>28646.5</v>
      </c>
      <c r="D8" s="78">
        <f>+B8*20000</f>
        <v>4200</v>
      </c>
    </row>
    <row r="9" spans="1:13">
      <c r="G9" s="13">
        <f>H9/100</f>
        <v>0.03</v>
      </c>
      <c r="H9">
        <v>3</v>
      </c>
    </row>
    <row r="13" spans="1:13">
      <c r="H13" s="13" t="s">
        <v>211</v>
      </c>
      <c r="I13" s="13">
        <f>CapacitySubscriptionConsumer!C8-0.04</f>
        <v>0.16999999999999998</v>
      </c>
      <c r="J13" s="78">
        <f>CapacitySubscriptionConsumer!B8</f>
        <v>28646.5</v>
      </c>
    </row>
    <row r="14" spans="1:13">
      <c r="H14" s="13" t="s">
        <v>212</v>
      </c>
      <c r="I14" s="13">
        <v>0.03</v>
      </c>
      <c r="J14" s="75">
        <v>0</v>
      </c>
    </row>
    <row r="15" spans="1:13">
      <c r="I15" s="76"/>
      <c r="J15" s="7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9BD2-12A9-4880-8C2E-9C84BEEF80A0}">
  <sheetPr>
    <tabColor theme="7" tint="0.79998168889431442"/>
  </sheetPr>
  <dimension ref="A1:M12"/>
  <sheetViews>
    <sheetView zoomScale="85" zoomScaleNormal="85" workbookViewId="0">
      <selection activeCell="G24" sqref="G24"/>
    </sheetView>
  </sheetViews>
  <sheetFormatPr defaultRowHeight="15"/>
  <cols>
    <col min="1" max="1" width="13.85546875" customWidth="1"/>
    <col min="2" max="2" width="33.85546875" customWidth="1"/>
    <col min="3" max="3" width="43.28515625" customWidth="1"/>
    <col min="4" max="4" width="20.140625" customWidth="1"/>
    <col min="5" max="8" width="16.5703125" customWidth="1"/>
    <col min="9" max="10" width="17.7109375" customWidth="1"/>
    <col min="11" max="11" width="9.85546875" customWidth="1"/>
    <col min="12" max="12" width="11" customWidth="1"/>
    <col min="13" max="13" width="50.28515625" customWidth="1"/>
    <col min="14" max="14" width="19.85546875" customWidth="1"/>
    <col min="15" max="15" width="15.7109375" customWidth="1"/>
    <col min="16" max="16" width="12.28515625" customWidth="1"/>
  </cols>
  <sheetData>
    <row r="1" spans="1:13" ht="17.45" customHeight="1">
      <c r="A1" s="13" t="s">
        <v>162</v>
      </c>
      <c r="B1" s="13" t="s">
        <v>218</v>
      </c>
      <c r="C1" s="13" t="s">
        <v>219</v>
      </c>
      <c r="D1" s="13" t="s">
        <v>220</v>
      </c>
      <c r="E1" s="13" t="s">
        <v>221</v>
      </c>
      <c r="F1" s="16"/>
      <c r="H1" s="18"/>
      <c r="I1" s="18"/>
      <c r="J1" s="18"/>
      <c r="K1" s="44"/>
      <c r="L1" s="44"/>
      <c r="M1" s="44"/>
    </row>
    <row r="2" spans="1:13" ht="17.45" customHeight="1">
      <c r="A2" s="13">
        <v>1</v>
      </c>
      <c r="B2" s="13" t="str">
        <f t="shared" ref="B2:B3" si="0">CONCATENATE("amiris-config/data/LS_",A2,".csv")</f>
        <v>amiris-config/data/LS_1.csv</v>
      </c>
      <c r="C2" s="13" t="str">
        <f t="shared" ref="C2:C3" si="1">CONCATENATE("amiris-config/data/future_LS_",A2,".csv")</f>
        <v>amiris-config/data/future_LS_1.csv</v>
      </c>
      <c r="D2" s="13" t="s">
        <v>222</v>
      </c>
      <c r="E2" s="34">
        <v>4001</v>
      </c>
      <c r="K2" s="44"/>
      <c r="L2" s="44"/>
      <c r="M2" s="44"/>
    </row>
    <row r="3" spans="1:13" ht="17.45" customHeight="1">
      <c r="A3" s="13">
        <v>2</v>
      </c>
      <c r="B3" s="13" t="str">
        <f t="shared" si="0"/>
        <v>amiris-config/data/LS_2.csv</v>
      </c>
      <c r="C3" s="13" t="str">
        <f t="shared" si="1"/>
        <v>amiris-config/data/future_LS_2.csv</v>
      </c>
      <c r="D3" s="13" t="s">
        <v>222</v>
      </c>
      <c r="E3" s="34">
        <v>1500</v>
      </c>
      <c r="H3" s="16"/>
      <c r="I3" s="16"/>
      <c r="K3" s="44"/>
      <c r="L3" s="53"/>
      <c r="M3" s="44"/>
    </row>
    <row r="4" spans="1:13">
      <c r="A4" s="13" t="s">
        <v>141</v>
      </c>
      <c r="B4" s="13" t="s">
        <v>223</v>
      </c>
      <c r="C4" s="13" t="s">
        <v>224</v>
      </c>
      <c r="D4" s="13">
        <f>37450</f>
        <v>37450</v>
      </c>
      <c r="E4" s="13"/>
    </row>
    <row r="5" spans="1:13">
      <c r="K5" s="44"/>
      <c r="L5" s="54"/>
      <c r="M5" s="54"/>
    </row>
    <row r="6" spans="1:13">
      <c r="K6" s="44"/>
      <c r="L6" s="54"/>
      <c r="M6" s="54"/>
    </row>
    <row r="7" spans="1:13">
      <c r="K7" s="44"/>
      <c r="L7" s="44"/>
      <c r="M7" s="44"/>
    </row>
    <row r="8" spans="1:13">
      <c r="K8" s="44"/>
      <c r="L8" s="44"/>
      <c r="M8" s="44"/>
    </row>
    <row r="9" spans="1:13" ht="17.45" customHeight="1">
      <c r="F9" s="16"/>
      <c r="H9" s="16"/>
      <c r="I9" s="16"/>
      <c r="K9" s="44"/>
      <c r="L9" s="53"/>
      <c r="M9" s="44"/>
    </row>
    <row r="10" spans="1:13" ht="17.45" customHeight="1">
      <c r="B10" s="18">
        <v>4</v>
      </c>
      <c r="C10" s="13" t="str">
        <f t="shared" ref="C10" si="2">CONCATENATE("amiris-config/data/LS_",B10,".csv")</f>
        <v>amiris-config/data/LS_4.csv</v>
      </c>
      <c r="D10" s="13" t="str">
        <f t="shared" ref="D10" si="3">CONCATENATE("amiris-config/data/future_LS_",B10,".csv")</f>
        <v>amiris-config/data/future_LS_4.csv</v>
      </c>
      <c r="E10" s="13" t="s">
        <v>222</v>
      </c>
      <c r="F10" s="34">
        <v>800</v>
      </c>
      <c r="H10" s="16"/>
      <c r="I10" s="16"/>
      <c r="K10" s="44"/>
      <c r="L10" s="53"/>
      <c r="M10" s="44"/>
    </row>
    <row r="11" spans="1:13">
      <c r="K11" s="44"/>
      <c r="L11" s="44"/>
      <c r="M11" s="44"/>
    </row>
    <row r="12" spans="1:13">
      <c r="K12" s="44"/>
      <c r="L12" s="44"/>
      <c r="M12" s="44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C039D-1F8B-4751-B680-FFCAE50C266A}">
  <sheetPr>
    <tabColor theme="5" tint="0.59999389629810485"/>
  </sheetPr>
  <dimension ref="A1:I4"/>
  <sheetViews>
    <sheetView zoomScale="130" zoomScaleNormal="130" workbookViewId="0">
      <selection activeCell="E2" sqref="E2:E4"/>
    </sheetView>
  </sheetViews>
  <sheetFormatPr defaultRowHeight="15"/>
  <cols>
    <col min="1" max="1" width="38.85546875" customWidth="1"/>
    <col min="2" max="2" width="29.5703125" customWidth="1"/>
    <col min="3" max="3" width="13.85546875" customWidth="1"/>
    <col min="5" max="5" width="11.140625" customWidth="1"/>
    <col min="6" max="6" width="13.5703125" customWidth="1"/>
  </cols>
  <sheetData>
    <row r="1" spans="1:9">
      <c r="A1" s="13" t="s">
        <v>225</v>
      </c>
      <c r="B1" s="13" t="s">
        <v>226</v>
      </c>
      <c r="C1" s="13" t="s">
        <v>227</v>
      </c>
      <c r="E1" t="s">
        <v>544</v>
      </c>
      <c r="F1" s="16"/>
      <c r="I1" t="s">
        <v>228</v>
      </c>
    </row>
    <row r="2" spans="1:9">
      <c r="A2">
        <v>2020</v>
      </c>
      <c r="B2">
        <f>3100</f>
        <v>3100</v>
      </c>
      <c r="C2">
        <f>800000</f>
        <v>800000</v>
      </c>
      <c r="E2" s="24">
        <f>C2*12/1000000</f>
        <v>9.6</v>
      </c>
      <c r="F2" s="16">
        <f>E2/B2</f>
        <v>3.096774193548387E-3</v>
      </c>
    </row>
    <row r="3" spans="1:9">
      <c r="A3" s="13">
        <v>2030</v>
      </c>
      <c r="B3" s="13">
        <v>3676</v>
      </c>
      <c r="C3" s="13">
        <v>1009075</v>
      </c>
      <c r="E3" s="24">
        <f t="shared" ref="E3:E4" si="0">C3*12/1000000</f>
        <v>12.1089</v>
      </c>
      <c r="F3" s="16">
        <f>E3/B3</f>
        <v>3.2940424374319913E-3</v>
      </c>
    </row>
    <row r="4" spans="1:9">
      <c r="A4" s="13">
        <v>2050</v>
      </c>
      <c r="B4" s="13">
        <v>6155</v>
      </c>
      <c r="C4" s="13">
        <v>3063077</v>
      </c>
      <c r="E4" s="24">
        <f t="shared" si="0"/>
        <v>36.756923999999998</v>
      </c>
      <c r="F4" s="16">
        <f>E4/B4</f>
        <v>5.971880422420796E-3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98F0F-8755-4295-80EB-E405A1B57DC6}">
  <sheetPr>
    <tabColor theme="5" tint="0.39997558519241921"/>
  </sheetPr>
  <dimension ref="A1:B4"/>
  <sheetViews>
    <sheetView workbookViewId="0">
      <selection activeCell="T13" sqref="T13"/>
    </sheetView>
  </sheetViews>
  <sheetFormatPr defaultRowHeight="15"/>
  <cols>
    <col min="2" max="2" width="25.85546875" customWidth="1"/>
  </cols>
  <sheetData>
    <row r="1" spans="1:2">
      <c r="A1" s="13" t="s">
        <v>160</v>
      </c>
      <c r="B1" s="81" t="s">
        <v>229</v>
      </c>
    </row>
    <row r="2" spans="1:2">
      <c r="A2" s="13">
        <v>2020</v>
      </c>
      <c r="B2" s="13">
        <v>3000</v>
      </c>
    </row>
    <row r="3" spans="1:2">
      <c r="A3" s="13">
        <v>2030</v>
      </c>
      <c r="B3" s="13">
        <v>6731</v>
      </c>
    </row>
    <row r="4" spans="1:2">
      <c r="A4" s="13">
        <v>2050</v>
      </c>
      <c r="B4" s="13">
        <f>37450</f>
        <v>37450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2A5A-4A0E-4E1E-946C-ED617E40594D}">
  <sheetPr>
    <tabColor theme="5" tint="0.59999389629810485"/>
  </sheetPr>
  <dimension ref="A1:E24"/>
  <sheetViews>
    <sheetView workbookViewId="0">
      <selection activeCell="M36" sqref="M36"/>
    </sheetView>
  </sheetViews>
  <sheetFormatPr defaultRowHeight="15"/>
  <cols>
    <col min="1" max="1" width="24" customWidth="1"/>
  </cols>
  <sheetData>
    <row r="1" spans="1:5">
      <c r="A1" s="38" t="s">
        <v>276</v>
      </c>
      <c r="B1" s="13" t="s">
        <v>546</v>
      </c>
      <c r="E1" t="s">
        <v>549</v>
      </c>
    </row>
    <row r="2" spans="1:5">
      <c r="A2" s="13" t="s">
        <v>109</v>
      </c>
      <c r="B2" s="65">
        <v>1</v>
      </c>
    </row>
    <row r="3" spans="1:5">
      <c r="A3" s="13" t="s">
        <v>110</v>
      </c>
      <c r="B3" s="65">
        <v>1</v>
      </c>
    </row>
    <row r="4" spans="1:5">
      <c r="A4" s="13" t="s">
        <v>99</v>
      </c>
      <c r="B4" s="65">
        <v>1</v>
      </c>
    </row>
    <row r="5" spans="1:5">
      <c r="A5" s="13" t="s">
        <v>127</v>
      </c>
      <c r="B5" s="65">
        <v>0.25</v>
      </c>
    </row>
    <row r="6" spans="1:5">
      <c r="A6" s="13" t="s">
        <v>113</v>
      </c>
      <c r="B6" s="65">
        <v>0.16</v>
      </c>
    </row>
    <row r="7" spans="1:5">
      <c r="A7" s="13" t="s">
        <v>114</v>
      </c>
      <c r="B7" s="65">
        <v>1</v>
      </c>
    </row>
    <row r="8" spans="1:5">
      <c r="A8" s="13" t="s">
        <v>118</v>
      </c>
      <c r="B8" s="65">
        <v>0</v>
      </c>
    </row>
    <row r="9" spans="1:5">
      <c r="A9" s="13" t="s">
        <v>120</v>
      </c>
      <c r="B9" s="65">
        <v>0</v>
      </c>
    </row>
    <row r="10" spans="1:5">
      <c r="A10" s="13" t="s">
        <v>122</v>
      </c>
      <c r="B10" s="65">
        <v>0.06</v>
      </c>
    </row>
    <row r="11" spans="1:5">
      <c r="A11" s="13" t="s">
        <v>124</v>
      </c>
      <c r="B11" s="65">
        <v>0.12</v>
      </c>
    </row>
    <row r="12" spans="1:5">
      <c r="A12" s="13" t="s">
        <v>126</v>
      </c>
      <c r="B12" s="65">
        <v>0</v>
      </c>
    </row>
    <row r="13" spans="1:5">
      <c r="A13" s="13" t="s">
        <v>316</v>
      </c>
      <c r="B13" s="65">
        <v>1</v>
      </c>
    </row>
    <row r="14" spans="1:5">
      <c r="A14" s="13" t="s">
        <v>102</v>
      </c>
      <c r="B14" s="65">
        <v>1</v>
      </c>
    </row>
    <row r="15" spans="1:5">
      <c r="A15" s="62" t="s">
        <v>104</v>
      </c>
      <c r="B15" s="65">
        <v>1</v>
      </c>
    </row>
    <row r="16" spans="1:5">
      <c r="A16" s="13" t="s">
        <v>105</v>
      </c>
      <c r="B16" s="65">
        <v>1</v>
      </c>
    </row>
    <row r="17" spans="1:2">
      <c r="A17" s="13" t="s">
        <v>106</v>
      </c>
      <c r="B17" s="65">
        <v>0.9</v>
      </c>
    </row>
    <row r="18" spans="1:2">
      <c r="A18" s="13" t="s">
        <v>108</v>
      </c>
      <c r="B18" s="65">
        <v>1</v>
      </c>
    </row>
    <row r="19" spans="1:2">
      <c r="A19" s="60" t="s">
        <v>111</v>
      </c>
      <c r="B19" s="65">
        <v>0.41</v>
      </c>
    </row>
    <row r="20" spans="1:2">
      <c r="A20" s="13" t="s">
        <v>112</v>
      </c>
      <c r="B20" s="65">
        <v>1</v>
      </c>
    </row>
    <row r="21" spans="1:2">
      <c r="A21" s="13" t="s">
        <v>115</v>
      </c>
      <c r="B21" s="65">
        <v>1</v>
      </c>
    </row>
    <row r="22" spans="1:2">
      <c r="A22" s="60" t="s">
        <v>116</v>
      </c>
      <c r="B22" s="65">
        <v>1</v>
      </c>
    </row>
    <row r="23" spans="1:2">
      <c r="A23" s="61" t="s">
        <v>117</v>
      </c>
      <c r="B23" s="65">
        <v>0.9</v>
      </c>
    </row>
    <row r="24" spans="1:2">
      <c r="A24" s="60" t="s">
        <v>320</v>
      </c>
      <c r="B24" s="80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B39CC-394F-4342-BEFB-B79E18F2C4EA}">
  <sheetPr>
    <tabColor theme="7" tint="0.79998168889431442"/>
  </sheetPr>
  <dimension ref="A1:N7"/>
  <sheetViews>
    <sheetView zoomScale="115" zoomScaleNormal="115" workbookViewId="0">
      <selection activeCell="B12" sqref="B12"/>
    </sheetView>
  </sheetViews>
  <sheetFormatPr defaultRowHeight="15"/>
  <cols>
    <col min="1" max="1" width="37.7109375" customWidth="1"/>
    <col min="2" max="2" width="31.5703125" customWidth="1"/>
    <col min="5" max="6" width="12" bestFit="1" customWidth="1"/>
    <col min="9" max="9" width="12.85546875" customWidth="1"/>
  </cols>
  <sheetData>
    <row r="1" spans="1:14">
      <c r="A1" s="13" t="s">
        <v>225</v>
      </c>
      <c r="B1" s="13" t="s">
        <v>230</v>
      </c>
      <c r="D1">
        <f>D2*2</f>
        <v>8392.0011415525114</v>
      </c>
    </row>
    <row r="2" spans="1:14">
      <c r="A2" s="13" t="s">
        <v>231</v>
      </c>
      <c r="B2" s="13">
        <v>6155</v>
      </c>
      <c r="D2">
        <f>B3/730</f>
        <v>4196.0005707762557</v>
      </c>
      <c r="E2" t="s">
        <v>232</v>
      </c>
      <c r="K2" t="s">
        <v>233</v>
      </c>
      <c r="L2" t="s">
        <v>234</v>
      </c>
    </row>
    <row r="3" spans="1:14">
      <c r="A3" s="13" t="s">
        <v>235</v>
      </c>
      <c r="B3" s="34">
        <f>K3/(12)</f>
        <v>3063080.4166666665</v>
      </c>
      <c r="D3" t="s">
        <v>236</v>
      </c>
      <c r="K3">
        <v>36756965</v>
      </c>
      <c r="L3">
        <v>51575940</v>
      </c>
      <c r="M3">
        <v>51.575940000000003</v>
      </c>
      <c r="N3" t="s">
        <v>237</v>
      </c>
    </row>
    <row r="4" spans="1:14">
      <c r="A4" s="13" t="s">
        <v>238</v>
      </c>
      <c r="B4" s="13" t="s">
        <v>239</v>
      </c>
      <c r="D4" s="36" t="s">
        <v>240</v>
      </c>
      <c r="K4">
        <f>K3/1000000</f>
        <v>36.756965000000001</v>
      </c>
    </row>
    <row r="6" spans="1:14">
      <c r="D6">
        <f>B3/B2</f>
        <v>497.65725697265094</v>
      </c>
      <c r="J6" s="1" t="s">
        <v>241</v>
      </c>
      <c r="K6">
        <v>6155</v>
      </c>
    </row>
    <row r="7" spans="1:14">
      <c r="D7">
        <f>30*24</f>
        <v>720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4F360-A15E-48CE-BD73-0003788F49DD}">
  <sheetPr>
    <tabColor theme="7" tint="0.79998168889431442"/>
  </sheetPr>
  <dimension ref="A1:L14"/>
  <sheetViews>
    <sheetView zoomScaleNormal="100" workbookViewId="0">
      <selection activeCell="J20" sqref="J20"/>
    </sheetView>
  </sheetViews>
  <sheetFormatPr defaultRowHeight="15"/>
  <cols>
    <col min="1" max="1" width="34.5703125" customWidth="1"/>
    <col min="2" max="2" width="16.7109375" customWidth="1"/>
  </cols>
  <sheetData>
    <row r="1" spans="1:12">
      <c r="A1" s="13" t="s">
        <v>242</v>
      </c>
      <c r="B1" s="13">
        <v>1</v>
      </c>
      <c r="C1" s="13">
        <v>2</v>
      </c>
      <c r="D1" s="13" t="s">
        <v>141</v>
      </c>
      <c r="J1" t="s">
        <v>243</v>
      </c>
      <c r="K1" t="s">
        <v>244</v>
      </c>
    </row>
    <row r="2" spans="1:12">
      <c r="A2" s="13">
        <v>2020</v>
      </c>
      <c r="B2" s="13">
        <f>1-C2</f>
        <v>0.95</v>
      </c>
      <c r="C2" s="13">
        <v>0.05</v>
      </c>
      <c r="D2" s="13" t="s">
        <v>222</v>
      </c>
      <c r="G2" t="s">
        <v>245</v>
      </c>
      <c r="J2">
        <f>(B2-B3)/30</f>
        <v>1.9999999999999979E-3</v>
      </c>
      <c r="K2">
        <f>J2*4</f>
        <v>7.9999999999999915E-3</v>
      </c>
      <c r="L2">
        <f>B2-K2</f>
        <v>0.94199999999999995</v>
      </c>
    </row>
    <row r="3" spans="1:12">
      <c r="A3" s="13">
        <v>2050</v>
      </c>
      <c r="B3" s="13">
        <f>1-C3</f>
        <v>0.89</v>
      </c>
      <c r="C3" s="13">
        <f>1-SUM(CapacitySubscriptionConsumer!C:C)</f>
        <v>0.10999999999999999</v>
      </c>
      <c r="D3" s="13" t="s">
        <v>222</v>
      </c>
    </row>
    <row r="10" spans="1:12">
      <c r="D10" s="13">
        <v>4</v>
      </c>
    </row>
    <row r="11" spans="1:12">
      <c r="D11" s="13">
        <v>0.03</v>
      </c>
    </row>
    <row r="14" spans="1:12">
      <c r="C14" t="s">
        <v>246</v>
      </c>
      <c r="D14" t="s">
        <v>247</v>
      </c>
    </row>
  </sheetData>
  <conditionalFormatting sqref="G2">
    <cfRule type="cellIs" dxfId="2" priority="1" operator="between">
      <formula>0</formula>
      <formula>0.99</formula>
    </cfRule>
  </conditionalFormatting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D128-5F79-4BB9-B472-84088DDCD114}">
  <sheetPr>
    <tabColor theme="7" tint="0.79998168889431442"/>
  </sheetPr>
  <dimension ref="A1:I4"/>
  <sheetViews>
    <sheetView zoomScale="130" zoomScaleNormal="130" workbookViewId="0">
      <selection activeCell="J22" sqref="J22"/>
    </sheetView>
  </sheetViews>
  <sheetFormatPr defaultRowHeight="15"/>
  <cols>
    <col min="1" max="1" width="11" customWidth="1"/>
    <col min="2" max="2" width="17.85546875" customWidth="1"/>
    <col min="9" max="9" width="17.5703125" customWidth="1"/>
    <col min="10" max="10" width="9.28515625" customWidth="1"/>
  </cols>
  <sheetData>
    <row r="1" spans="1:9">
      <c r="A1" s="13" t="s">
        <v>160</v>
      </c>
      <c r="B1" s="13" t="s">
        <v>248</v>
      </c>
    </row>
    <row r="2" spans="1:9">
      <c r="A2" s="13">
        <v>2020</v>
      </c>
      <c r="B2" s="13">
        <v>20000</v>
      </c>
      <c r="E2" t="s">
        <v>249</v>
      </c>
      <c r="H2" s="45"/>
      <c r="I2" s="16"/>
    </row>
    <row r="3" spans="1:9">
      <c r="A3" s="13">
        <v>2050</v>
      </c>
      <c r="B3" s="13">
        <v>0</v>
      </c>
      <c r="D3">
        <f>35000+LoadShifterCap!B2</f>
        <v>41155</v>
      </c>
      <c r="E3" t="s">
        <v>250</v>
      </c>
      <c r="H3" s="45"/>
      <c r="I3" s="16"/>
    </row>
    <row r="4" spans="1:9">
      <c r="H4" s="45"/>
      <c r="I4" s="16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B119F-2DA3-4201-AE1A-06D508551D8F}">
  <sheetPr>
    <tabColor theme="7" tint="0.79998168889431442"/>
  </sheetPr>
  <dimension ref="A1:J15"/>
  <sheetViews>
    <sheetView zoomScale="115" zoomScaleNormal="115" workbookViewId="0">
      <selection activeCell="C1" sqref="C1"/>
    </sheetView>
  </sheetViews>
  <sheetFormatPr defaultRowHeight="15"/>
  <cols>
    <col min="1" max="1" width="23.140625" customWidth="1"/>
    <col min="2" max="2" width="21.42578125" customWidth="1"/>
    <col min="3" max="3" width="29.42578125" customWidth="1"/>
    <col min="4" max="5" width="32.28515625" customWidth="1"/>
    <col min="6" max="6" width="14.85546875" customWidth="1"/>
    <col min="9" max="9" width="15.85546875" customWidth="1"/>
  </cols>
  <sheetData>
    <row r="1" spans="1:10">
      <c r="A1" s="19" t="s">
        <v>251</v>
      </c>
      <c r="B1" s="50" t="s">
        <v>252</v>
      </c>
      <c r="C1" s="51" t="s">
        <v>253</v>
      </c>
      <c r="E1" s="52" t="s">
        <v>55</v>
      </c>
      <c r="F1" s="52" t="s">
        <v>254</v>
      </c>
      <c r="G1" s="52"/>
    </row>
    <row r="2" spans="1:10">
      <c r="A2" s="13" t="s">
        <v>149</v>
      </c>
      <c r="B2" s="13" t="s">
        <v>255</v>
      </c>
      <c r="C2" s="13">
        <v>0</v>
      </c>
      <c r="D2" s="59"/>
      <c r="E2" s="52"/>
      <c r="F2" s="52"/>
      <c r="G2" s="52"/>
    </row>
    <row r="3" spans="1:10">
      <c r="A3" s="13" t="s">
        <v>256</v>
      </c>
      <c r="B3" s="13" t="s">
        <v>257</v>
      </c>
      <c r="C3" s="13">
        <v>0</v>
      </c>
      <c r="D3" s="59"/>
      <c r="E3" s="52"/>
      <c r="F3" s="52"/>
      <c r="G3" s="52"/>
    </row>
    <row r="4" spans="1:10">
      <c r="A4" s="13" t="s">
        <v>132</v>
      </c>
      <c r="B4" s="13" t="s">
        <v>258</v>
      </c>
      <c r="C4" s="13">
        <v>0.34055972755000002</v>
      </c>
      <c r="D4" s="59"/>
      <c r="E4" s="52">
        <v>0.34</v>
      </c>
      <c r="F4" s="52"/>
      <c r="G4" s="52"/>
    </row>
    <row r="5" spans="1:10">
      <c r="A5" s="13" t="s">
        <v>139</v>
      </c>
      <c r="B5" s="13" t="s">
        <v>259</v>
      </c>
      <c r="C5" s="13">
        <v>0.26676</v>
      </c>
      <c r="D5" s="59"/>
      <c r="E5" s="52"/>
      <c r="F5" s="52"/>
      <c r="G5" s="52"/>
    </row>
    <row r="6" spans="1:10">
      <c r="A6" s="13" t="s">
        <v>134</v>
      </c>
      <c r="B6" s="13" t="s">
        <v>260</v>
      </c>
      <c r="C6" s="13">
        <v>0.36399999999999999</v>
      </c>
      <c r="D6" s="59"/>
      <c r="E6" s="52">
        <v>0.26750000000000002</v>
      </c>
      <c r="F6" s="52"/>
      <c r="G6" s="52"/>
      <c r="J6" s="20"/>
    </row>
    <row r="7" spans="1:10">
      <c r="A7" s="13" t="s">
        <v>143</v>
      </c>
      <c r="B7" s="13" t="s">
        <v>261</v>
      </c>
      <c r="C7" s="13">
        <v>0.20195983840000001</v>
      </c>
      <c r="D7" s="59"/>
      <c r="E7" s="52">
        <v>0.41</v>
      </c>
      <c r="F7" s="52"/>
      <c r="G7" s="52"/>
    </row>
    <row r="8" spans="1:10">
      <c r="A8" s="13" t="s">
        <v>145</v>
      </c>
      <c r="B8" s="13" t="s">
        <v>262</v>
      </c>
      <c r="C8" s="13">
        <v>0</v>
      </c>
      <c r="D8" s="59"/>
      <c r="E8" s="52">
        <v>0.20448</v>
      </c>
      <c r="F8" s="52"/>
      <c r="G8" s="52"/>
    </row>
    <row r="9" spans="1:10">
      <c r="A9" s="13" t="s">
        <v>136</v>
      </c>
      <c r="B9" s="13" t="s">
        <v>263</v>
      </c>
      <c r="C9" s="13">
        <v>0</v>
      </c>
      <c r="D9" s="59"/>
      <c r="E9" s="52">
        <v>0</v>
      </c>
      <c r="F9" s="52"/>
      <c r="G9" s="52"/>
      <c r="J9" s="20"/>
    </row>
    <row r="10" spans="1:10">
      <c r="A10" s="13" t="s">
        <v>141</v>
      </c>
      <c r="B10" s="13" t="s">
        <v>264</v>
      </c>
      <c r="C10" s="13">
        <v>0</v>
      </c>
      <c r="D10" s="59"/>
      <c r="E10" s="52"/>
      <c r="F10" s="52"/>
      <c r="G10" s="52"/>
    </row>
    <row r="11" spans="1:10">
      <c r="E11" s="52"/>
      <c r="F11" s="52"/>
      <c r="G11" s="52"/>
      <c r="J11" s="20"/>
    </row>
    <row r="12" spans="1:10">
      <c r="E12" s="52"/>
      <c r="F12" s="52"/>
      <c r="G12" s="52"/>
    </row>
    <row r="14" spans="1:10">
      <c r="A14" s="52"/>
      <c r="E14" s="52"/>
    </row>
    <row r="15" spans="1:10">
      <c r="A15" s="52"/>
      <c r="E15" s="52"/>
    </row>
  </sheetData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D532-6630-4BEC-87FC-958D5DAAD6DA}">
  <sheetPr>
    <tabColor theme="7" tint="0.79998168889431442"/>
  </sheetPr>
  <dimension ref="A1:H13"/>
  <sheetViews>
    <sheetView zoomScale="130" zoomScaleNormal="130" workbookViewId="0">
      <selection activeCell="I27" sqref="I27"/>
    </sheetView>
  </sheetViews>
  <sheetFormatPr defaultRowHeight="15"/>
  <cols>
    <col min="1" max="1" width="20.85546875" customWidth="1"/>
  </cols>
  <sheetData>
    <row r="1" spans="1:8">
      <c r="A1" s="13" t="s">
        <v>162</v>
      </c>
      <c r="B1" s="13" t="s">
        <v>265</v>
      </c>
      <c r="C1" s="13" t="s">
        <v>266</v>
      </c>
      <c r="D1" s="13" t="s">
        <v>267</v>
      </c>
      <c r="E1" s="13"/>
      <c r="H1" t="s">
        <v>268</v>
      </c>
    </row>
    <row r="2" spans="1:8">
      <c r="A2" s="13" t="s">
        <v>255</v>
      </c>
      <c r="B2" s="13">
        <v>1.01</v>
      </c>
      <c r="C2" s="13">
        <v>1.05</v>
      </c>
      <c r="D2" s="13">
        <v>0.97</v>
      </c>
      <c r="E2" s="13"/>
      <c r="F2" s="13"/>
      <c r="G2" s="14"/>
    </row>
    <row r="3" spans="1:8">
      <c r="A3" s="13" t="s">
        <v>262</v>
      </c>
      <c r="B3" s="13">
        <v>1.01</v>
      </c>
      <c r="C3" s="13">
        <v>1.02</v>
      </c>
      <c r="D3" s="13">
        <v>1</v>
      </c>
      <c r="E3" s="13"/>
      <c r="F3" s="13"/>
      <c r="G3" s="14"/>
    </row>
    <row r="4" spans="1:8">
      <c r="A4" s="13" t="s">
        <v>259</v>
      </c>
      <c r="B4" s="13">
        <v>1.01</v>
      </c>
      <c r="C4" s="13">
        <v>1.04</v>
      </c>
      <c r="D4" s="13">
        <v>0.96</v>
      </c>
      <c r="E4" s="13"/>
      <c r="F4" s="13"/>
      <c r="G4" s="14"/>
    </row>
    <row r="5" spans="1:8">
      <c r="A5" s="13" t="s">
        <v>258</v>
      </c>
      <c r="B5" s="13">
        <v>1</v>
      </c>
      <c r="C5" s="13">
        <v>1.04</v>
      </c>
      <c r="D5" s="13">
        <v>0.79</v>
      </c>
      <c r="E5" s="13"/>
      <c r="F5" s="13"/>
      <c r="G5" s="14"/>
    </row>
    <row r="6" spans="1:8">
      <c r="A6" s="13" t="s">
        <v>260</v>
      </c>
      <c r="B6" s="13">
        <v>1</v>
      </c>
      <c r="C6" s="13">
        <v>1.02</v>
      </c>
      <c r="D6" s="13">
        <v>0.98</v>
      </c>
      <c r="E6" s="13"/>
      <c r="F6" s="13"/>
      <c r="G6" s="14"/>
    </row>
    <row r="7" spans="1:8">
      <c r="A7" s="13" t="s">
        <v>261</v>
      </c>
      <c r="B7" s="13">
        <v>1.01</v>
      </c>
      <c r="C7" s="13">
        <v>1.06</v>
      </c>
      <c r="D7" s="13">
        <v>0.95</v>
      </c>
      <c r="E7" s="13"/>
      <c r="F7" s="13"/>
      <c r="G7" s="14"/>
    </row>
    <row r="8" spans="1:8">
      <c r="A8" s="13" t="s">
        <v>269</v>
      </c>
      <c r="B8" s="13">
        <v>0</v>
      </c>
      <c r="C8" s="13">
        <v>0</v>
      </c>
      <c r="D8" s="13">
        <v>0</v>
      </c>
      <c r="E8" s="13"/>
      <c r="F8" s="13"/>
      <c r="G8" s="14"/>
    </row>
    <row r="9" spans="1:8">
      <c r="A9" s="13" t="s">
        <v>264</v>
      </c>
      <c r="B9" s="13">
        <v>1.02</v>
      </c>
      <c r="C9" s="13">
        <v>1.03</v>
      </c>
      <c r="D9" s="13">
        <v>0.98</v>
      </c>
      <c r="E9" s="13"/>
      <c r="F9" s="13"/>
      <c r="G9" s="14"/>
    </row>
    <row r="10" spans="1:8">
      <c r="A10" s="13" t="s">
        <v>257</v>
      </c>
      <c r="B10" s="13">
        <v>1.02</v>
      </c>
      <c r="C10" s="13">
        <v>1.03</v>
      </c>
      <c r="D10" s="13">
        <v>0.99</v>
      </c>
      <c r="E10" s="13"/>
      <c r="F10" s="13"/>
      <c r="G10" s="14"/>
    </row>
    <row r="11" spans="1:8">
      <c r="A11" s="13" t="s">
        <v>263</v>
      </c>
      <c r="B11" s="13">
        <v>1.01</v>
      </c>
      <c r="C11" s="13">
        <v>1.05</v>
      </c>
      <c r="D11" s="13">
        <v>0.97</v>
      </c>
      <c r="E11" s="13"/>
      <c r="F11" s="13"/>
      <c r="G11" s="14"/>
    </row>
    <row r="12" spans="1:8">
      <c r="G12" s="14"/>
    </row>
    <row r="13" spans="1:8">
      <c r="A13" s="18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F92CA-EB79-4199-B86B-E56E9A0E41B1}">
  <sheetPr>
    <tabColor theme="7" tint="0.79998168889431442"/>
  </sheetPr>
  <dimension ref="A1:J34"/>
  <sheetViews>
    <sheetView zoomScale="107" zoomScaleNormal="85" workbookViewId="0">
      <selection activeCell="J32" sqref="J32"/>
    </sheetView>
  </sheetViews>
  <sheetFormatPr defaultRowHeight="15"/>
  <cols>
    <col min="1" max="1" width="15.85546875" customWidth="1"/>
    <col min="2" max="2" width="33.42578125" customWidth="1"/>
    <col min="3" max="3" width="14.42578125" customWidth="1"/>
    <col min="4" max="4" width="14.5703125" customWidth="1"/>
    <col min="7" max="7" width="15.42578125" customWidth="1"/>
  </cols>
  <sheetData>
    <row r="1" spans="1:8">
      <c r="A1" s="13" t="s">
        <v>162</v>
      </c>
      <c r="B1" s="13" t="s">
        <v>270</v>
      </c>
      <c r="C1" s="13" t="s">
        <v>271</v>
      </c>
      <c r="D1" s="13" t="s">
        <v>272</v>
      </c>
    </row>
    <row r="2" spans="1:8">
      <c r="A2" s="13">
        <v>1</v>
      </c>
      <c r="B2" s="13" t="s">
        <v>113</v>
      </c>
      <c r="C2" s="13" t="b">
        <v>1</v>
      </c>
      <c r="D2" s="13">
        <v>300</v>
      </c>
    </row>
    <row r="3" spans="1:8">
      <c r="A3" s="13">
        <v>2</v>
      </c>
      <c r="B3" s="13" t="s">
        <v>122</v>
      </c>
      <c r="C3" s="13" t="b">
        <v>1</v>
      </c>
      <c r="D3" s="13">
        <v>500</v>
      </c>
    </row>
    <row r="4" spans="1:8">
      <c r="A4" s="13">
        <v>3</v>
      </c>
      <c r="B4" s="13" t="s">
        <v>110</v>
      </c>
      <c r="C4" s="13" t="b">
        <v>1</v>
      </c>
      <c r="D4" s="13">
        <v>400</v>
      </c>
    </row>
    <row r="5" spans="1:8">
      <c r="A5" s="13">
        <v>4</v>
      </c>
      <c r="B5" s="13" t="s">
        <v>118</v>
      </c>
      <c r="C5" s="13" t="b">
        <v>1</v>
      </c>
      <c r="D5" s="13">
        <v>300</v>
      </c>
    </row>
    <row r="6" spans="1:8">
      <c r="A6" s="13">
        <v>5</v>
      </c>
      <c r="B6" s="13" t="s">
        <v>124</v>
      </c>
      <c r="C6" s="13" t="b">
        <v>1</v>
      </c>
      <c r="D6" s="13">
        <v>500</v>
      </c>
    </row>
    <row r="7" spans="1:8">
      <c r="A7" s="13">
        <v>6</v>
      </c>
      <c r="B7" s="13" t="s">
        <v>99</v>
      </c>
      <c r="C7" s="13" t="b">
        <v>1</v>
      </c>
      <c r="D7" s="13">
        <v>300</v>
      </c>
    </row>
    <row r="8" spans="1:8">
      <c r="A8" s="13">
        <v>7</v>
      </c>
      <c r="B8" s="13" t="s">
        <v>109</v>
      </c>
      <c r="C8" s="13" t="b">
        <v>1</v>
      </c>
      <c r="D8" s="13">
        <v>400</v>
      </c>
    </row>
    <row r="9" spans="1:8">
      <c r="A9" s="13">
        <v>8</v>
      </c>
      <c r="B9" s="13" t="s">
        <v>127</v>
      </c>
      <c r="C9" s="13" t="b">
        <v>1</v>
      </c>
      <c r="D9" s="13">
        <v>300</v>
      </c>
    </row>
    <row r="10" spans="1:8">
      <c r="A10" s="13">
        <v>9</v>
      </c>
      <c r="B10" s="13" t="s">
        <v>114</v>
      </c>
      <c r="C10" s="13" t="b">
        <v>1</v>
      </c>
      <c r="D10" s="13">
        <v>500</v>
      </c>
    </row>
    <row r="11" spans="1:8">
      <c r="A11" s="13">
        <v>10</v>
      </c>
      <c r="B11" s="13" t="s">
        <v>120</v>
      </c>
      <c r="C11" s="13" t="b">
        <v>1</v>
      </c>
      <c r="D11" s="13">
        <v>300</v>
      </c>
    </row>
    <row r="12" spans="1:8">
      <c r="A12" s="13">
        <v>11</v>
      </c>
      <c r="B12" s="13" t="s">
        <v>102</v>
      </c>
      <c r="C12" s="13" t="b">
        <v>1</v>
      </c>
      <c r="D12" s="13">
        <v>300</v>
      </c>
    </row>
    <row r="13" spans="1:8">
      <c r="A13" s="13">
        <v>12</v>
      </c>
      <c r="B13" s="13" t="s">
        <v>115</v>
      </c>
      <c r="C13" s="13" t="b">
        <v>1</v>
      </c>
      <c r="D13" s="13">
        <v>300</v>
      </c>
    </row>
    <row r="14" spans="1:8">
      <c r="H14" t="s">
        <v>273</v>
      </c>
    </row>
    <row r="18" spans="1:10">
      <c r="G18" s="13">
        <v>10</v>
      </c>
      <c r="H18" s="13" t="s">
        <v>102</v>
      </c>
      <c r="I18" s="13" t="b">
        <v>1</v>
      </c>
      <c r="J18" s="13">
        <v>300</v>
      </c>
    </row>
    <row r="19" spans="1:10">
      <c r="G19" s="13">
        <v>11</v>
      </c>
      <c r="H19" s="13" t="s">
        <v>274</v>
      </c>
      <c r="I19" s="13" t="b">
        <v>1</v>
      </c>
      <c r="J19" s="13">
        <v>100</v>
      </c>
    </row>
    <row r="20" spans="1:10">
      <c r="G20" s="13">
        <v>12</v>
      </c>
      <c r="H20" s="13" t="s">
        <v>108</v>
      </c>
      <c r="I20" s="13" t="b">
        <v>1</v>
      </c>
      <c r="J20" s="13">
        <v>300</v>
      </c>
    </row>
    <row r="21" spans="1:10">
      <c r="G21" s="13">
        <v>13</v>
      </c>
      <c r="H21" s="13" t="s">
        <v>275</v>
      </c>
      <c r="I21" s="13" t="b">
        <v>1</v>
      </c>
      <c r="J21" s="13">
        <v>500</v>
      </c>
    </row>
    <row r="24" spans="1:10">
      <c r="A24" s="9"/>
    </row>
    <row r="25" spans="1:10">
      <c r="A25" s="9"/>
    </row>
    <row r="26" spans="1:10">
      <c r="A26" s="9"/>
    </row>
    <row r="27" spans="1:10">
      <c r="A27" s="9"/>
    </row>
    <row r="28" spans="1:10">
      <c r="A28" s="9"/>
    </row>
    <row r="29" spans="1:10">
      <c r="A29" s="9"/>
    </row>
    <row r="31" spans="1:10">
      <c r="A31" s="9"/>
    </row>
    <row r="32" spans="1:10">
      <c r="A32" s="9"/>
    </row>
    <row r="33" spans="1:1">
      <c r="A33" s="9"/>
    </row>
    <row r="34" spans="1:1">
      <c r="A34" s="9"/>
    </row>
  </sheetData>
  <autoFilter ref="A1:D1" xr:uid="{B03F92CA-EB79-4199-B86B-E56E9A0E41B1}">
    <sortState xmlns:xlrd2="http://schemas.microsoft.com/office/spreadsheetml/2017/richdata2" ref="A2:D9">
      <sortCondition ref="A1"/>
    </sortState>
  </autoFilter>
  <phoneticPr fontId="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59906-F576-41DF-867C-6CE433CBA5BE}">
  <sheetPr>
    <tabColor theme="7" tint="0.79998168889431442"/>
  </sheetPr>
  <dimension ref="A1:AP25"/>
  <sheetViews>
    <sheetView zoomScale="94" zoomScaleNormal="33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35" sqref="K35"/>
    </sheetView>
  </sheetViews>
  <sheetFormatPr defaultRowHeight="15"/>
  <cols>
    <col min="1" max="1" width="28.85546875" customWidth="1"/>
    <col min="2" max="2" width="25.85546875" customWidth="1"/>
    <col min="3" max="4" width="12" customWidth="1"/>
    <col min="5" max="5" width="15.140625" customWidth="1"/>
    <col min="6" max="6" width="9" customWidth="1"/>
    <col min="7" max="7" width="13.5703125" customWidth="1"/>
    <col min="8" max="8" width="15.140625" customWidth="1"/>
    <col min="9" max="16" width="14" customWidth="1"/>
    <col min="17" max="19" width="33.85546875" customWidth="1"/>
    <col min="20" max="20" width="18.42578125" customWidth="1"/>
    <col min="21" max="21" width="15.140625" customWidth="1"/>
    <col min="22" max="22" width="6.42578125" customWidth="1"/>
    <col min="23" max="23" width="15.140625" customWidth="1"/>
    <col min="24" max="24" width="11.140625" customWidth="1"/>
    <col min="25" max="25" width="15.140625" customWidth="1"/>
    <col min="26" max="28" width="10.140625" customWidth="1"/>
    <col min="29" max="31" width="8.42578125" customWidth="1"/>
    <col min="35" max="35" width="11.140625" customWidth="1"/>
    <col min="36" max="36" width="19.28515625" customWidth="1"/>
  </cols>
  <sheetData>
    <row r="1" spans="1:42" ht="55.5" customHeight="1">
      <c r="A1" s="38" t="s">
        <v>276</v>
      </c>
      <c r="B1" s="38" t="s">
        <v>277</v>
      </c>
      <c r="C1" s="55" t="s">
        <v>37</v>
      </c>
      <c r="D1" s="55" t="s">
        <v>38</v>
      </c>
      <c r="E1" s="55" t="s">
        <v>278</v>
      </c>
      <c r="F1" s="55" t="s">
        <v>279</v>
      </c>
      <c r="G1" s="56" t="s">
        <v>280</v>
      </c>
      <c r="H1" s="38" t="s">
        <v>281</v>
      </c>
      <c r="I1" s="38" t="s">
        <v>282</v>
      </c>
      <c r="K1" s="87"/>
      <c r="M1" t="s">
        <v>283</v>
      </c>
      <c r="N1" t="s">
        <v>284</v>
      </c>
      <c r="O1" s="55" t="s">
        <v>37</v>
      </c>
      <c r="P1" s="55" t="s">
        <v>38</v>
      </c>
      <c r="Q1" s="55" t="s">
        <v>279</v>
      </c>
      <c r="R1" t="s">
        <v>285</v>
      </c>
      <c r="S1" t="s">
        <v>42</v>
      </c>
      <c r="T1" s="5" t="s">
        <v>286</v>
      </c>
      <c r="U1" s="5" t="s">
        <v>40</v>
      </c>
      <c r="V1" s="5" t="s">
        <v>287</v>
      </c>
      <c r="W1" t="s">
        <v>288</v>
      </c>
      <c r="X1" t="s">
        <v>289</v>
      </c>
      <c r="Y1" s="2" t="s">
        <v>290</v>
      </c>
      <c r="Z1" t="s">
        <v>291</v>
      </c>
      <c r="AA1" s="2" t="s">
        <v>292</v>
      </c>
      <c r="AB1" s="2" t="s">
        <v>292</v>
      </c>
      <c r="AC1" t="s">
        <v>293</v>
      </c>
      <c r="AD1" t="s">
        <v>294</v>
      </c>
      <c r="AE1" t="s">
        <v>295</v>
      </c>
      <c r="AF1" t="s">
        <v>296</v>
      </c>
      <c r="AG1" t="s">
        <v>297</v>
      </c>
      <c r="AH1" t="s">
        <v>298</v>
      </c>
      <c r="AJ1" s="9" t="s">
        <v>299</v>
      </c>
      <c r="AK1" s="9"/>
    </row>
    <row r="2" spans="1:42">
      <c r="A2" s="13" t="s">
        <v>109</v>
      </c>
      <c r="B2" s="13" t="s">
        <v>300</v>
      </c>
      <c r="C2" s="13">
        <v>2</v>
      </c>
      <c r="D2" s="13">
        <v>2</v>
      </c>
      <c r="E2" s="13" t="b">
        <v>0</v>
      </c>
      <c r="F2" s="13">
        <v>6</v>
      </c>
      <c r="G2" s="65">
        <v>1</v>
      </c>
      <c r="H2" s="13" t="s">
        <v>141</v>
      </c>
      <c r="I2" s="63">
        <v>0.08</v>
      </c>
      <c r="L2" s="13">
        <v>6</v>
      </c>
      <c r="M2" s="65">
        <v>1</v>
      </c>
      <c r="N2" s="65">
        <v>1</v>
      </c>
      <c r="O2" s="13">
        <v>2</v>
      </c>
      <c r="P2" s="13">
        <v>2</v>
      </c>
      <c r="Q2" s="13">
        <v>5</v>
      </c>
      <c r="R2" s="64" t="s">
        <v>301</v>
      </c>
      <c r="S2" s="64">
        <v>0.92</v>
      </c>
      <c r="T2" s="9" t="b">
        <v>1</v>
      </c>
      <c r="U2" s="9">
        <v>1</v>
      </c>
      <c r="V2" s="9">
        <v>1</v>
      </c>
      <c r="W2">
        <f>D2+C2</f>
        <v>4</v>
      </c>
      <c r="X2" s="9">
        <f>IF(T2&lt;&gt;"",1,0)</f>
        <v>1</v>
      </c>
      <c r="Y2" s="9" t="s">
        <v>302</v>
      </c>
      <c r="Z2" s="27" t="s">
        <v>303</v>
      </c>
      <c r="AA2" s="9">
        <v>600</v>
      </c>
      <c r="AB2" s="9"/>
      <c r="AC2" s="9" t="s">
        <v>304</v>
      </c>
      <c r="AD2" s="9" t="s">
        <v>305</v>
      </c>
      <c r="AE2" s="9">
        <v>0</v>
      </c>
      <c r="AF2" s="9">
        <v>1.5</v>
      </c>
      <c r="AG2" s="9">
        <v>33.9</v>
      </c>
      <c r="AH2" s="9">
        <v>0</v>
      </c>
      <c r="AI2" s="9"/>
      <c r="AJ2" s="9"/>
      <c r="AK2" s="9"/>
      <c r="AL2" s="9"/>
      <c r="AM2" s="9"/>
      <c r="AN2" s="9"/>
      <c r="AO2" s="9"/>
      <c r="AP2" s="9"/>
    </row>
    <row r="3" spans="1:42" s="9" customFormat="1">
      <c r="A3" s="13" t="s">
        <v>110</v>
      </c>
      <c r="B3" s="13" t="s">
        <v>300</v>
      </c>
      <c r="C3" s="13">
        <v>2</v>
      </c>
      <c r="D3" s="13">
        <v>2</v>
      </c>
      <c r="E3" s="13" t="b">
        <v>0</v>
      </c>
      <c r="F3" s="13">
        <v>6</v>
      </c>
      <c r="G3" s="65">
        <v>1</v>
      </c>
      <c r="H3" s="13" t="s">
        <v>141</v>
      </c>
      <c r="I3" s="63">
        <v>0.08</v>
      </c>
      <c r="K3"/>
      <c r="L3" s="13">
        <v>6</v>
      </c>
      <c r="M3" s="65">
        <v>1</v>
      </c>
      <c r="N3" s="65">
        <v>1</v>
      </c>
      <c r="O3" s="13">
        <v>2</v>
      </c>
      <c r="P3" s="13">
        <v>2</v>
      </c>
      <c r="Q3" s="13">
        <v>3</v>
      </c>
      <c r="R3" s="64" t="s">
        <v>102</v>
      </c>
      <c r="S3" s="64">
        <v>0.91</v>
      </c>
      <c r="T3" s="9" t="b">
        <v>1</v>
      </c>
      <c r="U3" s="9">
        <v>1</v>
      </c>
      <c r="V3" s="9">
        <v>1</v>
      </c>
      <c r="W3">
        <f>D3+C3</f>
        <v>4</v>
      </c>
      <c r="X3" s="9">
        <f>IF(T3&lt;&gt;"",1,0)</f>
        <v>1</v>
      </c>
      <c r="Y3" s="9" t="s">
        <v>302</v>
      </c>
      <c r="Z3" s="27" t="s">
        <v>306</v>
      </c>
      <c r="AA3" s="9">
        <v>500</v>
      </c>
      <c r="AC3" s="9" t="s">
        <v>307</v>
      </c>
      <c r="AD3" s="9" t="s">
        <v>308</v>
      </c>
      <c r="AE3" s="9">
        <v>0</v>
      </c>
      <c r="AF3" s="9">
        <v>0</v>
      </c>
      <c r="AG3" s="9">
        <v>6.3</v>
      </c>
      <c r="AH3" s="9">
        <v>0</v>
      </c>
      <c r="AI3"/>
      <c r="AL3"/>
    </row>
    <row r="4" spans="1:42" s="9" customFormat="1">
      <c r="A4" s="13" t="s">
        <v>99</v>
      </c>
      <c r="B4" s="13" t="s">
        <v>300</v>
      </c>
      <c r="C4" s="13">
        <v>1</v>
      </c>
      <c r="D4" s="13">
        <v>3</v>
      </c>
      <c r="E4" s="13" t="b">
        <v>0</v>
      </c>
      <c r="F4" s="13">
        <v>6</v>
      </c>
      <c r="G4" s="65">
        <v>1</v>
      </c>
      <c r="H4" s="13" t="s">
        <v>149</v>
      </c>
      <c r="I4" s="63">
        <v>0.05</v>
      </c>
      <c r="K4"/>
      <c r="L4" s="13">
        <v>6</v>
      </c>
      <c r="M4" s="65">
        <v>1</v>
      </c>
      <c r="N4" s="65">
        <v>1</v>
      </c>
      <c r="O4" s="13">
        <v>1</v>
      </c>
      <c r="P4" s="13">
        <v>3</v>
      </c>
      <c r="Q4" s="13">
        <v>5</v>
      </c>
      <c r="R4" s="64"/>
      <c r="S4" s="64">
        <v>0.93</v>
      </c>
      <c r="T4" s="9" t="b">
        <v>1</v>
      </c>
      <c r="U4" s="9">
        <v>1</v>
      </c>
      <c r="V4" s="9">
        <v>1</v>
      </c>
      <c r="W4" s="9">
        <f>D4+C4</f>
        <v>4</v>
      </c>
      <c r="X4" s="9">
        <f t="shared" ref="X4" si="0">IF(T4&lt;&gt;"",1,0)</f>
        <v>1</v>
      </c>
      <c r="Z4" s="9" t="s">
        <v>309</v>
      </c>
      <c r="AA4" s="9">
        <v>500</v>
      </c>
      <c r="AB4" s="9">
        <v>500</v>
      </c>
      <c r="AC4" s="9" t="s">
        <v>150</v>
      </c>
      <c r="AD4" s="9" t="s">
        <v>310</v>
      </c>
      <c r="AE4" s="9">
        <v>0</v>
      </c>
      <c r="AF4" s="9">
        <v>2.2999999999999998</v>
      </c>
      <c r="AG4" s="9">
        <v>69.542579720367115</v>
      </c>
      <c r="AH4" s="9">
        <v>0</v>
      </c>
    </row>
    <row r="5" spans="1:42">
      <c r="A5" s="13" t="s">
        <v>127</v>
      </c>
      <c r="B5" s="13" t="s">
        <v>311</v>
      </c>
      <c r="C5" s="57">
        <v>0</v>
      </c>
      <c r="D5" s="13">
        <v>1</v>
      </c>
      <c r="E5" s="13" t="b">
        <v>0</v>
      </c>
      <c r="F5" s="18">
        <v>1</v>
      </c>
      <c r="G5" s="65">
        <v>0</v>
      </c>
      <c r="H5" s="13"/>
      <c r="I5" s="63">
        <v>0.05</v>
      </c>
      <c r="L5" s="18">
        <v>1</v>
      </c>
      <c r="M5" s="65">
        <v>0</v>
      </c>
      <c r="N5" s="65">
        <v>0.25</v>
      </c>
    </row>
    <row r="6" spans="1:42" s="9" customFormat="1">
      <c r="A6" s="13" t="s">
        <v>113</v>
      </c>
      <c r="B6" s="13" t="s">
        <v>311</v>
      </c>
      <c r="C6" s="57">
        <v>0</v>
      </c>
      <c r="D6" s="13">
        <v>1</v>
      </c>
      <c r="E6" s="13" t="b">
        <v>0</v>
      </c>
      <c r="F6" s="13">
        <v>1</v>
      </c>
      <c r="G6" s="65">
        <v>0</v>
      </c>
      <c r="H6" s="13"/>
      <c r="I6" s="63">
        <v>0.05</v>
      </c>
      <c r="K6"/>
      <c r="L6" s="13">
        <v>1</v>
      </c>
      <c r="M6" s="65">
        <v>0</v>
      </c>
      <c r="N6" s="65">
        <v>0.16</v>
      </c>
      <c r="O6" s="57">
        <v>0</v>
      </c>
      <c r="P6" s="57">
        <v>1</v>
      </c>
      <c r="Q6" s="13">
        <v>0</v>
      </c>
      <c r="R6" s="65">
        <v>0.79</v>
      </c>
      <c r="S6" s="67">
        <v>0.56000000000000005</v>
      </c>
      <c r="T6"/>
      <c r="U6"/>
      <c r="V6"/>
      <c r="W6">
        <f t="shared" ref="W6:W7" si="1">D6+C6</f>
        <v>1</v>
      </c>
      <c r="X6"/>
      <c r="Y6"/>
      <c r="Z6"/>
      <c r="AA6"/>
      <c r="AB6"/>
      <c r="AC6"/>
      <c r="AD6"/>
      <c r="AE6"/>
      <c r="AF6"/>
      <c r="AG6"/>
      <c r="AH6"/>
      <c r="AI6"/>
      <c r="AL6"/>
    </row>
    <row r="7" spans="1:42">
      <c r="A7" s="13" t="s">
        <v>114</v>
      </c>
      <c r="B7" s="13" t="s">
        <v>300</v>
      </c>
      <c r="C7" s="13">
        <v>2</v>
      </c>
      <c r="D7" s="13">
        <v>5</v>
      </c>
      <c r="E7" s="13" t="b">
        <v>0</v>
      </c>
      <c r="F7" s="13">
        <v>10</v>
      </c>
      <c r="G7" s="65">
        <v>1</v>
      </c>
      <c r="H7" s="13" t="s">
        <v>145</v>
      </c>
      <c r="I7" s="63">
        <v>0.08</v>
      </c>
      <c r="L7" s="13">
        <v>20</v>
      </c>
      <c r="M7" s="65">
        <v>1</v>
      </c>
      <c r="N7" s="65">
        <v>1</v>
      </c>
      <c r="O7" s="13">
        <v>2</v>
      </c>
      <c r="P7" s="13">
        <v>5</v>
      </c>
      <c r="Q7" s="13">
        <v>10</v>
      </c>
      <c r="R7" s="64"/>
      <c r="S7" s="64">
        <v>0.8</v>
      </c>
      <c r="W7">
        <f t="shared" si="1"/>
        <v>7</v>
      </c>
      <c r="AJ7" s="9"/>
      <c r="AK7" s="9"/>
    </row>
    <row r="8" spans="1:42">
      <c r="A8" s="13" t="s">
        <v>118</v>
      </c>
      <c r="B8" s="13" t="s">
        <v>312</v>
      </c>
      <c r="C8" s="13">
        <v>1</v>
      </c>
      <c r="D8" s="13">
        <v>1</v>
      </c>
      <c r="E8" s="13" t="b">
        <v>1</v>
      </c>
      <c r="F8" s="13">
        <v>3</v>
      </c>
      <c r="G8" s="65">
        <v>0</v>
      </c>
      <c r="H8" s="13"/>
      <c r="I8" s="63">
        <v>0.05</v>
      </c>
      <c r="L8" s="13">
        <v>3</v>
      </c>
      <c r="M8" s="65">
        <v>0</v>
      </c>
      <c r="N8" s="65">
        <v>0</v>
      </c>
      <c r="O8" s="13">
        <v>1</v>
      </c>
      <c r="P8" s="13">
        <v>1</v>
      </c>
      <c r="Q8" s="13">
        <v>1</v>
      </c>
      <c r="R8" s="64"/>
      <c r="S8" s="64">
        <v>0.01</v>
      </c>
      <c r="W8" t="e">
        <f>#REF!+#REF!</f>
        <v>#REF!</v>
      </c>
      <c r="X8">
        <f>IF(T8&lt;&gt;"",1,0)</f>
        <v>0</v>
      </c>
      <c r="Y8" t="s">
        <v>313</v>
      </c>
      <c r="AC8" t="s">
        <v>314</v>
      </c>
      <c r="AD8" t="s">
        <v>315</v>
      </c>
      <c r="AE8">
        <v>8.52</v>
      </c>
      <c r="AF8">
        <v>6.11</v>
      </c>
      <c r="AG8">
        <v>32</v>
      </c>
      <c r="AH8">
        <v>14</v>
      </c>
    </row>
    <row r="9" spans="1:42">
      <c r="A9" s="13" t="s">
        <v>120</v>
      </c>
      <c r="B9" s="13" t="s">
        <v>312</v>
      </c>
      <c r="C9" s="13">
        <v>1</v>
      </c>
      <c r="D9" s="13">
        <v>1</v>
      </c>
      <c r="E9" s="13" t="b">
        <v>1</v>
      </c>
      <c r="F9" s="13">
        <v>3</v>
      </c>
      <c r="G9" s="65">
        <v>0</v>
      </c>
      <c r="H9" s="13"/>
      <c r="I9" s="63">
        <v>0.05</v>
      </c>
      <c r="L9" s="13">
        <v>3</v>
      </c>
      <c r="M9" s="65">
        <v>0</v>
      </c>
      <c r="N9" s="65">
        <v>0</v>
      </c>
      <c r="O9" s="13">
        <v>1</v>
      </c>
      <c r="P9" s="13">
        <v>1</v>
      </c>
      <c r="Q9" s="13">
        <v>1</v>
      </c>
      <c r="R9" s="64"/>
      <c r="S9" s="64">
        <v>0.01</v>
      </c>
    </row>
    <row r="10" spans="1:42">
      <c r="A10" s="13" t="s">
        <v>122</v>
      </c>
      <c r="B10" s="13" t="s">
        <v>312</v>
      </c>
      <c r="C10" s="13">
        <v>1</v>
      </c>
      <c r="D10" s="13">
        <v>2</v>
      </c>
      <c r="E10" s="13" t="b">
        <v>1</v>
      </c>
      <c r="F10" s="13">
        <v>5</v>
      </c>
      <c r="G10" s="65">
        <v>0</v>
      </c>
      <c r="H10" s="13"/>
      <c r="I10" s="63">
        <v>0.05</v>
      </c>
      <c r="L10" s="13">
        <v>5</v>
      </c>
      <c r="M10" s="65">
        <v>0</v>
      </c>
      <c r="N10" s="65">
        <v>0.06</v>
      </c>
      <c r="O10" s="13">
        <v>1</v>
      </c>
      <c r="P10" s="13">
        <v>2</v>
      </c>
      <c r="Q10" s="13">
        <v>3</v>
      </c>
      <c r="R10" s="64"/>
      <c r="S10" s="64">
        <v>0.13</v>
      </c>
    </row>
    <row r="11" spans="1:42">
      <c r="A11" s="13" t="s">
        <v>124</v>
      </c>
      <c r="B11" s="13" t="s">
        <v>312</v>
      </c>
      <c r="C11" s="13">
        <v>1</v>
      </c>
      <c r="D11" s="13">
        <v>2</v>
      </c>
      <c r="E11" s="13" t="b">
        <v>1</v>
      </c>
      <c r="F11" s="13">
        <v>4</v>
      </c>
      <c r="G11" s="65">
        <v>0</v>
      </c>
      <c r="H11" s="13"/>
      <c r="I11" s="63">
        <v>0.05</v>
      </c>
      <c r="L11" s="13">
        <v>4</v>
      </c>
      <c r="M11" s="65">
        <v>0</v>
      </c>
      <c r="N11" s="65">
        <v>0.12</v>
      </c>
      <c r="O11" s="13">
        <v>1</v>
      </c>
      <c r="P11" s="13">
        <v>2</v>
      </c>
      <c r="Q11" s="13">
        <v>2</v>
      </c>
      <c r="R11" s="64"/>
      <c r="S11" s="64">
        <v>0.09</v>
      </c>
    </row>
    <row r="12" spans="1:42">
      <c r="A12" s="13" t="s">
        <v>126</v>
      </c>
      <c r="B12" s="13" t="s">
        <v>300</v>
      </c>
      <c r="C12" s="13">
        <v>0</v>
      </c>
      <c r="D12" s="13">
        <v>0</v>
      </c>
      <c r="E12" s="13" t="b">
        <v>0</v>
      </c>
      <c r="F12" s="13">
        <v>0</v>
      </c>
      <c r="G12" s="65">
        <v>0</v>
      </c>
      <c r="H12" s="13"/>
      <c r="I12" s="63">
        <v>7.0000000000000007E-2</v>
      </c>
      <c r="K12" s="64"/>
      <c r="L12" s="13">
        <v>0</v>
      </c>
      <c r="M12" s="65">
        <v>0</v>
      </c>
      <c r="N12" s="65">
        <v>0</v>
      </c>
      <c r="O12" s="13">
        <v>0</v>
      </c>
      <c r="P12" s="13">
        <v>0</v>
      </c>
      <c r="Q12" s="13">
        <v>0</v>
      </c>
      <c r="R12" s="64"/>
      <c r="S12" s="64">
        <v>0</v>
      </c>
    </row>
    <row r="13" spans="1:42">
      <c r="A13" s="13" t="s">
        <v>316</v>
      </c>
      <c r="B13" s="13" t="s">
        <v>300</v>
      </c>
      <c r="C13" s="13">
        <v>0</v>
      </c>
      <c r="D13" s="13">
        <v>0</v>
      </c>
      <c r="E13" s="13" t="b">
        <v>0</v>
      </c>
      <c r="F13" s="13">
        <v>0</v>
      </c>
      <c r="G13" s="65">
        <v>1</v>
      </c>
      <c r="H13" s="13" t="s">
        <v>143</v>
      </c>
      <c r="I13" s="63">
        <v>7.0000000000000007E-2</v>
      </c>
      <c r="K13" s="64"/>
      <c r="L13" s="13">
        <v>0</v>
      </c>
      <c r="M13" s="65">
        <v>1</v>
      </c>
      <c r="N13" s="65">
        <v>1</v>
      </c>
      <c r="O13" s="13">
        <v>0</v>
      </c>
      <c r="P13" s="13">
        <v>0</v>
      </c>
      <c r="Q13" s="13">
        <v>0</v>
      </c>
      <c r="R13" t="s">
        <v>317</v>
      </c>
      <c r="S13">
        <v>0</v>
      </c>
      <c r="T13" s="9"/>
      <c r="U13" s="9"/>
      <c r="V13" s="9"/>
    </row>
    <row r="14" spans="1:42">
      <c r="A14" s="13" t="s">
        <v>102</v>
      </c>
      <c r="B14" s="13" t="s">
        <v>300</v>
      </c>
      <c r="C14" s="13">
        <v>1</v>
      </c>
      <c r="D14" s="13">
        <v>2</v>
      </c>
      <c r="E14" s="13" t="b">
        <v>0</v>
      </c>
      <c r="F14" s="13">
        <v>5</v>
      </c>
      <c r="G14" s="65">
        <v>1</v>
      </c>
      <c r="H14" s="13" t="s">
        <v>143</v>
      </c>
      <c r="I14" s="13">
        <v>7.0000000000000007E-2</v>
      </c>
      <c r="L14" s="13">
        <v>5</v>
      </c>
      <c r="M14" s="65">
        <v>1</v>
      </c>
      <c r="N14" s="65">
        <v>1</v>
      </c>
      <c r="O14" s="13">
        <v>1</v>
      </c>
      <c r="P14" s="13">
        <v>2</v>
      </c>
      <c r="Q14" s="13">
        <v>5</v>
      </c>
      <c r="R14" s="64"/>
      <c r="S14" s="64">
        <v>0.92</v>
      </c>
      <c r="T14" s="9" t="b">
        <v>1</v>
      </c>
      <c r="U14" s="9">
        <v>1</v>
      </c>
      <c r="V14" s="9">
        <v>1</v>
      </c>
      <c r="W14">
        <f t="shared" ref="W14:W23" si="2">D14+C14</f>
        <v>3</v>
      </c>
      <c r="X14" s="9">
        <f t="shared" ref="X14:X19" si="3">IF(T14&lt;&gt;"",1,0)</f>
        <v>1</v>
      </c>
      <c r="Y14" s="9"/>
      <c r="Z14" s="9" t="s">
        <v>102</v>
      </c>
      <c r="AA14" s="9">
        <v>775</v>
      </c>
      <c r="AB14" s="9">
        <v>775</v>
      </c>
      <c r="AC14" s="9" t="s">
        <v>314</v>
      </c>
      <c r="AD14" s="9" t="s">
        <v>102</v>
      </c>
      <c r="AE14" s="9">
        <v>56.8</v>
      </c>
      <c r="AF14" s="9">
        <v>1.5</v>
      </c>
      <c r="AG14" s="9">
        <v>10.473234339905167</v>
      </c>
      <c r="AH14" s="9">
        <v>0</v>
      </c>
      <c r="AI14" s="9"/>
      <c r="AJ14" s="9"/>
      <c r="AK14" s="9"/>
      <c r="AL14" s="9"/>
    </row>
    <row r="15" spans="1:42">
      <c r="A15" s="62" t="s">
        <v>104</v>
      </c>
      <c r="B15" s="13" t="s">
        <v>300</v>
      </c>
      <c r="C15" s="13">
        <v>1</v>
      </c>
      <c r="D15" s="13">
        <v>2</v>
      </c>
      <c r="E15" s="13" t="b">
        <v>0</v>
      </c>
      <c r="F15" s="13">
        <v>5</v>
      </c>
      <c r="G15" s="65">
        <v>1</v>
      </c>
      <c r="H15" s="13" t="s">
        <v>143</v>
      </c>
      <c r="I15" s="13">
        <v>7.0000000000000007E-2</v>
      </c>
      <c r="L15" s="13">
        <v>5</v>
      </c>
      <c r="M15" s="65">
        <v>1</v>
      </c>
      <c r="N15" s="65">
        <v>1</v>
      </c>
      <c r="O15" s="13">
        <v>1</v>
      </c>
      <c r="P15" s="13">
        <v>2</v>
      </c>
      <c r="Q15" s="13">
        <v>5</v>
      </c>
      <c r="R15" s="64"/>
      <c r="S15" s="64">
        <v>0.9</v>
      </c>
      <c r="T15" s="9" t="b">
        <v>1</v>
      </c>
      <c r="U15" s="9">
        <v>1</v>
      </c>
      <c r="V15" s="9">
        <v>1</v>
      </c>
      <c r="W15">
        <f t="shared" si="2"/>
        <v>3</v>
      </c>
      <c r="X15" s="9">
        <f t="shared" si="3"/>
        <v>1</v>
      </c>
      <c r="Y15" s="9"/>
      <c r="Z15" s="9"/>
      <c r="AA15" s="9"/>
      <c r="AB15" s="9"/>
      <c r="AC15" s="9"/>
      <c r="AD15" s="9"/>
      <c r="AE15" s="9"/>
      <c r="AF15" s="9"/>
      <c r="AG15" s="9"/>
      <c r="AH15" s="9"/>
      <c r="AJ15" s="9"/>
      <c r="AK15" s="9"/>
    </row>
    <row r="16" spans="1:42">
      <c r="A16" s="13" t="s">
        <v>105</v>
      </c>
      <c r="B16" s="13" t="s">
        <v>300</v>
      </c>
      <c r="C16" s="13">
        <v>1</v>
      </c>
      <c r="D16" s="13">
        <v>4</v>
      </c>
      <c r="E16" s="13" t="b">
        <v>0</v>
      </c>
      <c r="F16" s="13">
        <v>10</v>
      </c>
      <c r="G16" s="65">
        <v>1</v>
      </c>
      <c r="H16" s="13" t="s">
        <v>132</v>
      </c>
      <c r="I16" s="13">
        <v>7.0000000000000007E-2</v>
      </c>
      <c r="L16" s="13">
        <v>10</v>
      </c>
      <c r="M16" s="65">
        <v>1</v>
      </c>
      <c r="N16" s="65">
        <v>1</v>
      </c>
      <c r="O16" s="13">
        <v>1</v>
      </c>
      <c r="P16" s="13">
        <v>4</v>
      </c>
      <c r="Q16" s="13">
        <v>5</v>
      </c>
      <c r="R16" s="64"/>
      <c r="S16" s="64">
        <v>0.9</v>
      </c>
      <c r="T16" s="28" t="b">
        <v>0</v>
      </c>
      <c r="U16" s="28">
        <v>1</v>
      </c>
      <c r="V16" s="28">
        <v>1</v>
      </c>
      <c r="W16">
        <f t="shared" si="2"/>
        <v>5</v>
      </c>
      <c r="X16" s="9">
        <f t="shared" si="3"/>
        <v>1</v>
      </c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</row>
    <row r="17" spans="1:42">
      <c r="A17" s="13" t="s">
        <v>106</v>
      </c>
      <c r="B17" s="13" t="s">
        <v>312</v>
      </c>
      <c r="C17" s="13">
        <v>5</v>
      </c>
      <c r="D17" s="13">
        <v>5</v>
      </c>
      <c r="E17" s="13" t="b">
        <v>0</v>
      </c>
      <c r="F17" s="13">
        <v>20</v>
      </c>
      <c r="G17" s="65">
        <v>0.9</v>
      </c>
      <c r="H17" s="13"/>
      <c r="I17" s="13">
        <v>7.0000000000000007E-2</v>
      </c>
      <c r="L17" s="13">
        <v>20</v>
      </c>
      <c r="M17" s="65">
        <v>0.9</v>
      </c>
      <c r="N17" s="65">
        <v>0.9</v>
      </c>
      <c r="O17" s="13">
        <v>5</v>
      </c>
      <c r="P17" s="13">
        <v>5</v>
      </c>
      <c r="Q17" s="13">
        <v>20</v>
      </c>
      <c r="R17" s="64"/>
      <c r="S17" s="64">
        <v>0.9</v>
      </c>
      <c r="T17" s="28" t="b">
        <v>0</v>
      </c>
      <c r="U17" s="28">
        <v>1</v>
      </c>
      <c r="V17" s="28">
        <v>1</v>
      </c>
      <c r="W17">
        <f t="shared" si="2"/>
        <v>10</v>
      </c>
      <c r="X17" s="9">
        <f t="shared" si="3"/>
        <v>1</v>
      </c>
      <c r="Y17" s="9"/>
      <c r="Z17" s="9"/>
      <c r="AA17" s="9"/>
      <c r="AB17" s="9"/>
      <c r="AC17" s="9"/>
      <c r="AD17" s="9"/>
      <c r="AE17" s="9"/>
      <c r="AF17" s="9"/>
      <c r="AG17" s="9"/>
      <c r="AH17" s="9"/>
      <c r="AJ17" s="9"/>
      <c r="AK17" s="9"/>
      <c r="AM17" s="9"/>
      <c r="AN17" s="9"/>
      <c r="AO17" s="9"/>
      <c r="AP17" s="9"/>
    </row>
    <row r="18" spans="1:42">
      <c r="A18" s="13" t="s">
        <v>108</v>
      </c>
      <c r="B18" s="13" t="s">
        <v>300</v>
      </c>
      <c r="C18" s="13">
        <v>2</v>
      </c>
      <c r="D18" s="13">
        <v>2</v>
      </c>
      <c r="E18" s="13" t="b">
        <v>0</v>
      </c>
      <c r="F18" s="13">
        <v>5</v>
      </c>
      <c r="G18" s="65">
        <v>1</v>
      </c>
      <c r="H18" s="13" t="s">
        <v>141</v>
      </c>
      <c r="I18" s="13">
        <v>7.0000000000000007E-2</v>
      </c>
      <c r="L18" s="13">
        <v>5</v>
      </c>
      <c r="M18" s="65">
        <v>1</v>
      </c>
      <c r="N18" s="65">
        <v>1</v>
      </c>
      <c r="O18" s="13">
        <v>2</v>
      </c>
      <c r="P18" s="13">
        <v>2</v>
      </c>
      <c r="Q18" s="13">
        <v>5</v>
      </c>
      <c r="R18" s="64"/>
      <c r="S18" s="64">
        <v>0.92</v>
      </c>
      <c r="T18" s="9" t="b">
        <v>1</v>
      </c>
      <c r="U18" s="9">
        <v>1</v>
      </c>
      <c r="V18" s="9">
        <v>1</v>
      </c>
      <c r="W18">
        <f t="shared" si="2"/>
        <v>4</v>
      </c>
      <c r="X18" s="9">
        <f t="shared" si="3"/>
        <v>1</v>
      </c>
      <c r="Y18" s="9" t="s">
        <v>302</v>
      </c>
      <c r="Z18" s="27" t="s">
        <v>318</v>
      </c>
      <c r="AA18" s="9">
        <v>600</v>
      </c>
      <c r="AB18" s="9"/>
      <c r="AC18" s="9" t="s">
        <v>304</v>
      </c>
      <c r="AD18" s="9" t="s">
        <v>319</v>
      </c>
      <c r="AE18" s="9">
        <v>0</v>
      </c>
      <c r="AF18" s="9">
        <v>2</v>
      </c>
      <c r="AG18" s="9">
        <v>47.8</v>
      </c>
      <c r="AH18" s="9">
        <v>0</v>
      </c>
      <c r="AI18" s="9"/>
      <c r="AJ18" s="9"/>
      <c r="AK18" s="9"/>
      <c r="AL18" s="9"/>
    </row>
    <row r="19" spans="1:42">
      <c r="A19" s="60" t="s">
        <v>111</v>
      </c>
      <c r="B19" s="13" t="s">
        <v>312</v>
      </c>
      <c r="C19" s="13">
        <v>5</v>
      </c>
      <c r="D19" s="13">
        <v>5</v>
      </c>
      <c r="E19" s="13" t="b">
        <v>0</v>
      </c>
      <c r="F19" s="13">
        <v>20</v>
      </c>
      <c r="G19" s="65">
        <v>0.41</v>
      </c>
      <c r="H19" s="13"/>
      <c r="I19" s="13">
        <v>0.05</v>
      </c>
      <c r="L19" s="13">
        <v>20</v>
      </c>
      <c r="M19" s="65">
        <v>0.41</v>
      </c>
      <c r="N19" s="65">
        <v>0.41</v>
      </c>
      <c r="O19" s="13">
        <v>5</v>
      </c>
      <c r="P19" s="13">
        <v>5</v>
      </c>
      <c r="Q19" s="13">
        <v>20</v>
      </c>
      <c r="R19" s="64"/>
      <c r="S19" s="64">
        <v>0.41</v>
      </c>
      <c r="W19">
        <f t="shared" si="2"/>
        <v>10</v>
      </c>
      <c r="X19">
        <f t="shared" si="3"/>
        <v>0</v>
      </c>
      <c r="Y19" t="s">
        <v>302</v>
      </c>
      <c r="Z19" s="27"/>
      <c r="AA19" s="9"/>
      <c r="AB19" s="9"/>
      <c r="AC19" s="9"/>
      <c r="AD19" s="9"/>
      <c r="AE19" s="9"/>
      <c r="AF19" s="9"/>
      <c r="AG19" s="9"/>
      <c r="AH19" s="9"/>
      <c r="AJ19" s="9"/>
      <c r="AK19" s="9"/>
    </row>
    <row r="20" spans="1:42" s="9" customFormat="1">
      <c r="A20" s="13" t="s">
        <v>112</v>
      </c>
      <c r="B20" s="13" t="s">
        <v>300</v>
      </c>
      <c r="C20" s="13">
        <v>1</v>
      </c>
      <c r="D20" s="13">
        <v>5</v>
      </c>
      <c r="E20" s="13" t="b">
        <v>0</v>
      </c>
      <c r="F20" s="13">
        <v>5</v>
      </c>
      <c r="G20" s="65">
        <v>1</v>
      </c>
      <c r="H20" s="13" t="s">
        <v>134</v>
      </c>
      <c r="I20" s="13">
        <v>7.0000000000000007E-2</v>
      </c>
      <c r="K20"/>
      <c r="L20" s="13">
        <v>5</v>
      </c>
      <c r="M20" s="65">
        <v>1</v>
      </c>
      <c r="N20" s="65">
        <v>1</v>
      </c>
      <c r="O20" s="13">
        <v>1</v>
      </c>
      <c r="P20" s="13">
        <v>5</v>
      </c>
      <c r="Q20" s="13">
        <v>5</v>
      </c>
      <c r="R20" s="64"/>
      <c r="S20" s="64">
        <v>0.9</v>
      </c>
      <c r="T20" s="9" t="e">
        <f>#REF!</f>
        <v>#REF!</v>
      </c>
      <c r="U20" s="9" t="e">
        <f>#REF!</f>
        <v>#REF!</v>
      </c>
      <c r="V20" s="9" t="e">
        <f>#REF!</f>
        <v>#REF!</v>
      </c>
      <c r="W20">
        <f t="shared" si="2"/>
        <v>6</v>
      </c>
      <c r="X20" s="9" t="e">
        <f t="shared" ref="X20" si="4">IF(T20&lt;&gt;"",1,0)</f>
        <v>#REF!</v>
      </c>
      <c r="Y20" s="9" t="s">
        <v>141</v>
      </c>
      <c r="AM20"/>
      <c r="AN20"/>
      <c r="AO20"/>
      <c r="AP20"/>
    </row>
    <row r="21" spans="1:42">
      <c r="A21" s="13" t="s">
        <v>115</v>
      </c>
      <c r="B21" s="13" t="s">
        <v>300</v>
      </c>
      <c r="C21" s="13">
        <v>1</v>
      </c>
      <c r="D21" s="13">
        <v>2</v>
      </c>
      <c r="E21" s="13" t="b">
        <v>0</v>
      </c>
      <c r="F21" s="13">
        <v>5</v>
      </c>
      <c r="G21" s="65">
        <v>1</v>
      </c>
      <c r="H21" s="13" t="s">
        <v>143</v>
      </c>
      <c r="I21" s="13">
        <v>7.0000000000000007E-2</v>
      </c>
      <c r="L21" s="13">
        <v>5</v>
      </c>
      <c r="M21" s="65">
        <v>1</v>
      </c>
      <c r="N21" s="65">
        <v>1</v>
      </c>
      <c r="O21" s="13">
        <v>1</v>
      </c>
      <c r="P21" s="13">
        <v>2</v>
      </c>
      <c r="Q21" s="13">
        <v>5</v>
      </c>
      <c r="R21" s="64"/>
      <c r="S21" s="64">
        <v>0.91</v>
      </c>
      <c r="W21">
        <f t="shared" si="2"/>
        <v>3</v>
      </c>
      <c r="AJ21" s="9"/>
      <c r="AK21" s="9"/>
    </row>
    <row r="22" spans="1:42" s="9" customFormat="1">
      <c r="A22" s="60" t="s">
        <v>116</v>
      </c>
      <c r="B22" s="13" t="s">
        <v>300</v>
      </c>
      <c r="C22" s="13">
        <v>1</v>
      </c>
      <c r="D22" s="13">
        <v>1</v>
      </c>
      <c r="E22" s="13" t="b">
        <v>0</v>
      </c>
      <c r="F22" s="13">
        <v>5</v>
      </c>
      <c r="G22" s="65">
        <v>1</v>
      </c>
      <c r="H22" s="13" t="s">
        <v>139</v>
      </c>
      <c r="I22" s="13">
        <v>7.0000000000000007E-2</v>
      </c>
      <c r="K22"/>
      <c r="L22" s="13">
        <v>5</v>
      </c>
      <c r="M22" s="65">
        <v>1</v>
      </c>
      <c r="N22" s="65">
        <v>1</v>
      </c>
      <c r="O22" s="13">
        <v>1</v>
      </c>
      <c r="P22" s="13">
        <v>1</v>
      </c>
      <c r="Q22" s="13">
        <v>5</v>
      </c>
      <c r="R22" s="64"/>
      <c r="S22" s="64">
        <v>0.95</v>
      </c>
      <c r="T22" s="9" t="b">
        <v>1</v>
      </c>
      <c r="U22" s="9">
        <v>1</v>
      </c>
      <c r="V22" s="9">
        <v>1</v>
      </c>
      <c r="W22">
        <f t="shared" si="2"/>
        <v>2</v>
      </c>
      <c r="X22" s="9">
        <f>IF(T22&lt;&gt;"",1,0)</f>
        <v>1</v>
      </c>
      <c r="AL22"/>
      <c r="AM22"/>
      <c r="AN22"/>
      <c r="AO22"/>
      <c r="AP22"/>
    </row>
    <row r="23" spans="1:42">
      <c r="A23" s="61" t="s">
        <v>117</v>
      </c>
      <c r="B23" s="13" t="s">
        <v>311</v>
      </c>
      <c r="C23" s="57">
        <v>3</v>
      </c>
      <c r="D23" s="13">
        <v>4</v>
      </c>
      <c r="E23" s="13" t="b">
        <v>0</v>
      </c>
      <c r="F23" s="13">
        <v>20</v>
      </c>
      <c r="G23" s="65">
        <v>0.9</v>
      </c>
      <c r="H23" s="13"/>
      <c r="I23" s="13">
        <v>0.05</v>
      </c>
      <c r="L23" s="13">
        <v>20</v>
      </c>
      <c r="M23" s="65">
        <v>0.9</v>
      </c>
      <c r="N23" s="65">
        <v>0.9</v>
      </c>
      <c r="O23" s="57">
        <v>3</v>
      </c>
      <c r="P23" s="57">
        <v>4</v>
      </c>
      <c r="Q23" s="13">
        <v>20</v>
      </c>
      <c r="R23" s="64"/>
      <c r="S23" s="64">
        <v>0.9</v>
      </c>
      <c r="T23" t="b">
        <v>1</v>
      </c>
      <c r="U23">
        <v>1</v>
      </c>
      <c r="V23">
        <v>1</v>
      </c>
      <c r="W23">
        <f t="shared" si="2"/>
        <v>7</v>
      </c>
      <c r="X23">
        <f>IF(T23&lt;&gt;"",1,0)</f>
        <v>1</v>
      </c>
      <c r="AK23" s="9"/>
    </row>
    <row r="24" spans="1:42" s="9" customFormat="1">
      <c r="A24" s="60" t="s">
        <v>320</v>
      </c>
      <c r="B24" s="13" t="s">
        <v>300</v>
      </c>
      <c r="C24" s="13">
        <f>C14</f>
        <v>1</v>
      </c>
      <c r="D24" s="13">
        <f t="shared" ref="D24:I24" si="5">D14</f>
        <v>2</v>
      </c>
      <c r="E24" s="13" t="b">
        <f t="shared" si="5"/>
        <v>0</v>
      </c>
      <c r="F24" s="13">
        <f t="shared" si="5"/>
        <v>5</v>
      </c>
      <c r="G24" s="80">
        <v>1</v>
      </c>
      <c r="H24" s="13" t="str">
        <f t="shared" si="5"/>
        <v>natural_gas</v>
      </c>
      <c r="I24" s="13">
        <f t="shared" si="5"/>
        <v>7.0000000000000007E-2</v>
      </c>
      <c r="K24"/>
      <c r="L24"/>
      <c r="M24" s="80">
        <v>1</v>
      </c>
      <c r="N24" s="80">
        <v>1</v>
      </c>
      <c r="O24"/>
      <c r="P24"/>
      <c r="Z24"/>
      <c r="AA24"/>
      <c r="AB24"/>
      <c r="AC24"/>
      <c r="AD24"/>
      <c r="AE24"/>
      <c r="AF24"/>
      <c r="AG24"/>
      <c r="AH24"/>
      <c r="AJ24"/>
      <c r="AK24"/>
    </row>
    <row r="25" spans="1:42">
      <c r="C25" s="8"/>
      <c r="D25" s="8"/>
    </row>
  </sheetData>
  <autoFilter ref="A1:I24" xr:uid="{75959906-F576-41DF-867C-6CE433CBA5BE}">
    <sortState xmlns:xlrd2="http://schemas.microsoft.com/office/spreadsheetml/2017/richdata2" ref="A2:I21">
      <sortCondition ref="A1"/>
    </sortState>
  </autoFilter>
  <phoneticPr fontId="6" type="noConversion"/>
  <pageMargins left="0.7" right="0.7" top="0.75" bottom="0.75" header="0.3" footer="0.3"/>
  <pageSetup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337C5-BDFF-426D-A504-FC6F2307DB7D}">
  <sheetPr>
    <tabColor theme="7" tint="0.79998168889431442"/>
  </sheetPr>
  <dimension ref="A1:N134"/>
  <sheetViews>
    <sheetView topLeftCell="A67" zoomScaleNormal="100" workbookViewId="0">
      <selection activeCell="C103" sqref="C103"/>
    </sheetView>
  </sheetViews>
  <sheetFormatPr defaultRowHeight="15"/>
  <cols>
    <col min="1" max="1" width="58.7109375" customWidth="1"/>
    <col min="2" max="2" width="12.28515625" customWidth="1"/>
    <col min="3" max="3" width="32.140625" customWidth="1"/>
    <col min="4" max="4" width="12.28515625" customWidth="1"/>
    <col min="8" max="8" width="28.5703125" customWidth="1"/>
    <col min="11" max="11" width="18.28515625" customWidth="1"/>
  </cols>
  <sheetData>
    <row r="1" spans="1:13">
      <c r="A1" s="13" t="s">
        <v>321</v>
      </c>
      <c r="B1" s="55" t="s">
        <v>322</v>
      </c>
      <c r="D1" s="5" t="s">
        <v>322</v>
      </c>
      <c r="E1" s="41" t="s">
        <v>323</v>
      </c>
      <c r="K1" t="s">
        <v>324</v>
      </c>
    </row>
    <row r="2" spans="1:13">
      <c r="A2" s="13" t="str">
        <f>_xlfn.CONCAT(TechnologiesEmlab!A2,"FixedOperatingCostTimeSeries")</f>
        <v>hydrogen OCGTFixedOperatingCostTimeSeries</v>
      </c>
      <c r="B2" s="46">
        <v>0</v>
      </c>
      <c r="C2" s="9"/>
      <c r="D2" s="9">
        <v>0</v>
      </c>
      <c r="E2" t="s">
        <v>325</v>
      </c>
      <c r="K2">
        <v>5.0000000000000001E-3</v>
      </c>
    </row>
    <row r="3" spans="1:13">
      <c r="A3" s="13" t="str">
        <f>_xlfn.CONCAT(TechnologiesEmlab!A3,"FixedOperatingCostTimeSeries")</f>
        <v>hydrogen CCGTFixedOperatingCostTimeSeries</v>
      </c>
      <c r="B3" s="46">
        <v>0</v>
      </c>
      <c r="C3" s="9"/>
      <c r="D3" s="9">
        <v>0</v>
      </c>
      <c r="E3" t="str">
        <f>IF(TechnologiesEmlab!F4&gt;0,"ACTIVE", "not active, max life extension 0")</f>
        <v>ACTIVE</v>
      </c>
      <c r="L3" s="39"/>
    </row>
    <row r="4" spans="1:13">
      <c r="A4" s="13" t="str">
        <f>_xlfn.CONCAT(TechnologiesEmlab!A4,"FixedOperatingCostTimeSeries")</f>
        <v>BiofuelFixedOperatingCostTimeSeries</v>
      </c>
      <c r="B4" s="46">
        <v>0</v>
      </c>
      <c r="C4" s="9"/>
      <c r="D4" s="9">
        <v>0</v>
      </c>
      <c r="E4" t="e">
        <f>IF(TechnologiesEmlab!#REF!&gt;0,"ACTIVE", "not active, max life extension 0")</f>
        <v>#REF!</v>
      </c>
    </row>
    <row r="5" spans="1:13">
      <c r="A5" s="13" t="str">
        <f>_xlfn.CONCAT(TechnologiesEmlab!A5,"FixedOperatingCostTimeSeries")</f>
        <v>Lithium ion battery 4FixedOperatingCostTimeSeries</v>
      </c>
      <c r="B5" s="46">
        <v>0</v>
      </c>
      <c r="C5" s="9"/>
      <c r="D5" s="9">
        <v>0</v>
      </c>
      <c r="E5" t="str">
        <f>IF(TechnologiesEmlab!F14&gt;0,"ACTIVE", "not active, max life extension 0")</f>
        <v>ACTIVE</v>
      </c>
      <c r="K5" t="s">
        <v>326</v>
      </c>
      <c r="L5" t="s">
        <v>327</v>
      </c>
      <c r="M5" t="s">
        <v>328</v>
      </c>
    </row>
    <row r="6" spans="1:13">
      <c r="A6" s="13" t="str">
        <f>_xlfn.CONCAT(TechnologiesEmlab!A6,"FixedOperatingCostTimeSeries")</f>
        <v>Lithium ion batteryFixedOperatingCostTimeSeries</v>
      </c>
      <c r="B6" s="46">
        <v>0</v>
      </c>
      <c r="C6" s="9"/>
      <c r="D6" s="9">
        <v>0</v>
      </c>
      <c r="E6" t="str">
        <f>IF(TechnologiesEmlab!F22&gt;0,"ACTIVE", "not active, max life extension 0")</f>
        <v>ACTIVE</v>
      </c>
      <c r="J6">
        <v>-1</v>
      </c>
      <c r="K6">
        <f>(1+$K$2)^J6</f>
        <v>0.99502487562189068</v>
      </c>
    </row>
    <row r="7" spans="1:13">
      <c r="A7" s="13" t="str">
        <f>_xlfn.CONCAT(TechnologiesEmlab!A7,"FixedOperatingCostTimeSeries")</f>
        <v>NuclearFixedOperatingCostTimeSeries</v>
      </c>
      <c r="B7" s="46">
        <v>0</v>
      </c>
      <c r="C7" s="9"/>
      <c r="D7" s="9">
        <v>0</v>
      </c>
      <c r="E7" t="str">
        <f>IF(TechnologiesEmlab!F23&gt;0,"ACTIVE", "not active, max life extension 0")</f>
        <v>ACTIVE</v>
      </c>
      <c r="I7" t="s">
        <v>329</v>
      </c>
      <c r="J7">
        <v>0</v>
      </c>
      <c r="K7">
        <f t="shared" ref="K7" si="0">(1+$K$2)^J7</f>
        <v>1</v>
      </c>
    </row>
    <row r="8" spans="1:13">
      <c r="A8" s="13" t="str">
        <f>_xlfn.CONCAT(TechnologiesEmlab!A8,"FixedOperatingCostTimeSeries")</f>
        <v>Solar PV largeFixedOperatingCostTimeSeries</v>
      </c>
      <c r="B8" s="46">
        <v>0</v>
      </c>
      <c r="C8" s="9"/>
      <c r="D8" s="9">
        <v>0</v>
      </c>
      <c r="E8" t="e">
        <f>IF(TechnologiesEmlab!#REF!&gt;0,"ACTIVE", "not active, max life extension 0")</f>
        <v>#REF!</v>
      </c>
      <c r="J8">
        <v>1</v>
      </c>
      <c r="K8">
        <f>(1+$K$2)^J8</f>
        <v>1.0049999999999999</v>
      </c>
      <c r="L8">
        <f>(1+$K$2)*1</f>
        <v>1.0049999999999999</v>
      </c>
      <c r="M8">
        <f>(1-$K$2)*1</f>
        <v>0.995</v>
      </c>
    </row>
    <row r="9" spans="1:13">
      <c r="A9" s="13" t="str">
        <f>_xlfn.CONCAT(TechnologiesEmlab!A9,"FixedOperatingCostTimeSeries")</f>
        <v>Solar PV rooftopFixedOperatingCostTimeSeries</v>
      </c>
      <c r="B9" s="46">
        <v>0</v>
      </c>
      <c r="C9" s="9"/>
      <c r="D9" s="9">
        <v>0</v>
      </c>
      <c r="E9" t="e">
        <f>IF(TechnologiesEmlab!#REF!&gt;0,"ACTIVE", "not active, max life extension 0")</f>
        <v>#REF!</v>
      </c>
      <c r="J9">
        <v>2</v>
      </c>
      <c r="K9">
        <f t="shared" ref="K9:K18" si="1">(1+$K$2)^J9</f>
        <v>1.0100249999999997</v>
      </c>
      <c r="L9">
        <f>(1+$K$2)*L8</f>
        <v>1.0100249999999997</v>
      </c>
      <c r="M9">
        <f>(1-$K$2)*M8</f>
        <v>0.99002500000000004</v>
      </c>
    </row>
    <row r="10" spans="1:13">
      <c r="A10" s="13" t="str">
        <f>_xlfn.CONCAT(TechnologiesEmlab!A10,"FixedOperatingCostTimeSeries")</f>
        <v>Wind OffshoreFixedOperatingCostTimeSeries</v>
      </c>
      <c r="B10" s="46">
        <v>0</v>
      </c>
      <c r="C10" s="9"/>
      <c r="D10" s="9">
        <v>0</v>
      </c>
      <c r="E10" t="e">
        <f>IF(TechnologiesEmlab!#REF!&gt;0,"ACTIVE", "not active, max life extension 0")</f>
        <v>#REF!</v>
      </c>
      <c r="J10">
        <v>3</v>
      </c>
      <c r="K10">
        <f t="shared" si="1"/>
        <v>1.0150751249999996</v>
      </c>
      <c r="L10">
        <f t="shared" ref="L10:L18" si="2">(1+$K$2)*L9</f>
        <v>1.0150751249999996</v>
      </c>
      <c r="M10">
        <f t="shared" ref="M10:M18" si="3">(1-$K$2)*M9</f>
        <v>0.98507487500000002</v>
      </c>
    </row>
    <row r="11" spans="1:13">
      <c r="A11" s="13" t="str">
        <f>_xlfn.CONCAT(TechnologiesEmlab!A11,"FixedOperatingCostTimeSeries")</f>
        <v>Wind OnshoreFixedOperatingCostTimeSeries</v>
      </c>
      <c r="B11" s="46">
        <v>0</v>
      </c>
      <c r="C11" s="9"/>
      <c r="D11" s="9">
        <v>0</v>
      </c>
      <c r="E11" t="e">
        <f>IF(TechnologiesEmlab!#REF!&gt;0,"ACTIVE", "not active, max life extension 0")</f>
        <v>#REF!</v>
      </c>
      <c r="J11">
        <v>4</v>
      </c>
      <c r="K11">
        <f t="shared" si="1"/>
        <v>1.0201505006249993</v>
      </c>
      <c r="L11">
        <f t="shared" si="2"/>
        <v>1.0201505006249996</v>
      </c>
      <c r="M11">
        <f t="shared" si="3"/>
        <v>0.98014950062500006</v>
      </c>
    </row>
    <row r="12" spans="1:13">
      <c r="A12" s="13" t="str">
        <f>_xlfn.CONCAT(TechnologiesEmlab!A12,"FixedOperatingCostTimeSeries")</f>
        <v>electrolyzerFixedOperatingCostTimeSeries</v>
      </c>
      <c r="B12" s="46">
        <v>0</v>
      </c>
      <c r="C12" s="9"/>
      <c r="D12" s="9">
        <v>0</v>
      </c>
      <c r="E12" t="e">
        <f>IF(TechnologiesEmlab!#REF!&gt;0,"ACTIVE", "not active, max life extension 0")</f>
        <v>#REF!</v>
      </c>
      <c r="J12">
        <v>5</v>
      </c>
      <c r="K12">
        <f t="shared" si="1"/>
        <v>1.0252512531281242</v>
      </c>
      <c r="L12">
        <f t="shared" si="2"/>
        <v>1.0252512531281244</v>
      </c>
      <c r="M12">
        <f t="shared" si="3"/>
        <v>0.97524875312187509</v>
      </c>
    </row>
    <row r="13" spans="1:13">
      <c r="A13" s="13" t="str">
        <f>_xlfn.CONCAT(TechnologiesEmlab!A13,"FixedOperatingCostTimeSeries")</f>
        <v>central gas boilerFixedOperatingCostTimeSeries</v>
      </c>
      <c r="B13" s="46">
        <v>0</v>
      </c>
      <c r="C13" s="9"/>
      <c r="D13" s="9">
        <v>0</v>
      </c>
      <c r="E13" t="str">
        <f>IF(TechnologiesEmlab!F15&gt;0,"ACTIVE", "not active, max life extension 0")</f>
        <v>ACTIVE</v>
      </c>
      <c r="J13">
        <v>6</v>
      </c>
      <c r="K13">
        <f t="shared" si="1"/>
        <v>1.0303775093937646</v>
      </c>
      <c r="L13">
        <f t="shared" si="2"/>
        <v>1.0303775093937648</v>
      </c>
      <c r="M13">
        <f t="shared" si="3"/>
        <v>0.97037250935626573</v>
      </c>
    </row>
    <row r="14" spans="1:13">
      <c r="A14" s="13" t="str">
        <f>_xlfn.CONCAT(TechnologiesEmlab!A14,"FixedOperatingCostTimeSeries")</f>
        <v>CCGTFixedOperatingCostTimeSeries</v>
      </c>
      <c r="B14" s="46">
        <v>0</v>
      </c>
      <c r="C14" s="9"/>
      <c r="D14" s="9">
        <v>0</v>
      </c>
      <c r="E14" t="str">
        <f>IF(TechnologiesEmlab!F16&gt;0,"ACTIVE", "not active, max life extension 0")</f>
        <v>ACTIVE</v>
      </c>
      <c r="J14">
        <v>7</v>
      </c>
      <c r="K14">
        <f t="shared" si="1"/>
        <v>1.0355293969407333</v>
      </c>
      <c r="L14">
        <f t="shared" si="2"/>
        <v>1.0355293969407335</v>
      </c>
      <c r="M14">
        <f t="shared" si="3"/>
        <v>0.96552064680948435</v>
      </c>
    </row>
    <row r="15" spans="1:13">
      <c r="A15" s="13" t="str">
        <f>_xlfn.CONCAT(TechnologiesEmlab!A15,"FixedOperatingCostTimeSeries")</f>
        <v>CCS gasFixedOperatingCostTimeSeries</v>
      </c>
      <c r="B15" s="46">
        <v>0</v>
      </c>
      <c r="C15" s="9"/>
      <c r="D15" s="9">
        <v>0</v>
      </c>
      <c r="E15" t="str">
        <f>IF(TechnologiesEmlab!F17&gt;0,"ACTIVE", "not active, max life extension 0")</f>
        <v>ACTIVE</v>
      </c>
      <c r="J15">
        <v>8</v>
      </c>
      <c r="K15">
        <f t="shared" si="1"/>
        <v>1.0407070439254369</v>
      </c>
      <c r="L15">
        <f t="shared" si="2"/>
        <v>1.0407070439254371</v>
      </c>
      <c r="M15">
        <f t="shared" si="3"/>
        <v>0.96069304357543694</v>
      </c>
    </row>
    <row r="16" spans="1:13">
      <c r="A16" s="13" t="str">
        <f>_xlfn.CONCAT(TechnologiesEmlab!A16,"FixedOperatingCostTimeSeries")</f>
        <v>Hard CoalFixedOperatingCostTimeSeries</v>
      </c>
      <c r="B16" s="46">
        <v>0</v>
      </c>
      <c r="C16" s="9"/>
      <c r="D16" s="9">
        <v>0</v>
      </c>
      <c r="E16" t="str">
        <f>IF(TechnologiesEmlab!F18&gt;0,"ACTIVE", "not active, max life extension 0")</f>
        <v>ACTIVE</v>
      </c>
      <c r="J16">
        <v>9</v>
      </c>
      <c r="K16">
        <f t="shared" si="1"/>
        <v>1.045910579145064</v>
      </c>
      <c r="L16">
        <f t="shared" si="2"/>
        <v>1.0459105791450642</v>
      </c>
      <c r="M16">
        <f t="shared" si="3"/>
        <v>0.95588957835755972</v>
      </c>
    </row>
    <row r="17" spans="1:14">
      <c r="A17" s="13" t="str">
        <f>_xlfn.CONCAT(TechnologiesEmlab!A17,"FixedOperatingCostTimeSeries")</f>
        <v>Hydro ReservoirFixedOperatingCostTimeSeries</v>
      </c>
      <c r="B17" s="46">
        <v>0</v>
      </c>
      <c r="C17" s="9"/>
      <c r="D17" s="9">
        <v>0</v>
      </c>
      <c r="E17" t="str">
        <f>IF(TechnologiesEmlab!F2&gt;0,"ACTIVE", "not active, max life extension 0")</f>
        <v>ACTIVE</v>
      </c>
      <c r="J17">
        <v>10</v>
      </c>
      <c r="K17">
        <f t="shared" si="1"/>
        <v>1.0511401320407892</v>
      </c>
      <c r="L17">
        <f t="shared" si="2"/>
        <v>1.0511401320407894</v>
      </c>
      <c r="M17">
        <f t="shared" si="3"/>
        <v>0.95111013046577186</v>
      </c>
    </row>
    <row r="18" spans="1:14">
      <c r="A18" s="13" t="str">
        <f>_xlfn.CONCAT(TechnologiesEmlab!A18,"FixedOperatingCostTimeSeries")</f>
        <v>hydrogen CHPFixedOperatingCostTimeSeries</v>
      </c>
      <c r="B18" s="46">
        <v>0</v>
      </c>
      <c r="C18" s="9"/>
      <c r="D18" s="9">
        <v>0</v>
      </c>
      <c r="E18" t="str">
        <f>IF(TechnologiesEmlab!F3&gt;0,"ACTIVE", "not active, max life extension 0")</f>
        <v>ACTIVE</v>
      </c>
      <c r="J18">
        <v>11</v>
      </c>
      <c r="K18">
        <f t="shared" si="1"/>
        <v>1.056395832700993</v>
      </c>
      <c r="L18">
        <f t="shared" si="2"/>
        <v>1.0563958327009932</v>
      </c>
      <c r="M18">
        <f t="shared" si="3"/>
        <v>0.94635457981344295</v>
      </c>
    </row>
    <row r="19" spans="1:14">
      <c r="A19" s="13" t="str">
        <f>_xlfn.CONCAT(TechnologiesEmlab!A19,"FixedOperatingCostTimeSeries")</f>
        <v>Hydropower RORFixedOperatingCostTimeSeries</v>
      </c>
      <c r="B19" s="46">
        <v>0</v>
      </c>
      <c r="C19" s="9"/>
      <c r="D19" s="9">
        <v>0</v>
      </c>
      <c r="E19" t="str">
        <f>IF(TechnologiesEmlab!F20&gt;0,"ACTIVE", "not active, max life extension 0")</f>
        <v>ACTIVE</v>
      </c>
    </row>
    <row r="20" spans="1:14">
      <c r="A20" s="13" t="str">
        <f>_xlfn.CONCAT(TechnologiesEmlab!A20,"FixedOperatingCostTimeSeries")</f>
        <v>LigniteFixedOperatingCostTimeSeries</v>
      </c>
      <c r="B20" s="46">
        <v>0</v>
      </c>
      <c r="C20" s="9"/>
      <c r="D20" s="9">
        <v>0</v>
      </c>
      <c r="E20" t="str">
        <f>IF(TechnologiesEmlab!F6&gt;0,"ACTIVE", "not active, max life extension 0")</f>
        <v>ACTIVE</v>
      </c>
      <c r="I20" t="s">
        <v>115</v>
      </c>
      <c r="K20" t="s">
        <v>330</v>
      </c>
      <c r="L20" t="s">
        <v>331</v>
      </c>
    </row>
    <row r="21" spans="1:14">
      <c r="A21" s="13" t="str">
        <f>_xlfn.CONCAT(TechnologiesEmlab!A21,"FixedOperatingCostTimeSeries")</f>
        <v>OCGTFixedOperatingCostTimeSeries</v>
      </c>
      <c r="B21" s="46">
        <v>0</v>
      </c>
      <c r="C21" s="9"/>
      <c r="D21" s="9"/>
      <c r="J21">
        <v>0</v>
      </c>
      <c r="K21">
        <v>4.5</v>
      </c>
      <c r="L21">
        <v>0.43</v>
      </c>
    </row>
    <row r="22" spans="1:14">
      <c r="A22" s="13" t="str">
        <f>_xlfn.CONCAT(TechnologiesEmlab!A22,"FixedOperatingCostTimeSeries")</f>
        <v>OilFixedOperatingCostTimeSeries</v>
      </c>
      <c r="B22" s="46">
        <v>0</v>
      </c>
      <c r="C22" s="9"/>
      <c r="D22" s="9">
        <v>0</v>
      </c>
      <c r="E22" t="str">
        <f>IF(TechnologiesEmlab!F21&gt;0,"ACTIVE", "not active, max life extension 0")</f>
        <v>ACTIVE</v>
      </c>
      <c r="J22">
        <v>1</v>
      </c>
      <c r="K22">
        <f>$K$21*(1+$B$79)^J22</f>
        <v>4.5</v>
      </c>
      <c r="L22">
        <f>$L$21*(1+$B$107)^J22</f>
        <v>0.43</v>
      </c>
    </row>
    <row r="23" spans="1:14">
      <c r="A23" s="13" t="str">
        <f>_xlfn.CONCAT(TechnologiesEmlab!A23,"FixedOperatingCostTimeSeries")</f>
        <v>PHS DischargeFixedOperatingCostTimeSeries</v>
      </c>
      <c r="B23" s="46">
        <v>0</v>
      </c>
      <c r="C23" s="9"/>
      <c r="D23" s="9">
        <v>0</v>
      </c>
      <c r="E23" t="str">
        <f>IF(TechnologiesEmlab!F5&gt;0,"ACTIVE", "not active, max life extension 0")</f>
        <v>ACTIVE</v>
      </c>
      <c r="J23">
        <v>2</v>
      </c>
      <c r="K23">
        <f>$K$21*(1+$B$79)^J23</f>
        <v>4.5</v>
      </c>
      <c r="L23">
        <f>$L$21*(1+$B$107)^J23</f>
        <v>0.43</v>
      </c>
    </row>
    <row r="24" spans="1:14">
      <c r="A24" s="13" t="str">
        <f>_xlfn.CONCAT(TechnologiesEmlab!A24,"FixedOperatingCostTimeSeries")</f>
        <v>GasFixedOperatingCostTimeSeries</v>
      </c>
      <c r="B24" s="46">
        <v>0</v>
      </c>
      <c r="C24" s="9"/>
      <c r="D24" s="9">
        <v>0</v>
      </c>
      <c r="E24" t="e">
        <f>IF(TechnologiesEmlab!#REF!&gt;0,"ACTIVE", "not active, max life extension 0")</f>
        <v>#REF!</v>
      </c>
      <c r="J24">
        <v>3</v>
      </c>
      <c r="K24">
        <f>$K$21*(1+$B$79)^J24</f>
        <v>4.5</v>
      </c>
      <c r="L24">
        <f>$L$21*(1+$B$107)^J24</f>
        <v>0.43</v>
      </c>
    </row>
    <row r="25" spans="1:14">
      <c r="A25" s="58" t="str">
        <f>_xlfn.CONCAT(TechnologiesEmlab!A2,"InvestmentCostTimeSeries")</f>
        <v>hydrogen OCGTInvestmentCostTimeSeries</v>
      </c>
      <c r="B25" s="46">
        <v>0</v>
      </c>
      <c r="C25" s="9"/>
      <c r="D25" s="9">
        <v>0</v>
      </c>
      <c r="E25" t="e">
        <f>IF(TechnologiesEmlab!#REF!&gt;0,"ACTIVE", "not active, max life extension 0")</f>
        <v>#REF!</v>
      </c>
      <c r="J25">
        <v>9</v>
      </c>
      <c r="K25">
        <f>$K$21*(1+$B$79)^J25</f>
        <v>4.5</v>
      </c>
      <c r="L25">
        <f>$L$21*(1+$B$107)^J25</f>
        <v>0.43</v>
      </c>
    </row>
    <row r="26" spans="1:14">
      <c r="A26" s="58" t="str">
        <f>_xlfn.CONCAT(TechnologiesEmlab!A3,"InvestmentCostTimeSeries")</f>
        <v>hydrogen CCGTInvestmentCostTimeSeries</v>
      </c>
      <c r="B26" s="46">
        <v>0</v>
      </c>
      <c r="C26" s="9"/>
      <c r="D26" s="9">
        <v>0</v>
      </c>
      <c r="E26" t="e">
        <f>IF(TechnologiesEmlab!#REF!&gt;0,"ACTIVE", "not active, max life extension 0")</f>
        <v>#REF!</v>
      </c>
      <c r="J26">
        <v>26</v>
      </c>
      <c r="K26">
        <f>$K$21*(1+$B$79)^J26</f>
        <v>4.5</v>
      </c>
      <c r="L26">
        <f>$L$21*(1+$B$107)^J26</f>
        <v>0.43</v>
      </c>
    </row>
    <row r="27" spans="1:14">
      <c r="A27" s="58" t="str">
        <f>_xlfn.CONCAT(TechnologiesEmlab!A4,"InvestmentCostTimeSeries")</f>
        <v>BiofuelInvestmentCostTimeSeries</v>
      </c>
      <c r="B27" s="46">
        <v>0</v>
      </c>
      <c r="C27" s="9"/>
      <c r="D27" s="9">
        <v>0</v>
      </c>
      <c r="E27" t="e">
        <f>IF(TechnologiesEmlab!#REF!&gt;0,"ACTIVE", "not active, max life extension 0")</f>
        <v>#REF!</v>
      </c>
    </row>
    <row r="28" spans="1:14">
      <c r="A28" s="58" t="str">
        <f>_xlfn.CONCAT(TechnologiesEmlab!A5,"InvestmentCostTimeSeries")</f>
        <v>Lithium ion battery 4InvestmentCostTimeSeries</v>
      </c>
      <c r="B28" s="46">
        <v>0</v>
      </c>
      <c r="C28" s="9"/>
      <c r="D28" s="9">
        <v>0</v>
      </c>
      <c r="E28" t="e">
        <f>IF(TechnologiesEmlab!#REF!&gt;0,"ACTIVE", "not active, max life extension 0")</f>
        <v>#REF!</v>
      </c>
      <c r="I28" t="s">
        <v>308</v>
      </c>
      <c r="K28" t="s">
        <v>330</v>
      </c>
    </row>
    <row r="29" spans="1:14">
      <c r="A29" s="58" t="str">
        <f>_xlfn.CONCAT(TechnologiesEmlab!A6,"InvestmentCostTimeSeries")</f>
        <v>Lithium ion batteryInvestmentCostTimeSeries</v>
      </c>
      <c r="B29" s="46">
        <v>0</v>
      </c>
      <c r="C29" s="9"/>
      <c r="D29" s="9">
        <v>0</v>
      </c>
      <c r="E29" t="e">
        <f>IF(TechnologiesEmlab!#REF!&gt;0,"ACTIVE", "not active, max life extension 0")</f>
        <v>#REF!</v>
      </c>
      <c r="J29">
        <v>0</v>
      </c>
      <c r="K29">
        <v>3</v>
      </c>
    </row>
    <row r="30" spans="1:14">
      <c r="A30" s="58" t="str">
        <f>_xlfn.CONCAT(TechnologiesEmlab!A7,"InvestmentCostTimeSeries")</f>
        <v>NuclearInvestmentCostTimeSeries</v>
      </c>
      <c r="B30" s="46">
        <v>0</v>
      </c>
      <c r="C30" s="9"/>
      <c r="D30" s="9">
        <v>0</v>
      </c>
      <c r="E30" t="e">
        <f>IF(TechnologiesEmlab!#REF!&gt;0,"ACTIVE", "not active, max life extension 0")</f>
        <v>#REF!</v>
      </c>
      <c r="J30">
        <v>1</v>
      </c>
      <c r="K30">
        <f>$K$29*(1+$B$87)^J30</f>
        <v>3</v>
      </c>
    </row>
    <row r="31" spans="1:14">
      <c r="A31" s="58" t="str">
        <f>_xlfn.CONCAT(TechnologiesEmlab!A8,"InvestmentCostTimeSeries")</f>
        <v>Solar PV largeInvestmentCostTimeSeries</v>
      </c>
      <c r="B31" s="46">
        <v>0</v>
      </c>
      <c r="C31" s="9"/>
      <c r="D31" s="9">
        <v>0</v>
      </c>
      <c r="E31" t="e">
        <f>IF(TechnologiesEmlab!#REF!&gt;0,"ACTIVE", "not active, max life extension 0")</f>
        <v>#REF!</v>
      </c>
      <c r="J31">
        <v>2</v>
      </c>
      <c r="K31">
        <f>$K$29*(1+$B$87)^J31</f>
        <v>3</v>
      </c>
    </row>
    <row r="32" spans="1:14">
      <c r="A32" s="58" t="str">
        <f>_xlfn.CONCAT(TechnologiesEmlab!A9,"InvestmentCostTimeSeries")</f>
        <v>Solar PV rooftopInvestmentCostTimeSeries</v>
      </c>
      <c r="B32" s="46">
        <v>0</v>
      </c>
      <c r="C32" s="9"/>
      <c r="D32" s="9">
        <v>0</v>
      </c>
      <c r="E32" t="e">
        <f>IF(TechnologiesEmlab!#REF!&gt;0,"ACTIVE", "not active, max life extension 0")</f>
        <v>#REF!</v>
      </c>
      <c r="J32">
        <v>25</v>
      </c>
      <c r="K32">
        <f>$K$29*(1+$B$87)^J32</f>
        <v>3</v>
      </c>
      <c r="N32">
        <f>K32/K29</f>
        <v>1</v>
      </c>
    </row>
    <row r="33" spans="1:10">
      <c r="A33" s="58" t="str">
        <f>_xlfn.CONCAT(TechnologiesEmlab!A10,"InvestmentCostTimeSeries")</f>
        <v>Wind OffshoreInvestmentCostTimeSeries</v>
      </c>
      <c r="B33" s="46">
        <v>0</v>
      </c>
      <c r="C33" s="9"/>
      <c r="D33" s="9">
        <v>0</v>
      </c>
      <c r="E33" t="e">
        <f>IF(TechnologiesEmlab!#REF!&gt;0,"ACTIVE", "not active, max life extension 0")</f>
        <v>#REF!</v>
      </c>
    </row>
    <row r="34" spans="1:10">
      <c r="A34" s="58" t="str">
        <f>_xlfn.CONCAT(TechnologiesEmlab!A11,"InvestmentCostTimeSeries")</f>
        <v>Wind OnshoreInvestmentCostTimeSeries</v>
      </c>
      <c r="B34" s="46">
        <v>0</v>
      </c>
      <c r="C34" s="9"/>
      <c r="D34" s="9">
        <v>0</v>
      </c>
      <c r="E34" t="e">
        <f>IF(TechnologiesEmlab!#REF!&gt;0,"ACTIVE", "not active, max life extension 0")</f>
        <v>#REF!</v>
      </c>
      <c r="J34" t="s">
        <v>332</v>
      </c>
    </row>
    <row r="35" spans="1:10">
      <c r="A35" s="58" t="str">
        <f>_xlfn.CONCAT(TechnologiesEmlab!A12,"InvestmentCostTimeSeries")</f>
        <v>electrolyzerInvestmentCostTimeSeries</v>
      </c>
      <c r="B35" s="46">
        <v>0</v>
      </c>
      <c r="C35" s="9"/>
      <c r="D35" s="9">
        <v>0</v>
      </c>
      <c r="E35" t="e">
        <f>IF(TechnologiesEmlab!#REF!&gt;0,"ACTIVE", "not active, max life extension 0")</f>
        <v>#REF!</v>
      </c>
      <c r="J35" t="s">
        <v>333</v>
      </c>
    </row>
    <row r="36" spans="1:10">
      <c r="A36" s="58" t="str">
        <f>_xlfn.CONCAT(TechnologiesEmlab!A13,"InvestmentCostTimeSeries")</f>
        <v>central gas boilerInvestmentCostTimeSeries</v>
      </c>
      <c r="B36" s="46">
        <v>0</v>
      </c>
      <c r="C36" s="9"/>
      <c r="D36" s="9">
        <v>0</v>
      </c>
      <c r="E36" t="e">
        <f>IF(TechnologiesEmlab!#REF!&gt;0,"ACTIVE", "not active, max life extension 0")</f>
        <v>#REF!</v>
      </c>
      <c r="J36" t="s">
        <v>334</v>
      </c>
    </row>
    <row r="37" spans="1:10">
      <c r="A37" s="58" t="str">
        <f>_xlfn.CONCAT(TechnologiesEmlab!A14,"InvestmentCostTimeSeries")</f>
        <v>CCGTInvestmentCostTimeSeries</v>
      </c>
      <c r="B37" s="46">
        <v>0</v>
      </c>
      <c r="C37" s="9"/>
      <c r="D37" s="40">
        <v>0</v>
      </c>
      <c r="E37" t="s">
        <v>335</v>
      </c>
    </row>
    <row r="38" spans="1:10" s="9" customFormat="1">
      <c r="A38" s="58" t="str">
        <f>_xlfn.CONCAT(TechnologiesEmlab!A15,"InvestmentCostTimeSeries")</f>
        <v>CCS gasInvestmentCostTimeSeries</v>
      </c>
      <c r="B38" s="46">
        <v>0</v>
      </c>
      <c r="D38" s="40">
        <v>0</v>
      </c>
      <c r="E38" t="s">
        <v>336</v>
      </c>
    </row>
    <row r="39" spans="1:10">
      <c r="A39" s="58" t="str">
        <f>_xlfn.CONCAT(TechnologiesEmlab!A16,"InvestmentCostTimeSeries")</f>
        <v>Hard CoalInvestmentCostTimeSeries</v>
      </c>
      <c r="B39" s="46">
        <v>0</v>
      </c>
      <c r="C39" s="9"/>
      <c r="D39" s="40">
        <v>0</v>
      </c>
    </row>
    <row r="40" spans="1:10">
      <c r="A40" s="58" t="str">
        <f>_xlfn.CONCAT(TechnologiesEmlab!A17,"InvestmentCostTimeSeries")</f>
        <v>Hydro ReservoirInvestmentCostTimeSeries</v>
      </c>
      <c r="B40" s="46">
        <v>0</v>
      </c>
      <c r="C40" s="9"/>
      <c r="D40" s="40">
        <v>0</v>
      </c>
    </row>
    <row r="41" spans="1:10">
      <c r="A41" s="58" t="str">
        <f>_xlfn.CONCAT(TechnologiesEmlab!A18,"InvestmentCostTimeSeries")</f>
        <v>hydrogen CHPInvestmentCostTimeSeries</v>
      </c>
      <c r="B41" s="46">
        <v>0</v>
      </c>
      <c r="C41" s="9"/>
      <c r="D41" s="40"/>
    </row>
    <row r="42" spans="1:10">
      <c r="A42" s="58" t="str">
        <f>_xlfn.CONCAT(TechnologiesEmlab!A19,"InvestmentCostTimeSeries")</f>
        <v>Hydropower RORInvestmentCostTimeSeries</v>
      </c>
      <c r="B42" s="46">
        <v>0</v>
      </c>
      <c r="C42" s="9"/>
      <c r="D42" s="40">
        <v>0</v>
      </c>
    </row>
    <row r="43" spans="1:10">
      <c r="A43" s="58" t="str">
        <f>_xlfn.CONCAT(TechnologiesEmlab!A20,"InvestmentCostTimeSeries")</f>
        <v>LigniteInvestmentCostTimeSeries</v>
      </c>
      <c r="B43" s="46">
        <v>0</v>
      </c>
      <c r="C43" s="9"/>
      <c r="D43" s="40">
        <v>0</v>
      </c>
    </row>
    <row r="44" spans="1:10">
      <c r="A44" s="58" t="str">
        <f>_xlfn.CONCAT(TechnologiesEmlab!A21,"InvestmentCostTimeSeries")</f>
        <v>OCGTInvestmentCostTimeSeries</v>
      </c>
      <c r="B44" s="46">
        <v>0</v>
      </c>
      <c r="C44" s="9"/>
      <c r="D44" s="40">
        <v>0</v>
      </c>
    </row>
    <row r="45" spans="1:10">
      <c r="A45" s="58" t="str">
        <f>_xlfn.CONCAT(TechnologiesEmlab!A22,"InvestmentCostTimeSeries")</f>
        <v>OilInvestmentCostTimeSeries</v>
      </c>
      <c r="B45" s="46">
        <v>0</v>
      </c>
      <c r="C45" s="9"/>
      <c r="D45" s="40">
        <v>0</v>
      </c>
    </row>
    <row r="46" spans="1:10">
      <c r="A46" s="58" t="str">
        <f>_xlfn.CONCAT(TechnologiesEmlab!A23,"InvestmentCostTimeSeries")</f>
        <v>PHS DischargeInvestmentCostTimeSeries</v>
      </c>
      <c r="B46" s="46">
        <v>0</v>
      </c>
      <c r="C46" s="9"/>
      <c r="D46" s="40">
        <v>0</v>
      </c>
    </row>
    <row r="47" spans="1:10">
      <c r="A47" s="58" t="str">
        <f>_xlfn.CONCAT(TechnologiesEmlab!A24,"InvestmentCostTimeSeries")</f>
        <v>GasInvestmentCostTimeSeries</v>
      </c>
      <c r="B47" s="46">
        <v>0</v>
      </c>
      <c r="C47" s="9"/>
      <c r="D47" s="40">
        <v>0</v>
      </c>
    </row>
    <row r="48" spans="1:10">
      <c r="A48" s="13" t="str">
        <f>_xlfn.CONCAT(TechnologiesEmlab!A2,"VariableCostTimeSeries")</f>
        <v>hydrogen OCGTVariableCostTimeSeries</v>
      </c>
      <c r="B48" s="46">
        <v>1E-3</v>
      </c>
      <c r="C48" s="9"/>
      <c r="D48" s="40">
        <v>0</v>
      </c>
    </row>
    <row r="49" spans="1:4">
      <c r="A49" s="13" t="str">
        <f>_xlfn.CONCAT(TechnologiesEmlab!A3,"VariableCostTimeSeries")</f>
        <v>hydrogen CCGTVariableCostTimeSeries</v>
      </c>
      <c r="B49" s="46">
        <v>1E-3</v>
      </c>
      <c r="C49" s="9"/>
      <c r="D49" s="40">
        <v>0</v>
      </c>
    </row>
    <row r="50" spans="1:4">
      <c r="A50" s="13" t="str">
        <f>_xlfn.CONCAT(TechnologiesEmlab!A4,"VariableCostTimeSeries")</f>
        <v>BiofuelVariableCostTimeSeries</v>
      </c>
      <c r="B50" s="46">
        <v>1E-3</v>
      </c>
      <c r="C50" s="9"/>
      <c r="D50" s="40">
        <v>0</v>
      </c>
    </row>
    <row r="51" spans="1:4">
      <c r="A51" s="13" t="str">
        <f>_xlfn.CONCAT(TechnologiesEmlab!A5,"VariableCostTimeSeries")</f>
        <v>Lithium ion battery 4VariableCostTimeSeries</v>
      </c>
      <c r="B51" s="46">
        <v>1E-3</v>
      </c>
      <c r="C51" s="9"/>
      <c r="D51" s="40">
        <v>0</v>
      </c>
    </row>
    <row r="52" spans="1:4">
      <c r="A52" s="13" t="str">
        <f>_xlfn.CONCAT(TechnologiesEmlab!A6,"VariableCostTimeSeries")</f>
        <v>Lithium ion batteryVariableCostTimeSeries</v>
      </c>
      <c r="B52" s="46">
        <v>1E-3</v>
      </c>
      <c r="C52" s="9"/>
      <c r="D52" s="40">
        <v>0</v>
      </c>
    </row>
    <row r="53" spans="1:4">
      <c r="A53" s="13" t="str">
        <f>_xlfn.CONCAT(TechnologiesEmlab!A7,"VariableCostTimeSeries")</f>
        <v>NuclearVariableCostTimeSeries</v>
      </c>
      <c r="B53" s="46">
        <v>1E-3</v>
      </c>
      <c r="C53" s="9"/>
      <c r="D53" s="40">
        <v>0</v>
      </c>
    </row>
    <row r="54" spans="1:4">
      <c r="A54" s="13" t="str">
        <f>_xlfn.CONCAT(TechnologiesEmlab!A8,"VariableCostTimeSeries")</f>
        <v>Solar PV largeVariableCostTimeSeries</v>
      </c>
      <c r="B54" s="46">
        <v>1E-3</v>
      </c>
      <c r="C54" s="9"/>
      <c r="D54" s="40">
        <v>0</v>
      </c>
    </row>
    <row r="55" spans="1:4">
      <c r="A55" s="13" t="str">
        <f>_xlfn.CONCAT(TechnologiesEmlab!A9,"VariableCostTimeSeries")</f>
        <v>Solar PV rooftopVariableCostTimeSeries</v>
      </c>
      <c r="B55" s="46">
        <v>1E-3</v>
      </c>
      <c r="C55" s="9"/>
      <c r="D55" s="40">
        <v>0</v>
      </c>
    </row>
    <row r="56" spans="1:4">
      <c r="A56" s="13" t="str">
        <f>_xlfn.CONCAT(TechnologiesEmlab!A10,"VariableCostTimeSeries")</f>
        <v>Wind OffshoreVariableCostTimeSeries</v>
      </c>
      <c r="B56" s="46">
        <v>1E-3</v>
      </c>
      <c r="C56" s="9"/>
      <c r="D56" s="40">
        <v>0</v>
      </c>
    </row>
    <row r="57" spans="1:4">
      <c r="A57" s="13" t="str">
        <f>_xlfn.CONCAT(TechnologiesEmlab!A11,"VariableCostTimeSeries")</f>
        <v>Wind OnshoreVariableCostTimeSeries</v>
      </c>
      <c r="B57" s="46">
        <v>1E-3</v>
      </c>
      <c r="C57" s="9"/>
      <c r="D57" s="40">
        <v>0</v>
      </c>
    </row>
    <row r="58" spans="1:4">
      <c r="A58" s="13" t="str">
        <f>_xlfn.CONCAT(TechnologiesEmlab!A12,"VariableCostTimeSeries")</f>
        <v>electrolyzerVariableCostTimeSeries</v>
      </c>
      <c r="B58" s="46">
        <v>1E-3</v>
      </c>
      <c r="C58" s="9"/>
      <c r="D58" s="40">
        <v>0</v>
      </c>
    </row>
    <row r="59" spans="1:4">
      <c r="A59" s="13" t="str">
        <f>_xlfn.CONCAT(TechnologiesEmlab!A13,"VariableCostTimeSeries")</f>
        <v>central gas boilerVariableCostTimeSeries</v>
      </c>
      <c r="B59" s="46">
        <v>1E-3</v>
      </c>
      <c r="C59" s="9"/>
      <c r="D59" s="40">
        <v>0</v>
      </c>
    </row>
    <row r="60" spans="1:4">
      <c r="A60" s="13" t="str">
        <f>_xlfn.CONCAT(TechnologiesEmlab!A14,"VariableCostTimeSeries")</f>
        <v>CCGTVariableCostTimeSeries</v>
      </c>
      <c r="B60" s="46">
        <v>1E-3</v>
      </c>
      <c r="C60" s="9"/>
      <c r="D60" s="40">
        <v>0</v>
      </c>
    </row>
    <row r="61" spans="1:4">
      <c r="A61" s="13" t="str">
        <f>_xlfn.CONCAT(TechnologiesEmlab!A15,"VariableCostTimeSeries")</f>
        <v>CCS gasVariableCostTimeSeries</v>
      </c>
      <c r="B61" s="46">
        <v>1E-3</v>
      </c>
      <c r="C61" s="9"/>
      <c r="D61" s="40"/>
    </row>
    <row r="62" spans="1:4">
      <c r="A62" s="13" t="str">
        <f>_xlfn.CONCAT(TechnologiesEmlab!A16,"VariableCostTimeSeries")</f>
        <v>Hard CoalVariableCostTimeSeries</v>
      </c>
      <c r="B62" s="46">
        <v>1E-3</v>
      </c>
      <c r="C62" s="9"/>
      <c r="D62" s="40">
        <v>0</v>
      </c>
    </row>
    <row r="63" spans="1:4">
      <c r="A63" s="13" t="str">
        <f>_xlfn.CONCAT(TechnologiesEmlab!A17,"VariableCostTimeSeries")</f>
        <v>Hydro ReservoirVariableCostTimeSeries</v>
      </c>
      <c r="B63" s="46">
        <v>1E-3</v>
      </c>
      <c r="C63" s="9"/>
      <c r="D63" s="40">
        <v>0</v>
      </c>
    </row>
    <row r="64" spans="1:4">
      <c r="A64" s="13" t="str">
        <f>_xlfn.CONCAT(TechnologiesEmlab!A18,"VariableCostTimeSeries")</f>
        <v>hydrogen CHPVariableCostTimeSeries</v>
      </c>
      <c r="B64" s="46">
        <v>1E-3</v>
      </c>
      <c r="C64" s="9"/>
      <c r="D64" s="40">
        <v>0</v>
      </c>
    </row>
    <row r="65" spans="1:5">
      <c r="A65" s="13" t="str">
        <f>_xlfn.CONCAT(TechnologiesEmlab!A19,"VariableCostTimeSeries")</f>
        <v>Hydropower RORVariableCostTimeSeries</v>
      </c>
      <c r="B65" s="46">
        <v>1E-3</v>
      </c>
      <c r="C65" s="9"/>
      <c r="D65" s="40">
        <v>-5.0000000000000001E-3</v>
      </c>
      <c r="E65" t="s">
        <v>337</v>
      </c>
    </row>
    <row r="66" spans="1:5">
      <c r="A66" s="13" t="str">
        <f>_xlfn.CONCAT(TechnologiesEmlab!A20,"VariableCostTimeSeries")</f>
        <v>LigniteVariableCostTimeSeries</v>
      </c>
      <c r="B66" s="46">
        <v>1E-3</v>
      </c>
      <c r="C66" s="9"/>
      <c r="D66" s="40">
        <v>-5.0000000000000001E-3</v>
      </c>
    </row>
    <row r="67" spans="1:5">
      <c r="A67" s="13" t="str">
        <f>_xlfn.CONCAT(TechnologiesEmlab!A21,"VariableCostTimeSeries")</f>
        <v>OCGTVariableCostTimeSeries</v>
      </c>
      <c r="B67" s="46">
        <v>1E-3</v>
      </c>
      <c r="C67" s="9"/>
      <c r="D67" s="40">
        <v>-5.0000000000000001E-3</v>
      </c>
    </row>
    <row r="68" spans="1:5">
      <c r="A68" s="13" t="str">
        <f>_xlfn.CONCAT(TechnologiesEmlab!A22,"VariableCostTimeSeries")</f>
        <v>OilVariableCostTimeSeries</v>
      </c>
      <c r="B68" s="46">
        <v>1E-3</v>
      </c>
      <c r="C68" s="9"/>
      <c r="D68" s="40">
        <v>-5.0000000000000001E-3</v>
      </c>
    </row>
    <row r="69" spans="1:5">
      <c r="A69" s="13" t="str">
        <f>_xlfn.CONCAT(TechnologiesEmlab!A23,"VariableCostTimeSeries")</f>
        <v>PHS DischargeVariableCostTimeSeries</v>
      </c>
      <c r="B69" s="46">
        <v>1E-3</v>
      </c>
      <c r="C69" s="9"/>
      <c r="D69" s="9"/>
    </row>
    <row r="70" spans="1:5">
      <c r="A70" s="13" t="str">
        <f>_xlfn.CONCAT(TechnologiesEmlab!A24,"VariableCostTimeSeries")</f>
        <v>GasVariableCostTimeSeries</v>
      </c>
      <c r="B70" s="46">
        <v>1E-3</v>
      </c>
      <c r="C70" s="9"/>
      <c r="D70" s="9"/>
    </row>
    <row r="71" spans="1:5">
      <c r="A71" s="58" t="str">
        <f>_xlfn.CONCAT(TechnologiesEmlab!A2,"EfficiencyTimeSeries")</f>
        <v>hydrogen OCGTEfficiencyTimeSeries</v>
      </c>
      <c r="B71" s="46">
        <v>0</v>
      </c>
      <c r="C71" s="9"/>
      <c r="D71" s="9"/>
    </row>
    <row r="72" spans="1:5">
      <c r="A72" s="58" t="str">
        <f>_xlfn.CONCAT(TechnologiesEmlab!A3,"EfficiencyTimeSeries")</f>
        <v>hydrogen CCGTEfficiencyTimeSeries</v>
      </c>
      <c r="B72" s="46">
        <v>0</v>
      </c>
      <c r="C72" s="9"/>
      <c r="D72" s="9"/>
    </row>
    <row r="73" spans="1:5">
      <c r="A73" s="58" t="str">
        <f>_xlfn.CONCAT(TechnologiesEmlab!A4,"EfficiencyTimeSeries")</f>
        <v>BiofuelEfficiencyTimeSeries</v>
      </c>
      <c r="B73" s="46">
        <v>0</v>
      </c>
      <c r="C73" s="9"/>
      <c r="D73" s="9"/>
    </row>
    <row r="74" spans="1:5">
      <c r="A74" s="58" t="str">
        <f>_xlfn.CONCAT(TechnologiesEmlab!A5,"EfficiencyTimeSeries")</f>
        <v>Lithium ion battery 4EfficiencyTimeSeries</v>
      </c>
      <c r="B74" s="46">
        <v>0</v>
      </c>
      <c r="C74" s="9"/>
      <c r="D74" s="9"/>
    </row>
    <row r="75" spans="1:5">
      <c r="A75" s="58" t="str">
        <f>_xlfn.CONCAT(TechnologiesEmlab!A6,"EfficiencyTimeSeries")</f>
        <v>Lithium ion batteryEfficiencyTimeSeries</v>
      </c>
      <c r="B75" s="46">
        <v>0</v>
      </c>
      <c r="C75" s="9"/>
      <c r="D75" s="9"/>
    </row>
    <row r="76" spans="1:5">
      <c r="A76" s="58" t="str">
        <f>_xlfn.CONCAT(TechnologiesEmlab!A7,"EfficiencyTimeSeries")</f>
        <v>NuclearEfficiencyTimeSeries</v>
      </c>
      <c r="B76" s="46">
        <v>0</v>
      </c>
      <c r="C76" s="9"/>
      <c r="D76" s="9"/>
    </row>
    <row r="77" spans="1:5">
      <c r="A77" s="58" t="str">
        <f>_xlfn.CONCAT(TechnologiesEmlab!A8,"EfficiencyTimeSeries")</f>
        <v>Solar PV largeEfficiencyTimeSeries</v>
      </c>
      <c r="B77" s="46">
        <v>0</v>
      </c>
      <c r="C77" s="9"/>
      <c r="D77" s="9"/>
    </row>
    <row r="78" spans="1:5">
      <c r="A78" s="58" t="str">
        <f>_xlfn.CONCAT(TechnologiesEmlab!A9,"EfficiencyTimeSeries")</f>
        <v>Solar PV rooftopEfficiencyTimeSeries</v>
      </c>
      <c r="B78" s="46">
        <v>0</v>
      </c>
      <c r="C78" s="9"/>
      <c r="D78" s="9"/>
    </row>
    <row r="79" spans="1:5">
      <c r="A79" s="58" t="str">
        <f>_xlfn.CONCAT(TechnologiesEmlab!A10,"EfficiencyTimeSeries")</f>
        <v>Wind OffshoreEfficiencyTimeSeries</v>
      </c>
      <c r="B79" s="46">
        <v>0</v>
      </c>
      <c r="C79" s="9"/>
      <c r="D79" s="9"/>
    </row>
    <row r="80" spans="1:5">
      <c r="A80" s="58" t="str">
        <f>_xlfn.CONCAT(TechnologiesEmlab!A11,"EfficiencyTimeSeries")</f>
        <v>Wind OnshoreEfficiencyTimeSeries</v>
      </c>
      <c r="B80" s="46">
        <v>0</v>
      </c>
      <c r="C80" s="9"/>
      <c r="D80" s="9"/>
    </row>
    <row r="81" spans="1:4">
      <c r="A81" s="58" t="str">
        <f>_xlfn.CONCAT(TechnologiesEmlab!A12,"EfficiencyTimeSeries")</f>
        <v>electrolyzerEfficiencyTimeSeries</v>
      </c>
      <c r="B81" s="46">
        <v>0</v>
      </c>
      <c r="C81" s="9"/>
      <c r="D81" s="9"/>
    </row>
    <row r="82" spans="1:4">
      <c r="A82" s="58" t="str">
        <f>_xlfn.CONCAT(TechnologiesEmlab!A13,"EfficiencyTimeSeries")</f>
        <v>central gas boilerEfficiencyTimeSeries</v>
      </c>
      <c r="B82" s="46">
        <v>0</v>
      </c>
      <c r="C82" s="9"/>
      <c r="D82" s="9"/>
    </row>
    <row r="83" spans="1:4">
      <c r="A83" s="58" t="str">
        <f>_xlfn.CONCAT(TechnologiesEmlab!A14,"EfficiencyTimeSeries")</f>
        <v>CCGTEfficiencyTimeSeries</v>
      </c>
      <c r="B83" s="46">
        <v>0</v>
      </c>
      <c r="C83" s="9"/>
      <c r="D83" s="9"/>
    </row>
    <row r="84" spans="1:4">
      <c r="A84" s="58" t="str">
        <f>_xlfn.CONCAT(TechnologiesEmlab!A15,"EfficiencyTimeSeries")</f>
        <v>CCS gasEfficiencyTimeSeries</v>
      </c>
      <c r="B84" s="46">
        <v>0</v>
      </c>
      <c r="C84" s="9"/>
      <c r="D84" s="9"/>
    </row>
    <row r="85" spans="1:4">
      <c r="A85" s="58" t="str">
        <f>_xlfn.CONCAT(TechnologiesEmlab!A16,"EfficiencyTimeSeries")</f>
        <v>Hard CoalEfficiencyTimeSeries</v>
      </c>
      <c r="B85" s="46">
        <v>0</v>
      </c>
      <c r="C85" s="9"/>
      <c r="D85" s="9"/>
    </row>
    <row r="86" spans="1:4">
      <c r="A86" s="58" t="str">
        <f>_xlfn.CONCAT(TechnologiesEmlab!A17,"EfficiencyTimeSeries")</f>
        <v>Hydro ReservoirEfficiencyTimeSeries</v>
      </c>
      <c r="B86" s="46">
        <v>0</v>
      </c>
      <c r="C86" s="9"/>
      <c r="D86" s="9"/>
    </row>
    <row r="87" spans="1:4">
      <c r="A87" s="58" t="str">
        <f>_xlfn.CONCAT(TechnologiesEmlab!A18,"EfficiencyTimeSeries")</f>
        <v>hydrogen CHPEfficiencyTimeSeries</v>
      </c>
      <c r="B87" s="46">
        <v>0</v>
      </c>
      <c r="C87" s="9"/>
      <c r="D87" s="9"/>
    </row>
    <row r="88" spans="1:4">
      <c r="A88" s="58" t="str">
        <f>_xlfn.CONCAT(TechnologiesEmlab!A19,"EfficiencyTimeSeries")</f>
        <v>Hydropower ROREfficiencyTimeSeries</v>
      </c>
      <c r="B88" s="46">
        <v>0</v>
      </c>
      <c r="C88" s="9"/>
      <c r="D88" s="9"/>
    </row>
    <row r="89" spans="1:4">
      <c r="A89" s="58" t="str">
        <f>_xlfn.CONCAT(TechnologiesEmlab!A20,"EfficiencyTimeSeries")</f>
        <v>LigniteEfficiencyTimeSeries</v>
      </c>
      <c r="B89" s="46">
        <v>0</v>
      </c>
      <c r="C89" s="9"/>
      <c r="D89" s="9"/>
    </row>
    <row r="90" spans="1:4">
      <c r="A90" s="58" t="str">
        <f>_xlfn.CONCAT(TechnologiesEmlab!A21,"EfficiencyTimeSeries")</f>
        <v>OCGTEfficiencyTimeSeries</v>
      </c>
      <c r="B90" s="46">
        <v>0</v>
      </c>
      <c r="C90" s="9"/>
      <c r="D90" s="9"/>
    </row>
    <row r="91" spans="1:4">
      <c r="A91" s="58" t="str">
        <f>_xlfn.CONCAT(TechnologiesEmlab!A22,"EfficiencyTimeSeries")</f>
        <v>OilEfficiencyTimeSeries</v>
      </c>
      <c r="B91" s="46">
        <v>0</v>
      </c>
      <c r="C91" s="9"/>
      <c r="D91" s="9"/>
    </row>
    <row r="92" spans="1:4">
      <c r="A92" s="58" t="str">
        <f>_xlfn.CONCAT(TechnologiesEmlab!A23,"EfficiencyTimeSeries")</f>
        <v>PHS DischargeEfficiencyTimeSeries</v>
      </c>
      <c r="B92" s="46">
        <v>0</v>
      </c>
      <c r="C92" s="9"/>
      <c r="D92" s="9"/>
    </row>
    <row r="93" spans="1:4">
      <c r="A93" s="58" t="str">
        <f>_xlfn.CONCAT(TechnologiesEmlab!A24,"EfficiencyTimeSeries")</f>
        <v>GasEfficiencyTimeSeries</v>
      </c>
      <c r="B93" s="46">
        <v>0</v>
      </c>
      <c r="C93" s="9"/>
      <c r="D93" s="9"/>
    </row>
    <row r="94" spans="1:4">
      <c r="C94" s="9"/>
      <c r="D94" s="9"/>
    </row>
    <row r="95" spans="1:4">
      <c r="A95" s="58"/>
      <c r="B95" s="46"/>
      <c r="C95" s="9"/>
      <c r="D95" s="9"/>
    </row>
    <row r="96" spans="1:4">
      <c r="A96" s="9"/>
      <c r="B96" s="9"/>
      <c r="C96" s="9"/>
      <c r="D96" s="9"/>
    </row>
    <row r="97" spans="1:4">
      <c r="A97" s="9"/>
      <c r="B97" s="9"/>
      <c r="C97" s="9"/>
      <c r="D97" s="9"/>
    </row>
    <row r="98" spans="1:4">
      <c r="D98" s="9"/>
    </row>
    <row r="99" spans="1:4">
      <c r="D99" s="9"/>
    </row>
    <row r="104" spans="1:4">
      <c r="D104" s="40"/>
    </row>
    <row r="105" spans="1:4">
      <c r="D105" s="40"/>
    </row>
    <row r="106" spans="1:4">
      <c r="D106" s="40"/>
    </row>
    <row r="107" spans="1:4">
      <c r="D107" s="40"/>
    </row>
    <row r="108" spans="1:4">
      <c r="D108" s="40"/>
    </row>
    <row r="109" spans="1:4">
      <c r="D109" s="40"/>
    </row>
    <row r="110" spans="1:4">
      <c r="D110" s="40"/>
    </row>
    <row r="111" spans="1:4">
      <c r="D111" s="40"/>
    </row>
    <row r="112" spans="1:4">
      <c r="D112" s="40"/>
    </row>
    <row r="113" spans="4:4">
      <c r="D113" s="40"/>
    </row>
    <row r="114" spans="4:4">
      <c r="D114" s="40"/>
    </row>
    <row r="115" spans="4:4">
      <c r="D115" s="40"/>
    </row>
    <row r="116" spans="4:4">
      <c r="D116" s="40"/>
    </row>
    <row r="117" spans="4:4">
      <c r="D117" s="40"/>
    </row>
    <row r="118" spans="4:4">
      <c r="D118" s="40"/>
    </row>
    <row r="119" spans="4:4">
      <c r="D119" s="40"/>
    </row>
    <row r="120" spans="4:4">
      <c r="D120" s="40"/>
    </row>
    <row r="121" spans="4:4">
      <c r="D121" s="40"/>
    </row>
    <row r="122" spans="4:4">
      <c r="D122" s="40"/>
    </row>
    <row r="123" spans="4:4">
      <c r="D123" s="40"/>
    </row>
    <row r="124" spans="4:4">
      <c r="D124" s="40"/>
    </row>
    <row r="125" spans="4:4">
      <c r="D125" s="40"/>
    </row>
    <row r="126" spans="4:4">
      <c r="D126" s="40"/>
    </row>
    <row r="127" spans="4:4">
      <c r="D127" s="40"/>
    </row>
    <row r="128" spans="4:4">
      <c r="D128" s="40"/>
    </row>
    <row r="129" spans="4:4">
      <c r="D129" s="40"/>
    </row>
    <row r="130" spans="4:4">
      <c r="D130" s="40"/>
    </row>
    <row r="131" spans="4:4">
      <c r="D131" s="40"/>
    </row>
    <row r="132" spans="4:4">
      <c r="D132" s="40"/>
    </row>
    <row r="133" spans="4:4">
      <c r="D133" s="40"/>
    </row>
    <row r="134" spans="4:4">
      <c r="D134" s="40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264C1-E16B-476C-A2CE-D24B7F13E008}">
  <sheetPr codeName="Sheet11" filterMode="1">
    <tabColor theme="7" tint="0.79998168889431442"/>
  </sheetPr>
  <dimension ref="A1:O8"/>
  <sheetViews>
    <sheetView topLeftCell="B1" zoomScale="115" zoomScaleNormal="115" workbookViewId="0">
      <selection activeCell="F7" sqref="F7"/>
    </sheetView>
  </sheetViews>
  <sheetFormatPr defaultRowHeight="15"/>
  <cols>
    <col min="1" max="1" width="12.42578125" customWidth="1"/>
    <col min="2" max="2" width="25.7109375" bestFit="1" customWidth="1"/>
    <col min="3" max="13" width="18.42578125" customWidth="1"/>
    <col min="14" max="18" width="14.5703125" customWidth="1"/>
  </cols>
  <sheetData>
    <row r="1" spans="1:15" s="2" customFormat="1" ht="42.6" customHeight="1">
      <c r="A1" s="49" t="s">
        <v>162</v>
      </c>
      <c r="B1" s="49" t="s">
        <v>338</v>
      </c>
      <c r="C1" s="49" t="s">
        <v>339</v>
      </c>
      <c r="D1" s="49" t="s">
        <v>69</v>
      </c>
      <c r="E1" s="49" t="s">
        <v>71</v>
      </c>
      <c r="F1" s="49" t="s">
        <v>340</v>
      </c>
      <c r="G1" s="49" t="s">
        <v>72</v>
      </c>
      <c r="H1" s="49" t="s">
        <v>341</v>
      </c>
      <c r="I1" s="49" t="s">
        <v>342</v>
      </c>
    </row>
    <row r="2" spans="1:15">
      <c r="A2" s="13" t="s">
        <v>343</v>
      </c>
      <c r="B2" s="13" t="s">
        <v>344</v>
      </c>
      <c r="C2" s="13" t="b">
        <v>1</v>
      </c>
      <c r="D2" s="13">
        <v>0</v>
      </c>
      <c r="E2" s="13">
        <v>0.8</v>
      </c>
      <c r="F2" s="13">
        <v>7.0000000000000007E-2</v>
      </c>
      <c r="G2" s="13">
        <v>7.0000000000000007E-2</v>
      </c>
      <c r="H2" s="13">
        <v>3</v>
      </c>
      <c r="I2" s="13">
        <v>0.1</v>
      </c>
    </row>
    <row r="3" spans="1:15">
      <c r="A3" s="13" t="s">
        <v>345</v>
      </c>
      <c r="B3" s="13" t="s">
        <v>248</v>
      </c>
      <c r="C3" s="13" t="b">
        <v>1</v>
      </c>
      <c r="D3" s="13">
        <v>0</v>
      </c>
      <c r="E3" s="13">
        <v>0.8</v>
      </c>
      <c r="F3" s="13">
        <v>7.0000000000000007E-2</v>
      </c>
      <c r="G3" s="13">
        <v>7.0000000000000007E-2</v>
      </c>
      <c r="H3" s="13">
        <v>3</v>
      </c>
      <c r="I3" s="13">
        <v>0.1</v>
      </c>
    </row>
    <row r="4" spans="1:15">
      <c r="O4" s="1"/>
    </row>
    <row r="5" spans="1:15">
      <c r="O5" s="1"/>
    </row>
    <row r="6" spans="1:15">
      <c r="O6" s="1"/>
    </row>
    <row r="7" spans="1:15">
      <c r="O7" s="1"/>
    </row>
    <row r="8" spans="1:15">
      <c r="O8" s="1"/>
    </row>
  </sheetData>
  <sortState xmlns:xlrd2="http://schemas.microsoft.com/office/spreadsheetml/2017/richdata2" ref="A2:P2">
    <sortCondition ref="A2"/>
  </sortState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7C2D-9272-493D-BC75-670B8E2C6406}">
  <sheetPr>
    <tabColor theme="7" tint="0.79998168889431442"/>
  </sheetPr>
  <dimension ref="A1:AQ17"/>
  <sheetViews>
    <sheetView workbookViewId="0">
      <selection activeCell="K34" sqref="K34"/>
    </sheetView>
  </sheetViews>
  <sheetFormatPr defaultRowHeight="15"/>
  <cols>
    <col min="1" max="1" width="25.5703125" style="16" customWidth="1"/>
    <col min="2" max="41" width="8.7109375" style="16"/>
  </cols>
  <sheetData>
    <row r="1" spans="1:43">
      <c r="A1" s="16" t="s">
        <v>346</v>
      </c>
      <c r="B1" s="16">
        <v>0</v>
      </c>
      <c r="C1" s="16">
        <v>1</v>
      </c>
      <c r="D1" s="16">
        <v>2</v>
      </c>
      <c r="E1" s="16">
        <v>3</v>
      </c>
      <c r="F1" s="16">
        <v>4</v>
      </c>
      <c r="G1" s="16">
        <v>5</v>
      </c>
      <c r="H1" s="16">
        <v>6</v>
      </c>
      <c r="I1" s="16">
        <v>7</v>
      </c>
      <c r="J1" s="16">
        <v>8</v>
      </c>
      <c r="K1" s="16">
        <v>9</v>
      </c>
      <c r="L1" s="16">
        <v>10</v>
      </c>
      <c r="M1" s="16">
        <v>11</v>
      </c>
      <c r="N1" s="16">
        <v>12</v>
      </c>
      <c r="O1" s="16">
        <v>13</v>
      </c>
      <c r="P1" s="16">
        <v>14</v>
      </c>
      <c r="Q1" s="16">
        <v>15</v>
      </c>
      <c r="R1" s="16">
        <v>16</v>
      </c>
      <c r="S1" s="16">
        <v>17</v>
      </c>
      <c r="T1" s="16">
        <v>18</v>
      </c>
      <c r="U1" s="16">
        <v>19</v>
      </c>
      <c r="V1" s="16">
        <v>20</v>
      </c>
      <c r="W1" s="16">
        <v>21</v>
      </c>
      <c r="X1" s="16">
        <v>22</v>
      </c>
      <c r="Y1" s="16">
        <v>23</v>
      </c>
      <c r="Z1" s="16">
        <v>24</v>
      </c>
      <c r="AA1" s="16">
        <v>25</v>
      </c>
      <c r="AB1" s="16">
        <v>26</v>
      </c>
      <c r="AC1" s="16">
        <v>27</v>
      </c>
      <c r="AD1" s="16">
        <v>28</v>
      </c>
      <c r="AE1" s="16">
        <v>29</v>
      </c>
      <c r="AF1" s="16">
        <v>30</v>
      </c>
      <c r="AG1" s="16">
        <v>31</v>
      </c>
      <c r="AH1" s="16">
        <v>32</v>
      </c>
      <c r="AI1" s="16">
        <v>33</v>
      </c>
      <c r="AJ1" s="16">
        <v>34</v>
      </c>
      <c r="AK1" s="16">
        <v>35</v>
      </c>
      <c r="AL1" s="16">
        <v>36</v>
      </c>
      <c r="AM1" s="16">
        <v>37</v>
      </c>
      <c r="AN1" s="16">
        <v>38</v>
      </c>
      <c r="AO1" s="16">
        <v>39</v>
      </c>
      <c r="AP1" s="35"/>
      <c r="AQ1" s="35"/>
    </row>
    <row r="2" spans="1:43">
      <c r="A2" s="16" t="s">
        <v>347</v>
      </c>
      <c r="B2" s="16">
        <v>1980</v>
      </c>
      <c r="C2" s="16">
        <v>1981</v>
      </c>
      <c r="D2" s="16">
        <v>1982</v>
      </c>
      <c r="E2" s="16">
        <v>1983</v>
      </c>
      <c r="F2" s="16">
        <v>1984</v>
      </c>
      <c r="G2" s="16">
        <v>1985</v>
      </c>
      <c r="H2" s="16">
        <v>1986</v>
      </c>
      <c r="I2" s="16">
        <v>1987</v>
      </c>
      <c r="J2" s="16">
        <v>1988</v>
      </c>
      <c r="K2" s="16">
        <v>1989</v>
      </c>
      <c r="L2" s="16">
        <v>1990</v>
      </c>
      <c r="M2" s="16">
        <v>1991</v>
      </c>
      <c r="N2" s="16">
        <v>1992</v>
      </c>
      <c r="O2" s="16">
        <v>1993</v>
      </c>
      <c r="P2" s="16">
        <v>1994</v>
      </c>
      <c r="Q2" s="16">
        <v>1995</v>
      </c>
      <c r="R2" s="16">
        <v>1996</v>
      </c>
      <c r="S2" s="16">
        <v>1997</v>
      </c>
      <c r="T2" s="16">
        <v>1998</v>
      </c>
      <c r="U2" s="16">
        <v>1999</v>
      </c>
      <c r="V2" s="16">
        <v>2000</v>
      </c>
      <c r="W2" s="16">
        <v>2001</v>
      </c>
      <c r="X2" s="16">
        <v>2002</v>
      </c>
      <c r="Y2" s="16">
        <v>2003</v>
      </c>
      <c r="Z2" s="16">
        <v>2004</v>
      </c>
      <c r="AA2" s="16">
        <v>2005</v>
      </c>
      <c r="AB2" s="16">
        <v>2006</v>
      </c>
      <c r="AC2" s="16">
        <v>2007</v>
      </c>
      <c r="AD2" s="16">
        <v>2008</v>
      </c>
      <c r="AE2" s="16">
        <v>2009</v>
      </c>
      <c r="AF2" s="16">
        <v>2010</v>
      </c>
      <c r="AG2" s="16">
        <v>2011</v>
      </c>
      <c r="AH2" s="16">
        <v>2012</v>
      </c>
      <c r="AI2" s="16">
        <v>2013</v>
      </c>
      <c r="AJ2" s="16">
        <v>2014</v>
      </c>
      <c r="AK2" s="16">
        <v>2015</v>
      </c>
      <c r="AL2" s="16">
        <v>2016</v>
      </c>
      <c r="AM2" s="16">
        <v>2017</v>
      </c>
      <c r="AN2" s="16">
        <v>2018</v>
      </c>
      <c r="AO2" s="16">
        <v>2019</v>
      </c>
      <c r="AP2" s="35"/>
      <c r="AQ2" s="35"/>
    </row>
    <row r="3" spans="1:43">
      <c r="A3" s="16" t="s">
        <v>348</v>
      </c>
      <c r="B3" s="16">
        <v>2009</v>
      </c>
      <c r="C3" s="16">
        <v>1999</v>
      </c>
      <c r="D3" s="16">
        <v>1981</v>
      </c>
      <c r="E3" s="16">
        <v>1984</v>
      </c>
      <c r="F3" s="16">
        <v>1989</v>
      </c>
      <c r="G3" s="16">
        <v>2004</v>
      </c>
      <c r="H3" s="16">
        <v>2009</v>
      </c>
      <c r="I3" s="16">
        <v>1992</v>
      </c>
      <c r="J3" s="16">
        <v>1980</v>
      </c>
      <c r="K3" s="16">
        <v>1987</v>
      </c>
      <c r="L3" s="16">
        <v>1986</v>
      </c>
      <c r="M3" s="16">
        <v>2002</v>
      </c>
      <c r="N3" s="16">
        <v>2002</v>
      </c>
      <c r="O3" s="16">
        <v>1998</v>
      </c>
      <c r="P3" s="16">
        <v>2009</v>
      </c>
      <c r="Q3" s="16">
        <v>1980</v>
      </c>
      <c r="R3" s="16">
        <v>2004</v>
      </c>
      <c r="S3" s="16">
        <v>1983</v>
      </c>
      <c r="T3" s="16">
        <v>1984</v>
      </c>
      <c r="U3" s="16">
        <v>1980</v>
      </c>
      <c r="V3" s="16">
        <v>2002</v>
      </c>
      <c r="W3" s="16">
        <v>1985</v>
      </c>
      <c r="X3" s="16">
        <v>2017</v>
      </c>
      <c r="Y3" s="16">
        <v>1986</v>
      </c>
      <c r="Z3" s="16">
        <v>2007</v>
      </c>
      <c r="AA3" s="16">
        <v>1998</v>
      </c>
      <c r="AB3" s="16">
        <v>1993</v>
      </c>
      <c r="AC3" s="16">
        <v>1992</v>
      </c>
      <c r="AD3" s="16">
        <v>1982</v>
      </c>
      <c r="AE3" s="16">
        <v>2008</v>
      </c>
      <c r="AF3" s="16">
        <v>2005</v>
      </c>
      <c r="AG3" s="16">
        <v>1993</v>
      </c>
      <c r="AH3" s="16">
        <v>2012</v>
      </c>
      <c r="AI3" s="16">
        <v>1993</v>
      </c>
      <c r="AJ3" s="16">
        <v>1992</v>
      </c>
      <c r="AK3" s="16">
        <v>1983</v>
      </c>
      <c r="AL3" s="16">
        <v>2003</v>
      </c>
      <c r="AM3" s="16">
        <v>1990</v>
      </c>
      <c r="AN3" s="16">
        <v>1997</v>
      </c>
      <c r="AO3" s="16">
        <v>2014</v>
      </c>
      <c r="AP3" s="35"/>
    </row>
    <row r="4" spans="1:43">
      <c r="A4" s="16" t="s">
        <v>349</v>
      </c>
      <c r="B4" s="16">
        <v>2006</v>
      </c>
      <c r="C4" s="16">
        <v>1988</v>
      </c>
      <c r="D4" s="16">
        <v>1981</v>
      </c>
      <c r="E4" s="16">
        <v>1982</v>
      </c>
      <c r="F4" s="16">
        <v>1999</v>
      </c>
      <c r="G4" s="16">
        <v>1989</v>
      </c>
      <c r="H4" s="16">
        <v>1993</v>
      </c>
      <c r="I4" s="16">
        <v>2017</v>
      </c>
      <c r="J4" s="16">
        <v>2014</v>
      </c>
      <c r="K4" s="16">
        <v>1982</v>
      </c>
      <c r="L4" s="16">
        <v>1985</v>
      </c>
      <c r="M4" s="16">
        <v>1997</v>
      </c>
      <c r="N4" s="16">
        <v>1986</v>
      </c>
      <c r="O4" s="16">
        <v>1983</v>
      </c>
      <c r="P4" s="16">
        <v>2002</v>
      </c>
      <c r="Q4" s="16">
        <v>2018</v>
      </c>
      <c r="R4" s="16">
        <v>1997</v>
      </c>
      <c r="S4" s="16">
        <v>1994</v>
      </c>
      <c r="T4" s="16">
        <v>2004</v>
      </c>
      <c r="U4" s="16">
        <v>1984</v>
      </c>
      <c r="V4" s="16">
        <v>2001</v>
      </c>
      <c r="W4" s="16">
        <v>1999</v>
      </c>
      <c r="X4" s="16">
        <v>1993</v>
      </c>
      <c r="Y4" s="16">
        <v>2003</v>
      </c>
      <c r="Z4" s="16">
        <v>1994</v>
      </c>
      <c r="AA4" s="16">
        <v>2011</v>
      </c>
      <c r="AB4" s="16">
        <v>1990</v>
      </c>
      <c r="AC4" s="16">
        <v>1983</v>
      </c>
      <c r="AD4" s="16">
        <v>1980</v>
      </c>
      <c r="AE4" s="16">
        <v>2002</v>
      </c>
      <c r="AF4" s="16">
        <v>2000</v>
      </c>
      <c r="AG4" s="16">
        <v>2001</v>
      </c>
      <c r="AH4" s="16">
        <v>1985</v>
      </c>
      <c r="AI4" s="16">
        <v>2015</v>
      </c>
      <c r="AJ4" s="16">
        <v>2007</v>
      </c>
      <c r="AK4" s="16">
        <v>1982</v>
      </c>
      <c r="AL4" s="16">
        <v>1982</v>
      </c>
      <c r="AM4" s="16">
        <v>1991</v>
      </c>
      <c r="AN4" s="16">
        <v>1990</v>
      </c>
      <c r="AO4" s="16">
        <v>2003</v>
      </c>
      <c r="AP4" s="35"/>
    </row>
    <row r="5" spans="1:43">
      <c r="A5" s="16" t="s">
        <v>350</v>
      </c>
      <c r="B5" s="16">
        <v>1989</v>
      </c>
      <c r="C5" s="16">
        <v>1989</v>
      </c>
      <c r="D5" s="16">
        <v>2006</v>
      </c>
      <c r="E5" s="16">
        <v>2003</v>
      </c>
      <c r="F5" s="16">
        <v>1980</v>
      </c>
      <c r="G5" s="16">
        <v>2019</v>
      </c>
      <c r="H5" s="16">
        <v>1987</v>
      </c>
      <c r="I5" s="16">
        <v>1988</v>
      </c>
      <c r="J5" s="16">
        <v>2018</v>
      </c>
      <c r="K5" s="16">
        <v>2001</v>
      </c>
      <c r="L5" s="16">
        <v>2003</v>
      </c>
      <c r="M5" s="16">
        <v>2010</v>
      </c>
      <c r="N5" s="16">
        <v>1996</v>
      </c>
      <c r="O5" s="16">
        <v>1993</v>
      </c>
      <c r="P5" s="16">
        <v>1996</v>
      </c>
      <c r="Q5" s="16">
        <v>2010</v>
      </c>
      <c r="R5" s="16">
        <v>2001</v>
      </c>
      <c r="S5" s="16">
        <v>2010</v>
      </c>
      <c r="T5" s="16">
        <v>2016</v>
      </c>
      <c r="U5" s="16">
        <v>2003</v>
      </c>
      <c r="V5" s="16">
        <v>1985</v>
      </c>
      <c r="W5" s="16">
        <v>1982</v>
      </c>
      <c r="X5" s="16">
        <v>1994</v>
      </c>
      <c r="Y5" s="16">
        <v>1983</v>
      </c>
      <c r="Z5" s="16">
        <v>2004</v>
      </c>
      <c r="AA5" s="16">
        <v>1983</v>
      </c>
      <c r="AB5" s="16">
        <v>2007</v>
      </c>
      <c r="AC5" s="16">
        <v>1991</v>
      </c>
      <c r="AD5" s="16">
        <v>1994</v>
      </c>
      <c r="AE5" s="16">
        <v>2011</v>
      </c>
      <c r="AF5" s="16">
        <v>2017</v>
      </c>
      <c r="AG5" s="16">
        <v>1989</v>
      </c>
      <c r="AH5" s="16">
        <v>1980</v>
      </c>
      <c r="AI5" s="16">
        <v>1990</v>
      </c>
      <c r="AJ5" s="16">
        <v>1996</v>
      </c>
      <c r="AK5" s="16">
        <v>1988</v>
      </c>
      <c r="AL5" s="16">
        <v>1998</v>
      </c>
      <c r="AM5" s="16">
        <v>2010</v>
      </c>
      <c r="AN5" s="16">
        <v>1990</v>
      </c>
      <c r="AO5" s="16">
        <v>2009</v>
      </c>
      <c r="AP5" s="35"/>
    </row>
    <row r="6" spans="1:43">
      <c r="A6" s="16" t="s">
        <v>351</v>
      </c>
      <c r="B6" s="16">
        <v>2015</v>
      </c>
      <c r="C6" s="16">
        <v>2001</v>
      </c>
      <c r="D6" s="16">
        <v>1985</v>
      </c>
      <c r="E6" s="16">
        <v>2016</v>
      </c>
      <c r="F6" s="16">
        <v>1996</v>
      </c>
      <c r="G6" s="16">
        <v>1996</v>
      </c>
      <c r="H6" s="16">
        <v>2006</v>
      </c>
      <c r="I6" s="16">
        <v>1994</v>
      </c>
      <c r="J6" s="16">
        <v>1995</v>
      </c>
      <c r="K6" s="16">
        <v>2019</v>
      </c>
      <c r="L6" s="16">
        <v>2015</v>
      </c>
      <c r="M6" s="16">
        <v>2009</v>
      </c>
      <c r="N6" s="16">
        <v>1996</v>
      </c>
      <c r="O6" s="16">
        <v>2016</v>
      </c>
      <c r="P6" s="16">
        <v>2007</v>
      </c>
      <c r="Q6" s="16">
        <v>2016</v>
      </c>
      <c r="R6" s="16">
        <v>1989</v>
      </c>
      <c r="S6" s="16">
        <v>1985</v>
      </c>
      <c r="T6" s="16">
        <v>2001</v>
      </c>
      <c r="U6" s="16">
        <v>2010</v>
      </c>
      <c r="V6" s="16">
        <v>2011</v>
      </c>
      <c r="W6" s="16">
        <v>1993</v>
      </c>
      <c r="X6" s="16">
        <v>1982</v>
      </c>
      <c r="Y6" s="16">
        <v>2002</v>
      </c>
      <c r="Z6" s="16">
        <v>2012</v>
      </c>
      <c r="AA6" s="16">
        <v>1991</v>
      </c>
      <c r="AB6" s="16">
        <v>1998</v>
      </c>
      <c r="AC6" s="16">
        <v>1993</v>
      </c>
      <c r="AD6" s="16">
        <v>1984</v>
      </c>
      <c r="AE6" s="16">
        <v>1985</v>
      </c>
      <c r="AF6" s="16">
        <v>2008</v>
      </c>
      <c r="AG6" s="16">
        <v>2012</v>
      </c>
      <c r="AH6" s="16">
        <v>2019</v>
      </c>
      <c r="AI6" s="16">
        <v>2011</v>
      </c>
      <c r="AJ6" s="16">
        <v>2015</v>
      </c>
      <c r="AK6" s="16">
        <v>2008</v>
      </c>
      <c r="AL6" s="16">
        <v>1981</v>
      </c>
      <c r="AM6" s="16">
        <v>2014</v>
      </c>
      <c r="AN6" s="16">
        <v>1997</v>
      </c>
      <c r="AO6" s="16">
        <v>1987</v>
      </c>
      <c r="AP6" s="35"/>
    </row>
    <row r="7" spans="1:43">
      <c r="A7" s="16" t="s">
        <v>352</v>
      </c>
      <c r="B7" s="16">
        <v>2006</v>
      </c>
      <c r="C7" s="16">
        <v>1982</v>
      </c>
      <c r="D7" s="16">
        <v>1982</v>
      </c>
      <c r="E7" s="16">
        <v>2009</v>
      </c>
      <c r="F7" s="16">
        <v>2015</v>
      </c>
      <c r="G7" s="16">
        <v>1982</v>
      </c>
      <c r="H7" s="16">
        <v>1983</v>
      </c>
      <c r="I7" s="16">
        <v>2012</v>
      </c>
      <c r="J7" s="16">
        <v>1998</v>
      </c>
      <c r="K7" s="16">
        <v>2007</v>
      </c>
      <c r="L7" s="16">
        <v>1994</v>
      </c>
      <c r="M7" s="16">
        <v>2000</v>
      </c>
      <c r="N7" s="16">
        <v>1999</v>
      </c>
      <c r="O7" s="16">
        <v>1987</v>
      </c>
      <c r="P7" s="16">
        <v>1990</v>
      </c>
      <c r="Q7" s="16">
        <v>1991</v>
      </c>
      <c r="R7" s="16">
        <v>2005</v>
      </c>
      <c r="S7" s="16">
        <v>2009</v>
      </c>
      <c r="T7" s="16">
        <v>2004</v>
      </c>
      <c r="U7" s="16">
        <v>2008</v>
      </c>
      <c r="V7" s="16">
        <v>1986</v>
      </c>
      <c r="W7" s="16">
        <v>2001</v>
      </c>
      <c r="X7" s="16">
        <v>2009</v>
      </c>
      <c r="Y7" s="16">
        <v>2006</v>
      </c>
      <c r="Z7" s="16">
        <v>2010</v>
      </c>
      <c r="AA7" s="16">
        <v>1990</v>
      </c>
      <c r="AB7" s="16">
        <v>2013</v>
      </c>
      <c r="AC7" s="16">
        <v>1993</v>
      </c>
      <c r="AD7" s="16">
        <v>1992</v>
      </c>
      <c r="AE7" s="16">
        <v>1988</v>
      </c>
      <c r="AF7" s="16">
        <v>1993</v>
      </c>
      <c r="AG7" s="16">
        <v>2009</v>
      </c>
      <c r="AH7" s="16">
        <v>1988</v>
      </c>
      <c r="AI7" s="16">
        <v>2002</v>
      </c>
      <c r="AJ7" s="16">
        <v>2007</v>
      </c>
      <c r="AK7" s="16">
        <v>1981</v>
      </c>
      <c r="AL7" s="16">
        <v>2010</v>
      </c>
      <c r="AM7" s="16">
        <v>2002</v>
      </c>
      <c r="AN7" s="16">
        <v>1994</v>
      </c>
      <c r="AO7" s="16">
        <v>1991</v>
      </c>
      <c r="AP7" s="35"/>
    </row>
    <row r="8" spans="1:43">
      <c r="A8" s="16" t="s">
        <v>353</v>
      </c>
      <c r="B8" s="16">
        <v>1991</v>
      </c>
      <c r="C8" s="16">
        <v>1993</v>
      </c>
      <c r="D8" s="16">
        <v>1985</v>
      </c>
      <c r="E8" s="16">
        <v>2006</v>
      </c>
      <c r="F8" s="16">
        <v>2003</v>
      </c>
      <c r="G8" s="16">
        <v>2005</v>
      </c>
      <c r="H8" s="16">
        <v>1999</v>
      </c>
      <c r="I8" s="16">
        <v>1987</v>
      </c>
      <c r="J8" s="16">
        <v>2018</v>
      </c>
      <c r="K8" s="16">
        <v>2017</v>
      </c>
      <c r="L8" s="16">
        <v>1982</v>
      </c>
      <c r="M8" s="16">
        <v>2003</v>
      </c>
      <c r="N8" s="16">
        <v>2010</v>
      </c>
      <c r="O8" s="16">
        <v>1994</v>
      </c>
      <c r="P8" s="16">
        <v>2000</v>
      </c>
      <c r="Q8" s="16">
        <v>1989</v>
      </c>
      <c r="R8" s="16">
        <v>1991</v>
      </c>
      <c r="S8" s="16">
        <v>1996</v>
      </c>
      <c r="T8" s="16">
        <v>1992</v>
      </c>
      <c r="U8" s="16">
        <v>1999</v>
      </c>
      <c r="V8" s="16">
        <v>2015</v>
      </c>
      <c r="W8" s="16">
        <v>2016</v>
      </c>
      <c r="X8" s="16">
        <v>1985</v>
      </c>
      <c r="Y8" s="16">
        <v>1986</v>
      </c>
      <c r="Z8" s="16">
        <v>1982</v>
      </c>
      <c r="AA8" s="16">
        <v>2010</v>
      </c>
      <c r="AB8" s="16">
        <v>1986</v>
      </c>
      <c r="AC8" s="16">
        <v>1985</v>
      </c>
      <c r="AD8" s="16">
        <v>1986</v>
      </c>
      <c r="AE8" s="16">
        <v>2018</v>
      </c>
      <c r="AF8" s="16">
        <v>2014</v>
      </c>
      <c r="AG8" s="16">
        <v>2014</v>
      </c>
      <c r="AH8" s="16">
        <v>2011</v>
      </c>
      <c r="AI8" s="16">
        <v>2000</v>
      </c>
      <c r="AJ8" s="16">
        <v>2006</v>
      </c>
      <c r="AK8" s="16">
        <v>2008</v>
      </c>
      <c r="AL8" s="16">
        <v>1989</v>
      </c>
      <c r="AM8" s="16">
        <v>1984</v>
      </c>
      <c r="AN8" s="16">
        <v>1991</v>
      </c>
      <c r="AO8" s="16">
        <v>1985</v>
      </c>
      <c r="AP8" s="35"/>
    </row>
    <row r="9" spans="1:43">
      <c r="A9" s="16" t="s">
        <v>354</v>
      </c>
      <c r="B9" s="16">
        <v>1985</v>
      </c>
      <c r="C9" s="16">
        <v>2016</v>
      </c>
      <c r="D9" s="16">
        <v>2004</v>
      </c>
      <c r="E9" s="16">
        <v>1992</v>
      </c>
      <c r="F9" s="16">
        <v>2015</v>
      </c>
      <c r="G9" s="16">
        <v>1986</v>
      </c>
      <c r="H9" s="16">
        <v>1995</v>
      </c>
      <c r="I9" s="16">
        <v>1986</v>
      </c>
      <c r="J9" s="16">
        <v>2005</v>
      </c>
      <c r="K9" s="16">
        <v>2004</v>
      </c>
      <c r="L9" s="16">
        <v>1990</v>
      </c>
      <c r="M9" s="16">
        <v>2015</v>
      </c>
      <c r="N9" s="16">
        <v>2019</v>
      </c>
      <c r="O9" s="16">
        <v>1991</v>
      </c>
      <c r="P9" s="16">
        <v>1994</v>
      </c>
      <c r="Q9" s="16">
        <v>2005</v>
      </c>
      <c r="R9" s="16">
        <v>2004</v>
      </c>
      <c r="S9" s="16">
        <v>1983</v>
      </c>
      <c r="T9" s="16">
        <v>2012</v>
      </c>
      <c r="U9" s="16">
        <v>1992</v>
      </c>
      <c r="V9" s="16">
        <v>1993</v>
      </c>
      <c r="W9" s="16">
        <v>2011</v>
      </c>
      <c r="X9" s="16">
        <v>2019</v>
      </c>
      <c r="Y9" s="16">
        <v>2013</v>
      </c>
      <c r="Z9" s="16">
        <v>2003</v>
      </c>
      <c r="AA9" s="16">
        <v>2016</v>
      </c>
      <c r="AB9" s="16">
        <v>1996</v>
      </c>
      <c r="AC9" s="16">
        <v>2008</v>
      </c>
      <c r="AD9" s="16">
        <v>1993</v>
      </c>
      <c r="AE9" s="16">
        <v>2007</v>
      </c>
      <c r="AF9" s="16">
        <v>2014</v>
      </c>
      <c r="AG9" s="16">
        <v>1986</v>
      </c>
      <c r="AH9" s="16">
        <v>1999</v>
      </c>
      <c r="AI9" s="16">
        <v>1981</v>
      </c>
      <c r="AJ9" s="16">
        <v>2001</v>
      </c>
      <c r="AK9" s="16">
        <v>1986</v>
      </c>
      <c r="AL9" s="16">
        <v>1990</v>
      </c>
      <c r="AM9" s="16">
        <v>1993</v>
      </c>
      <c r="AN9" s="16">
        <v>2008</v>
      </c>
      <c r="AO9" s="16">
        <v>1997</v>
      </c>
      <c r="AP9" s="35"/>
    </row>
    <row r="10" spans="1:43">
      <c r="A10" s="16" t="s">
        <v>355</v>
      </c>
      <c r="B10" s="16">
        <v>1989</v>
      </c>
      <c r="C10" s="16">
        <v>2009</v>
      </c>
      <c r="D10" s="16">
        <v>2014</v>
      </c>
      <c r="E10" s="16">
        <v>1989</v>
      </c>
      <c r="F10" s="16">
        <v>2014</v>
      </c>
      <c r="G10" s="16">
        <v>2013</v>
      </c>
      <c r="H10" s="16">
        <v>2018</v>
      </c>
      <c r="I10" s="16">
        <v>2011</v>
      </c>
      <c r="J10" s="16">
        <v>1986</v>
      </c>
      <c r="K10" s="16">
        <v>1986</v>
      </c>
      <c r="L10" s="16">
        <v>1981</v>
      </c>
      <c r="M10" s="16">
        <v>2015</v>
      </c>
      <c r="N10" s="16">
        <v>2000</v>
      </c>
      <c r="O10" s="16">
        <v>2009</v>
      </c>
      <c r="P10" s="16">
        <v>1984</v>
      </c>
      <c r="Q10" s="16">
        <v>2013</v>
      </c>
      <c r="R10" s="16">
        <v>1996</v>
      </c>
      <c r="S10" s="16">
        <v>1982</v>
      </c>
      <c r="T10" s="16">
        <v>2007</v>
      </c>
      <c r="U10" s="16">
        <v>2001</v>
      </c>
      <c r="V10" s="16">
        <v>1982</v>
      </c>
      <c r="W10" s="16">
        <v>1997</v>
      </c>
      <c r="X10" s="16">
        <v>1993</v>
      </c>
      <c r="Y10" s="16">
        <v>2001</v>
      </c>
      <c r="Z10" s="16">
        <v>2010</v>
      </c>
      <c r="AA10" s="16">
        <v>2002</v>
      </c>
      <c r="AB10" s="16">
        <v>1980</v>
      </c>
      <c r="AC10" s="16">
        <v>2005</v>
      </c>
      <c r="AD10" s="16">
        <v>1985</v>
      </c>
      <c r="AE10" s="16">
        <v>1984</v>
      </c>
      <c r="AF10" s="16">
        <v>2003</v>
      </c>
      <c r="AG10" s="16">
        <v>2005</v>
      </c>
      <c r="AH10" s="16">
        <v>2006</v>
      </c>
      <c r="AI10" s="16">
        <v>2005</v>
      </c>
      <c r="AJ10" s="16">
        <v>1985</v>
      </c>
      <c r="AK10" s="16">
        <v>2001</v>
      </c>
      <c r="AL10" s="16">
        <v>2010</v>
      </c>
      <c r="AM10" s="16">
        <v>2000</v>
      </c>
      <c r="AN10" s="16">
        <v>1995</v>
      </c>
      <c r="AO10" s="16">
        <v>1995</v>
      </c>
      <c r="AP10" s="35"/>
    </row>
    <row r="11" spans="1:43">
      <c r="A11" s="16" t="s">
        <v>356</v>
      </c>
      <c r="B11" s="16">
        <v>1987</v>
      </c>
      <c r="C11" s="16">
        <v>1990</v>
      </c>
      <c r="D11" s="16">
        <v>1990</v>
      </c>
      <c r="E11" s="16">
        <v>1987</v>
      </c>
      <c r="F11" s="16">
        <v>2015</v>
      </c>
      <c r="G11" s="16">
        <v>1994</v>
      </c>
      <c r="H11" s="16">
        <v>2015</v>
      </c>
      <c r="I11" s="16">
        <v>1991</v>
      </c>
      <c r="J11" s="16">
        <v>2016</v>
      </c>
      <c r="K11" s="16">
        <v>1986</v>
      </c>
      <c r="L11" s="16">
        <v>2016</v>
      </c>
      <c r="M11" s="16">
        <v>2007</v>
      </c>
      <c r="N11" s="16">
        <v>1990</v>
      </c>
      <c r="O11" s="16">
        <v>1994</v>
      </c>
      <c r="P11" s="16">
        <v>2003</v>
      </c>
      <c r="Q11" s="16">
        <v>2006</v>
      </c>
      <c r="R11" s="16">
        <v>1999</v>
      </c>
      <c r="S11" s="16">
        <v>2015</v>
      </c>
      <c r="T11" s="16">
        <v>2011</v>
      </c>
      <c r="U11" s="16">
        <v>1989</v>
      </c>
      <c r="V11" s="16">
        <v>1996</v>
      </c>
      <c r="W11" s="16">
        <v>2000</v>
      </c>
      <c r="X11" s="16">
        <v>2001</v>
      </c>
      <c r="Y11" s="16">
        <v>2018</v>
      </c>
      <c r="Z11" s="16">
        <v>2005</v>
      </c>
      <c r="AA11" s="16">
        <v>1981</v>
      </c>
      <c r="AB11" s="16">
        <v>2002</v>
      </c>
      <c r="AC11" s="16">
        <v>1997</v>
      </c>
      <c r="AD11" s="16">
        <v>2014</v>
      </c>
      <c r="AE11" s="16">
        <v>2008</v>
      </c>
      <c r="AF11" s="16">
        <v>2012</v>
      </c>
      <c r="AG11" s="16">
        <v>2010</v>
      </c>
      <c r="AH11" s="16">
        <v>2003</v>
      </c>
      <c r="AI11" s="16">
        <v>1981</v>
      </c>
      <c r="AJ11" s="16">
        <v>2010</v>
      </c>
      <c r="AK11" s="16">
        <v>1988</v>
      </c>
      <c r="AL11" s="16">
        <v>1981</v>
      </c>
      <c r="AM11" s="16">
        <v>2001</v>
      </c>
      <c r="AN11" s="16">
        <v>1982</v>
      </c>
      <c r="AO11" s="16">
        <v>2017</v>
      </c>
      <c r="AP11" s="35"/>
    </row>
    <row r="12" spans="1:43">
      <c r="A12" s="16" t="s">
        <v>357</v>
      </c>
      <c r="B12" s="16">
        <v>2010</v>
      </c>
      <c r="C12" s="16">
        <v>2016</v>
      </c>
      <c r="D12" s="16">
        <v>2003</v>
      </c>
      <c r="E12" s="16">
        <v>1987</v>
      </c>
      <c r="F12" s="16">
        <v>1997</v>
      </c>
      <c r="G12" s="16">
        <v>1984</v>
      </c>
      <c r="H12" s="16">
        <v>2017</v>
      </c>
      <c r="I12" s="16">
        <v>2018</v>
      </c>
      <c r="J12" s="16">
        <v>1996</v>
      </c>
      <c r="K12" s="16">
        <v>2012</v>
      </c>
      <c r="L12" s="16">
        <v>2014</v>
      </c>
      <c r="M12" s="16">
        <v>2009</v>
      </c>
      <c r="N12" s="16">
        <v>1985</v>
      </c>
      <c r="O12" s="16">
        <v>1991</v>
      </c>
      <c r="P12" s="16">
        <v>1989</v>
      </c>
      <c r="Q12" s="16">
        <v>2013</v>
      </c>
      <c r="R12" s="16">
        <v>2005</v>
      </c>
      <c r="S12" s="16">
        <v>1982</v>
      </c>
      <c r="T12" s="16">
        <v>2001</v>
      </c>
      <c r="U12" s="16">
        <v>2019</v>
      </c>
      <c r="V12" s="16">
        <v>1981</v>
      </c>
      <c r="W12" s="16">
        <v>2004</v>
      </c>
      <c r="X12" s="16">
        <v>2006</v>
      </c>
      <c r="Y12" s="16">
        <v>2011</v>
      </c>
      <c r="Z12" s="16">
        <v>1993</v>
      </c>
      <c r="AA12" s="16">
        <v>2002</v>
      </c>
      <c r="AB12" s="16">
        <v>1992</v>
      </c>
      <c r="AC12" s="16">
        <v>1980</v>
      </c>
      <c r="AD12" s="16">
        <v>1995</v>
      </c>
      <c r="AE12" s="16">
        <v>1994</v>
      </c>
      <c r="AF12" s="16">
        <v>1999</v>
      </c>
      <c r="AG12" s="16">
        <v>2007</v>
      </c>
      <c r="AH12" s="16">
        <v>2015</v>
      </c>
      <c r="AI12" s="16">
        <v>2008</v>
      </c>
      <c r="AJ12" s="16">
        <v>2000</v>
      </c>
      <c r="AK12" s="16">
        <v>1986</v>
      </c>
      <c r="AL12" s="16">
        <v>1988</v>
      </c>
      <c r="AM12" s="16">
        <v>1983</v>
      </c>
      <c r="AN12" s="16">
        <v>1998</v>
      </c>
      <c r="AO12" s="16">
        <v>1990</v>
      </c>
      <c r="AP12" s="35"/>
    </row>
    <row r="13" spans="1:43">
      <c r="A13" s="16" t="s">
        <v>358</v>
      </c>
      <c r="B13" s="16">
        <f>2020</f>
        <v>2020</v>
      </c>
      <c r="C13" s="16">
        <v>2021</v>
      </c>
      <c r="D13" s="16">
        <f>C13+1</f>
        <v>2022</v>
      </c>
      <c r="E13" s="16">
        <f t="shared" ref="E13:AF13" si="0">D13+1</f>
        <v>2023</v>
      </c>
      <c r="F13" s="16">
        <f t="shared" si="0"/>
        <v>2024</v>
      </c>
      <c r="G13" s="16">
        <f t="shared" si="0"/>
        <v>2025</v>
      </c>
      <c r="H13" s="16">
        <f t="shared" si="0"/>
        <v>2026</v>
      </c>
      <c r="I13" s="16">
        <f t="shared" si="0"/>
        <v>2027</v>
      </c>
      <c r="J13" s="16">
        <f t="shared" si="0"/>
        <v>2028</v>
      </c>
      <c r="K13" s="16">
        <f t="shared" si="0"/>
        <v>2029</v>
      </c>
      <c r="L13" s="16">
        <f t="shared" si="0"/>
        <v>2030</v>
      </c>
      <c r="M13" s="16">
        <f t="shared" si="0"/>
        <v>2031</v>
      </c>
      <c r="N13" s="16">
        <f t="shared" si="0"/>
        <v>2032</v>
      </c>
      <c r="O13" s="16">
        <f t="shared" si="0"/>
        <v>2033</v>
      </c>
      <c r="P13" s="16">
        <f t="shared" si="0"/>
        <v>2034</v>
      </c>
      <c r="Q13" s="16">
        <f t="shared" si="0"/>
        <v>2035</v>
      </c>
      <c r="R13" s="16">
        <f t="shared" si="0"/>
        <v>2036</v>
      </c>
      <c r="S13" s="16">
        <f t="shared" si="0"/>
        <v>2037</v>
      </c>
      <c r="T13" s="16">
        <f t="shared" si="0"/>
        <v>2038</v>
      </c>
      <c r="U13" s="16">
        <f t="shared" si="0"/>
        <v>2039</v>
      </c>
      <c r="V13" s="16">
        <f t="shared" si="0"/>
        <v>2040</v>
      </c>
      <c r="W13" s="16">
        <f t="shared" si="0"/>
        <v>2041</v>
      </c>
      <c r="X13" s="16">
        <f t="shared" si="0"/>
        <v>2042</v>
      </c>
      <c r="Y13" s="16">
        <f t="shared" si="0"/>
        <v>2043</v>
      </c>
      <c r="Z13" s="16">
        <f t="shared" si="0"/>
        <v>2044</v>
      </c>
      <c r="AA13" s="16">
        <f t="shared" si="0"/>
        <v>2045</v>
      </c>
      <c r="AB13" s="16">
        <f t="shared" si="0"/>
        <v>2046</v>
      </c>
      <c r="AC13" s="16">
        <f>AB13+1</f>
        <v>2047</v>
      </c>
      <c r="AD13" s="16">
        <f t="shared" si="0"/>
        <v>2048</v>
      </c>
      <c r="AE13" s="16">
        <f t="shared" si="0"/>
        <v>2049</v>
      </c>
      <c r="AF13" s="16">
        <f t="shared" si="0"/>
        <v>2050</v>
      </c>
      <c r="AP13" s="35"/>
    </row>
    <row r="14" spans="1:43">
      <c r="AP14" s="35"/>
    </row>
    <row r="15" spans="1:43">
      <c r="AP15" s="35"/>
    </row>
    <row r="16" spans="1:43">
      <c r="AP16" s="35"/>
    </row>
    <row r="17" spans="42:42">
      <c r="AP17" s="35"/>
    </row>
  </sheetData>
  <phoneticPr fontId="6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9C3BB-3AF6-41F3-AC9F-0B62FD9A8365}">
  <sheetPr>
    <tabColor theme="7" tint="0.79998168889431442"/>
  </sheetPr>
  <dimension ref="A1:C3"/>
  <sheetViews>
    <sheetView workbookViewId="0">
      <selection activeCell="O39" sqref="O39"/>
    </sheetView>
  </sheetViews>
  <sheetFormatPr defaultRowHeight="15"/>
  <cols>
    <col min="1" max="1" width="16.28515625" customWidth="1"/>
    <col min="2" max="2" width="19.5703125" customWidth="1"/>
  </cols>
  <sheetData>
    <row r="1" spans="1:3">
      <c r="A1" t="s">
        <v>277</v>
      </c>
      <c r="B1" t="s">
        <v>359</v>
      </c>
      <c r="C1" s="36"/>
    </row>
    <row r="2" spans="1:3">
      <c r="A2" t="s">
        <v>360</v>
      </c>
      <c r="B2" t="s">
        <v>361</v>
      </c>
    </row>
    <row r="3" spans="1:3">
      <c r="A3" t="s">
        <v>362</v>
      </c>
      <c r="B3" t="s">
        <v>361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675C-876C-406A-840F-7AF3A8157BD6}">
  <sheetPr>
    <tabColor theme="7" tint="0.79998168889431442"/>
  </sheetPr>
  <dimension ref="I3"/>
  <sheetViews>
    <sheetView workbookViewId="0">
      <selection activeCell="I3" sqref="I3"/>
    </sheetView>
  </sheetViews>
  <sheetFormatPr defaultRowHeight="15"/>
  <sheetData>
    <row r="3" spans="9:9">
      <c r="I3" t="s">
        <v>363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2D5AC-CEA9-4952-B401-166BC3EB8B79}">
  <dimension ref="A1:C22"/>
  <sheetViews>
    <sheetView workbookViewId="0">
      <selection activeCell="G37" sqref="G37"/>
    </sheetView>
  </sheetViews>
  <sheetFormatPr defaultRowHeight="15"/>
  <cols>
    <col min="1" max="1" width="19.85546875" customWidth="1"/>
  </cols>
  <sheetData>
    <row r="1" spans="1:3">
      <c r="A1" t="s">
        <v>276</v>
      </c>
      <c r="B1" t="s">
        <v>179</v>
      </c>
      <c r="C1" t="s">
        <v>177</v>
      </c>
    </row>
    <row r="2" spans="1:3">
      <c r="A2" t="s">
        <v>118</v>
      </c>
      <c r="B2">
        <v>0.01</v>
      </c>
      <c r="C2">
        <v>0.01</v>
      </c>
    </row>
    <row r="3" spans="1:3">
      <c r="A3" t="s">
        <v>120</v>
      </c>
      <c r="B3">
        <v>0.01</v>
      </c>
      <c r="C3">
        <v>0.01</v>
      </c>
    </row>
    <row r="4" spans="1:3">
      <c r="A4" t="s">
        <v>122</v>
      </c>
      <c r="B4">
        <v>7.0000000000000007E-2</v>
      </c>
      <c r="C4">
        <v>0.13</v>
      </c>
    </row>
    <row r="5" spans="1:3">
      <c r="A5" t="s">
        <v>124</v>
      </c>
      <c r="B5">
        <v>0.12</v>
      </c>
      <c r="C5">
        <v>0.09</v>
      </c>
    </row>
    <row r="6" spans="1:3">
      <c r="A6" t="s">
        <v>113</v>
      </c>
      <c r="B6">
        <v>0.09</v>
      </c>
      <c r="C6">
        <v>0.56000000000000005</v>
      </c>
    </row>
    <row r="7" spans="1:3">
      <c r="A7" t="s">
        <v>108</v>
      </c>
      <c r="B7">
        <v>0.92</v>
      </c>
      <c r="C7">
        <v>0.92</v>
      </c>
    </row>
    <row r="8" spans="1:3">
      <c r="A8" t="s">
        <v>109</v>
      </c>
      <c r="B8">
        <v>0.92</v>
      </c>
      <c r="C8">
        <v>0.92</v>
      </c>
    </row>
    <row r="9" spans="1:3">
      <c r="A9" t="s">
        <v>364</v>
      </c>
      <c r="B9">
        <v>0.91</v>
      </c>
      <c r="C9">
        <v>0.91</v>
      </c>
    </row>
    <row r="10" spans="1:3">
      <c r="A10" t="s">
        <v>111</v>
      </c>
      <c r="B10">
        <v>0.41</v>
      </c>
      <c r="C10">
        <v>0.41</v>
      </c>
    </row>
    <row r="11" spans="1:3">
      <c r="A11" t="s">
        <v>112</v>
      </c>
      <c r="B11">
        <v>0.9</v>
      </c>
      <c r="C11">
        <v>0.9</v>
      </c>
    </row>
    <row r="12" spans="1:3">
      <c r="A12" t="s">
        <v>114</v>
      </c>
      <c r="B12">
        <v>0.8</v>
      </c>
      <c r="C12">
        <v>0.8</v>
      </c>
    </row>
    <row r="13" spans="1:3">
      <c r="A13" t="s">
        <v>115</v>
      </c>
      <c r="B13">
        <v>0.91</v>
      </c>
      <c r="C13">
        <v>0.91</v>
      </c>
    </row>
    <row r="14" spans="1:3">
      <c r="A14" t="s">
        <v>116</v>
      </c>
      <c r="B14">
        <v>0.95</v>
      </c>
      <c r="C14">
        <v>0.95</v>
      </c>
    </row>
    <row r="15" spans="1:3">
      <c r="A15" t="s">
        <v>117</v>
      </c>
      <c r="B15">
        <v>0.9</v>
      </c>
      <c r="C15">
        <v>0.9</v>
      </c>
    </row>
    <row r="16" spans="1:3">
      <c r="A16" t="s">
        <v>126</v>
      </c>
      <c r="B16">
        <v>0</v>
      </c>
      <c r="C16">
        <v>0</v>
      </c>
    </row>
    <row r="17" spans="1:3">
      <c r="A17" t="s">
        <v>316</v>
      </c>
      <c r="B17">
        <v>0</v>
      </c>
      <c r="C17">
        <v>0</v>
      </c>
    </row>
    <row r="18" spans="1:3">
      <c r="A18" t="s">
        <v>99</v>
      </c>
      <c r="B18">
        <v>0.93</v>
      </c>
      <c r="C18">
        <v>0.93</v>
      </c>
    </row>
    <row r="19" spans="1:3">
      <c r="A19" t="s">
        <v>102</v>
      </c>
      <c r="B19">
        <v>0.92</v>
      </c>
      <c r="C19">
        <v>0.92</v>
      </c>
    </row>
    <row r="20" spans="1:3">
      <c r="A20" t="s">
        <v>104</v>
      </c>
      <c r="B20">
        <v>0.9</v>
      </c>
      <c r="C20">
        <v>0.9</v>
      </c>
    </row>
    <row r="21" spans="1:3">
      <c r="A21" t="s">
        <v>105</v>
      </c>
      <c r="B21">
        <v>0.9</v>
      </c>
      <c r="C21">
        <v>0.9</v>
      </c>
    </row>
    <row r="22" spans="1:3">
      <c r="A22" t="s">
        <v>106</v>
      </c>
      <c r="B22">
        <v>0.9</v>
      </c>
      <c r="C22">
        <v>0.9</v>
      </c>
    </row>
  </sheetData>
  <conditionalFormatting sqref="A1:C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71752-A39E-4D94-949D-0D7EEFCB94D9}">
  <sheetPr>
    <tabColor rgb="FF92D050"/>
  </sheetPr>
  <dimension ref="A1:AD61"/>
  <sheetViews>
    <sheetView topLeftCell="L1" zoomScale="85" zoomScaleNormal="85" workbookViewId="0">
      <selection activeCell="W18" sqref="W10:W18"/>
    </sheetView>
  </sheetViews>
  <sheetFormatPr defaultRowHeight="15"/>
  <cols>
    <col min="1" max="1" width="46" customWidth="1"/>
    <col min="2" max="2" width="15.7109375" customWidth="1"/>
    <col min="3" max="3" width="18.140625" customWidth="1"/>
    <col min="5" max="7" width="17.140625" customWidth="1"/>
    <col min="9" max="9" width="28.140625" customWidth="1"/>
    <col min="10" max="10" width="15.42578125" customWidth="1"/>
    <col min="11" max="11" width="15.7109375" customWidth="1"/>
    <col min="12" max="12" width="26.85546875" customWidth="1"/>
    <col min="14" max="14" width="14.7109375" customWidth="1"/>
    <col min="20" max="20" width="32.42578125" customWidth="1"/>
    <col min="21" max="21" width="9.7109375" customWidth="1"/>
    <col min="22" max="22" width="20.85546875" customWidth="1"/>
    <col min="25" max="25" width="11" bestFit="1" customWidth="1"/>
    <col min="27" max="27" width="21.7109375" customWidth="1"/>
    <col min="28" max="28" width="15" customWidth="1"/>
  </cols>
  <sheetData>
    <row r="1" spans="1:30" ht="15.75" thickBot="1">
      <c r="B1" t="s">
        <v>365</v>
      </c>
      <c r="C1" t="s">
        <v>366</v>
      </c>
      <c r="D1" t="s">
        <v>367</v>
      </c>
      <c r="E1" t="s">
        <v>368</v>
      </c>
      <c r="I1" s="13"/>
      <c r="J1" s="13" t="s">
        <v>369</v>
      </c>
      <c r="K1" s="13" t="s">
        <v>370</v>
      </c>
      <c r="L1" s="70" t="s">
        <v>371</v>
      </c>
      <c r="M1" s="13" t="s">
        <v>365</v>
      </c>
      <c r="N1" s="13" t="s">
        <v>372</v>
      </c>
      <c r="P1" s="13" t="s">
        <v>373</v>
      </c>
      <c r="T1" t="s">
        <v>374</v>
      </c>
      <c r="V1" t="s">
        <v>375</v>
      </c>
      <c r="AA1" t="s">
        <v>376</v>
      </c>
      <c r="AD1" t="s">
        <v>377</v>
      </c>
    </row>
    <row r="2" spans="1:30" ht="15.75" thickBot="1">
      <c r="A2" t="s">
        <v>201</v>
      </c>
      <c r="B2">
        <f>D2</f>
        <v>4</v>
      </c>
      <c r="C2">
        <v>105914</v>
      </c>
      <c r="D2">
        <v>4</v>
      </c>
      <c r="E2" s="16">
        <f>+C2*D2/100</f>
        <v>4236.5600000000004</v>
      </c>
      <c r="F2" s="16">
        <v>4000</v>
      </c>
      <c r="G2" s="16"/>
      <c r="I2" s="13" t="s">
        <v>202</v>
      </c>
      <c r="J2" s="34">
        <f>(C2*D2+C3*D3)/(D2+D3)</f>
        <v>102043.30769230769</v>
      </c>
      <c r="K2" s="68">
        <v>13</v>
      </c>
      <c r="L2" s="71">
        <f>K2/89</f>
        <v>0.14606741573033707</v>
      </c>
      <c r="M2" s="69">
        <f>K2</f>
        <v>13</v>
      </c>
      <c r="N2" s="34">
        <f t="shared" ref="N2:N4" si="0">J2/10</f>
        <v>10204.330769230768</v>
      </c>
      <c r="O2">
        <v>4000</v>
      </c>
      <c r="P2" s="16">
        <f t="shared" ref="P2:P8" si="1">J2/25</f>
        <v>4081.7323076923076</v>
      </c>
      <c r="T2" t="s">
        <v>378</v>
      </c>
      <c r="U2">
        <v>33500</v>
      </c>
      <c r="V2">
        <f>U2*1.5</f>
        <v>50250</v>
      </c>
      <c r="AA2" t="s">
        <v>379</v>
      </c>
      <c r="AB2">
        <v>2017</v>
      </c>
      <c r="AC2" t="s">
        <v>380</v>
      </c>
      <c r="AD2" t="s">
        <v>381</v>
      </c>
    </row>
    <row r="3" spans="1:30" ht="15.75" thickBot="1">
      <c r="A3" t="s">
        <v>203</v>
      </c>
      <c r="B3">
        <f>B2+D3</f>
        <v>13</v>
      </c>
      <c r="C3">
        <v>100323</v>
      </c>
      <c r="D3">
        <v>9</v>
      </c>
      <c r="E3" s="16">
        <f t="shared" ref="E3:E10" si="2">+C3*D3/100</f>
        <v>9029.07</v>
      </c>
      <c r="F3" s="16">
        <v>3999</v>
      </c>
      <c r="G3" s="16"/>
      <c r="I3" s="13" t="s">
        <v>204</v>
      </c>
      <c r="J3" s="34">
        <f>C4</f>
        <v>84942</v>
      </c>
      <c r="K3" s="68">
        <v>13</v>
      </c>
      <c r="L3" s="71">
        <f t="shared" ref="L3:L6" si="3">K3/89</f>
        <v>0.14606741573033707</v>
      </c>
      <c r="M3" s="69">
        <f t="shared" ref="M3:M8" si="4">K3+M2</f>
        <v>26</v>
      </c>
      <c r="N3" s="34">
        <f t="shared" si="0"/>
        <v>8494.2000000000007</v>
      </c>
      <c r="O3">
        <v>4000</v>
      </c>
      <c r="P3" s="16">
        <f t="shared" si="1"/>
        <v>3397.68</v>
      </c>
      <c r="T3" t="s">
        <v>382</v>
      </c>
      <c r="U3">
        <v>18700</v>
      </c>
      <c r="V3">
        <f t="shared" ref="V3" si="5">U3*1.5</f>
        <v>28050</v>
      </c>
    </row>
    <row r="4" spans="1:30" ht="15.75" thickBot="1">
      <c r="A4" t="s">
        <v>204</v>
      </c>
      <c r="B4">
        <f t="shared" ref="B4:B10" si="6">B3+D4</f>
        <v>26</v>
      </c>
      <c r="C4">
        <v>84942</v>
      </c>
      <c r="D4">
        <v>13</v>
      </c>
      <c r="E4" s="16">
        <f t="shared" si="2"/>
        <v>11042.46</v>
      </c>
      <c r="F4" s="16"/>
      <c r="G4" s="16"/>
      <c r="I4" s="13" t="s">
        <v>205</v>
      </c>
      <c r="J4" s="34">
        <f>(C5*D5+C6*D6)/(D5+D6)</f>
        <v>63489.515151515152</v>
      </c>
      <c r="K4" s="68">
        <v>33</v>
      </c>
      <c r="L4" s="71">
        <f t="shared" si="3"/>
        <v>0.3707865168539326</v>
      </c>
      <c r="M4" s="69">
        <f t="shared" si="4"/>
        <v>59</v>
      </c>
      <c r="N4" s="34">
        <f t="shared" si="0"/>
        <v>6348.9515151515152</v>
      </c>
      <c r="O4">
        <v>4000</v>
      </c>
      <c r="P4" s="16">
        <f t="shared" si="1"/>
        <v>2539.580606060606</v>
      </c>
      <c r="T4" t="s">
        <v>383</v>
      </c>
      <c r="U4">
        <v>16380</v>
      </c>
      <c r="V4">
        <f>U4*1.5</f>
        <v>24570</v>
      </c>
    </row>
    <row r="5" spans="1:30" ht="15.75" thickBot="1">
      <c r="A5" t="s">
        <v>384</v>
      </c>
      <c r="B5">
        <f t="shared" si="6"/>
        <v>31</v>
      </c>
      <c r="C5">
        <v>73186</v>
      </c>
      <c r="D5">
        <v>5</v>
      </c>
      <c r="E5" s="16">
        <f t="shared" si="2"/>
        <v>3659.3</v>
      </c>
      <c r="F5" s="16"/>
      <c r="G5" s="16"/>
      <c r="I5" s="13" t="str">
        <f>A7</f>
        <v>household other</v>
      </c>
      <c r="J5" s="34">
        <f>C7</f>
        <v>42700</v>
      </c>
      <c r="K5" s="68">
        <v>9</v>
      </c>
      <c r="L5" s="71">
        <f t="shared" si="3"/>
        <v>0.10112359550561797</v>
      </c>
      <c r="M5" s="69">
        <f t="shared" si="4"/>
        <v>68</v>
      </c>
      <c r="N5" s="34">
        <f>J5/10</f>
        <v>4270</v>
      </c>
      <c r="O5">
        <v>4000</v>
      </c>
      <c r="P5" s="16">
        <f t="shared" si="1"/>
        <v>1708</v>
      </c>
      <c r="T5" t="s">
        <v>385</v>
      </c>
      <c r="U5">
        <v>12420</v>
      </c>
      <c r="V5">
        <f>U5*1.5</f>
        <v>18630</v>
      </c>
    </row>
    <row r="6" spans="1:30" ht="15.75" thickBot="1">
      <c r="A6" t="s">
        <v>386</v>
      </c>
      <c r="B6">
        <f t="shared" si="6"/>
        <v>59</v>
      </c>
      <c r="C6">
        <v>61758</v>
      </c>
      <c r="D6">
        <v>28</v>
      </c>
      <c r="E6" s="16">
        <f t="shared" si="2"/>
        <v>17292.240000000002</v>
      </c>
      <c r="F6" s="16"/>
      <c r="G6" s="16"/>
      <c r="I6" s="13" t="str">
        <f>A8</f>
        <v>household city center</v>
      </c>
      <c r="J6" s="34">
        <f t="shared" ref="J6:J7" si="7">C8</f>
        <v>32723</v>
      </c>
      <c r="K6" s="68">
        <v>21</v>
      </c>
      <c r="L6" s="71">
        <f t="shared" si="3"/>
        <v>0.23595505617977527</v>
      </c>
      <c r="M6" s="69">
        <f t="shared" si="4"/>
        <v>89</v>
      </c>
      <c r="N6" s="34">
        <f t="shared" ref="N6:N8" si="8">J6/10</f>
        <v>3272.3</v>
      </c>
      <c r="O6" s="16">
        <f>+N6</f>
        <v>3272.3</v>
      </c>
      <c r="P6" s="16">
        <f t="shared" si="1"/>
        <v>1308.92</v>
      </c>
      <c r="V6">
        <f>AVERAGE(V2:V5)</f>
        <v>30375</v>
      </c>
    </row>
    <row r="7" spans="1:30">
      <c r="A7" t="s">
        <v>207</v>
      </c>
      <c r="B7">
        <f t="shared" si="6"/>
        <v>68</v>
      </c>
      <c r="C7">
        <v>42700</v>
      </c>
      <c r="D7">
        <v>9</v>
      </c>
      <c r="E7" s="16">
        <f t="shared" si="2"/>
        <v>3843</v>
      </c>
      <c r="F7" s="16"/>
      <c r="G7" s="16"/>
      <c r="I7" s="13" t="str">
        <f>A9</f>
        <v>household feed in areas</v>
      </c>
      <c r="J7" s="34">
        <f t="shared" si="7"/>
        <v>30429</v>
      </c>
      <c r="K7" s="68">
        <v>8</v>
      </c>
      <c r="L7" s="71">
        <v>8</v>
      </c>
      <c r="M7" s="69">
        <f t="shared" si="4"/>
        <v>97</v>
      </c>
      <c r="N7" s="34">
        <f t="shared" si="8"/>
        <v>3042.9</v>
      </c>
      <c r="O7" s="16">
        <f t="shared" ref="O7:O8" si="9">+N7</f>
        <v>3042.9</v>
      </c>
      <c r="P7" s="16">
        <f t="shared" si="1"/>
        <v>1217.1600000000001</v>
      </c>
    </row>
    <row r="8" spans="1:30" ht="15.75" thickBot="1">
      <c r="A8" t="s">
        <v>209</v>
      </c>
      <c r="B8">
        <f t="shared" si="6"/>
        <v>89</v>
      </c>
      <c r="C8">
        <v>32723</v>
      </c>
      <c r="D8">
        <v>21</v>
      </c>
      <c r="E8" s="16">
        <f t="shared" si="2"/>
        <v>6871.83</v>
      </c>
      <c r="F8" s="16"/>
      <c r="G8" s="16"/>
      <c r="I8" s="13" t="str">
        <f>A10</f>
        <v>industrySME</v>
      </c>
      <c r="J8" s="34">
        <f>C10</f>
        <v>19785</v>
      </c>
      <c r="K8" s="68">
        <v>3</v>
      </c>
      <c r="L8" s="72">
        <v>3</v>
      </c>
      <c r="M8" s="69">
        <f t="shared" si="4"/>
        <v>100</v>
      </c>
      <c r="N8" s="34">
        <f t="shared" si="8"/>
        <v>1978.5</v>
      </c>
      <c r="O8" s="16">
        <f t="shared" si="9"/>
        <v>1978.5</v>
      </c>
      <c r="P8" s="16">
        <f t="shared" si="1"/>
        <v>791.4</v>
      </c>
    </row>
    <row r="9" spans="1:30">
      <c r="A9" t="s">
        <v>211</v>
      </c>
      <c r="B9">
        <f t="shared" si="6"/>
        <v>97</v>
      </c>
      <c r="C9">
        <v>30429</v>
      </c>
      <c r="D9">
        <v>8</v>
      </c>
      <c r="E9" s="16">
        <f t="shared" si="2"/>
        <v>2434.3200000000002</v>
      </c>
      <c r="F9" s="16"/>
      <c r="G9" s="16"/>
      <c r="J9" t="s">
        <v>387</v>
      </c>
      <c r="P9" t="s">
        <v>388</v>
      </c>
      <c r="T9" s="13"/>
      <c r="U9" s="13" t="s">
        <v>365</v>
      </c>
      <c r="V9" s="13" t="s">
        <v>389</v>
      </c>
      <c r="W9" s="13" t="s">
        <v>367</v>
      </c>
      <c r="X9" s="13" t="s">
        <v>390</v>
      </c>
    </row>
    <row r="10" spans="1:30">
      <c r="A10" t="s">
        <v>212</v>
      </c>
      <c r="B10">
        <f t="shared" si="6"/>
        <v>100</v>
      </c>
      <c r="C10">
        <v>19785</v>
      </c>
      <c r="D10">
        <v>3</v>
      </c>
      <c r="E10" s="16">
        <f t="shared" si="2"/>
        <v>593.54999999999995</v>
      </c>
      <c r="F10" s="16"/>
      <c r="G10" s="16"/>
      <c r="T10" s="13" t="s">
        <v>201</v>
      </c>
      <c r="U10" s="13">
        <f>W10</f>
        <v>4</v>
      </c>
      <c r="V10" s="13">
        <v>105914</v>
      </c>
      <c r="W10" s="13">
        <v>4</v>
      </c>
      <c r="X10" s="13">
        <f>AVERAGE(V2,V10)</f>
        <v>78082</v>
      </c>
    </row>
    <row r="11" spans="1:30">
      <c r="E11" s="79">
        <f>SUM(E2:E10)</f>
        <v>59002.330000000009</v>
      </c>
      <c r="F11" s="16"/>
      <c r="G11" s="16"/>
      <c r="J11" t="s">
        <v>391</v>
      </c>
      <c r="T11" s="13" t="s">
        <v>203</v>
      </c>
      <c r="U11" s="13">
        <f>U10+W11</f>
        <v>13</v>
      </c>
      <c r="V11" s="13">
        <v>100323</v>
      </c>
      <c r="W11" s="13">
        <v>9</v>
      </c>
      <c r="X11" s="13">
        <f>AVERAGE(V2,V11)</f>
        <v>75286.5</v>
      </c>
    </row>
    <row r="12" spans="1:30">
      <c r="T12" s="13" t="s">
        <v>204</v>
      </c>
      <c r="U12" s="13">
        <f t="shared" ref="U12:U18" si="10">U11+W12</f>
        <v>26</v>
      </c>
      <c r="V12" s="13">
        <v>84942</v>
      </c>
      <c r="W12" s="13">
        <v>13</v>
      </c>
      <c r="X12" s="34">
        <f>AVERAGE(V12,$V$3)</f>
        <v>56496</v>
      </c>
    </row>
    <row r="13" spans="1:30">
      <c r="N13">
        <f>1.023^17</f>
        <v>1.4719253099280327</v>
      </c>
      <c r="Q13" t="s">
        <v>392</v>
      </c>
      <c r="T13" s="13" t="s">
        <v>393</v>
      </c>
      <c r="U13" s="13">
        <f t="shared" si="10"/>
        <v>31</v>
      </c>
      <c r="V13" s="13">
        <v>73186</v>
      </c>
      <c r="W13" s="13">
        <v>5</v>
      </c>
      <c r="X13" s="34">
        <f t="shared" ref="X13" si="11">AVERAGE(V13,$V$3)</f>
        <v>50618</v>
      </c>
    </row>
    <row r="14" spans="1:30">
      <c r="A14" t="s">
        <v>394</v>
      </c>
      <c r="O14" s="16">
        <v>80</v>
      </c>
      <c r="P14" s="16">
        <f>O14</f>
        <v>80</v>
      </c>
      <c r="Q14">
        <v>4000</v>
      </c>
      <c r="T14" s="13" t="s">
        <v>208</v>
      </c>
      <c r="U14" s="13">
        <f t="shared" si="10"/>
        <v>59</v>
      </c>
      <c r="V14" s="13">
        <v>61758</v>
      </c>
      <c r="W14" s="13">
        <v>28</v>
      </c>
      <c r="X14" s="34">
        <f>AVERAGE(V14,$V$3)</f>
        <v>44904</v>
      </c>
    </row>
    <row r="15" spans="1:30">
      <c r="O15" s="16">
        <v>10</v>
      </c>
      <c r="P15" s="16">
        <f>O15+P14</f>
        <v>90</v>
      </c>
      <c r="Q15">
        <v>1500</v>
      </c>
      <c r="T15" s="13" t="s">
        <v>207</v>
      </c>
      <c r="U15" s="13">
        <f t="shared" si="10"/>
        <v>68</v>
      </c>
      <c r="V15" s="13">
        <v>42700</v>
      </c>
      <c r="W15" s="13">
        <v>9</v>
      </c>
      <c r="X15" s="34">
        <f>AVERAGE(V15,$V$4)</f>
        <v>33635</v>
      </c>
    </row>
    <row r="16" spans="1:30">
      <c r="A16" t="s">
        <v>395</v>
      </c>
      <c r="O16" s="16">
        <v>5</v>
      </c>
      <c r="P16" s="16">
        <f t="shared" ref="P16:P17" si="12">O16+P15</f>
        <v>95</v>
      </c>
      <c r="Q16">
        <v>500</v>
      </c>
      <c r="T16" s="13" t="s">
        <v>209</v>
      </c>
      <c r="U16" s="13">
        <f t="shared" si="10"/>
        <v>89</v>
      </c>
      <c r="V16" s="13">
        <v>32723</v>
      </c>
      <c r="W16" s="13">
        <v>21</v>
      </c>
      <c r="X16" s="34">
        <f>AVERAGE(V16,$V$4)</f>
        <v>28646.5</v>
      </c>
    </row>
    <row r="17" spans="15:24">
      <c r="O17" s="16">
        <v>5</v>
      </c>
      <c r="P17" s="16">
        <f t="shared" si="12"/>
        <v>100</v>
      </c>
      <c r="Q17">
        <v>250</v>
      </c>
      <c r="T17" t="s">
        <v>211</v>
      </c>
      <c r="U17">
        <f t="shared" si="10"/>
        <v>97</v>
      </c>
      <c r="V17">
        <v>30429</v>
      </c>
      <c r="W17">
        <v>8</v>
      </c>
      <c r="X17" s="16">
        <f>AVERAGE(V17,$V$4)</f>
        <v>27499.5</v>
      </c>
    </row>
    <row r="18" spans="15:24">
      <c r="T18" t="s">
        <v>212</v>
      </c>
      <c r="U18">
        <f t="shared" si="10"/>
        <v>100</v>
      </c>
      <c r="V18">
        <v>19785</v>
      </c>
      <c r="W18">
        <v>3</v>
      </c>
      <c r="X18" s="16">
        <f>AVERAGE(V18,$V$5)</f>
        <v>19207.5</v>
      </c>
    </row>
    <row r="29" spans="15:24">
      <c r="P29">
        <v>0</v>
      </c>
      <c r="Q29">
        <v>4000</v>
      </c>
    </row>
    <row r="30" spans="15:24">
      <c r="O30" s="16">
        <v>80</v>
      </c>
      <c r="P30" s="16">
        <f>O30</f>
        <v>80</v>
      </c>
      <c r="Q30">
        <v>4000</v>
      </c>
      <c r="R30" t="s">
        <v>396</v>
      </c>
    </row>
    <row r="31" spans="15:24">
      <c r="P31">
        <v>80</v>
      </c>
      <c r="Q31">
        <v>1500</v>
      </c>
    </row>
    <row r="32" spans="15:24">
      <c r="O32" s="16">
        <v>20</v>
      </c>
      <c r="P32" s="16">
        <v>90</v>
      </c>
      <c r="Q32">
        <v>1500</v>
      </c>
      <c r="R32" t="s">
        <v>397</v>
      </c>
    </row>
    <row r="33" spans="1:24">
      <c r="O33" s="16">
        <v>5</v>
      </c>
      <c r="P33" s="16">
        <f t="shared" ref="P33:P34" si="13">O33+P32</f>
        <v>95</v>
      </c>
      <c r="Q33">
        <v>500</v>
      </c>
    </row>
    <row r="34" spans="1:24">
      <c r="O34" s="16">
        <v>5</v>
      </c>
      <c r="P34" s="16">
        <f t="shared" si="13"/>
        <v>100</v>
      </c>
      <c r="Q34">
        <v>250</v>
      </c>
    </row>
    <row r="37" spans="1:24">
      <c r="V37" s="13"/>
      <c r="W37" s="13" t="s">
        <v>221</v>
      </c>
      <c r="X37" s="13" t="s">
        <v>398</v>
      </c>
    </row>
    <row r="38" spans="1:24" ht="27.75" customHeight="1">
      <c r="A38" t="s">
        <v>399</v>
      </c>
      <c r="B38" t="s">
        <v>370</v>
      </c>
      <c r="C38" s="2" t="s">
        <v>400</v>
      </c>
      <c r="D38" s="2" t="s">
        <v>401</v>
      </c>
      <c r="E38" s="2" t="s">
        <v>402</v>
      </c>
      <c r="F38" s="2" t="s">
        <v>403</v>
      </c>
      <c r="G38" s="2"/>
      <c r="Q38" t="s">
        <v>404</v>
      </c>
      <c r="R38" t="s">
        <v>365</v>
      </c>
      <c r="S38" t="s">
        <v>221</v>
      </c>
      <c r="V38" s="13" t="s">
        <v>201</v>
      </c>
      <c r="W38" s="13">
        <v>78082</v>
      </c>
      <c r="X38" s="13">
        <v>4</v>
      </c>
    </row>
    <row r="39" spans="1:24">
      <c r="A39" t="s">
        <v>405</v>
      </c>
      <c r="B39">
        <v>35</v>
      </c>
      <c r="C39">
        <v>4000</v>
      </c>
      <c r="D39">
        <f>C39*25</f>
        <v>100000</v>
      </c>
      <c r="E39">
        <v>0</v>
      </c>
      <c r="F39">
        <f>D39*E39</f>
        <v>0</v>
      </c>
      <c r="Q39" s="16">
        <v>80</v>
      </c>
      <c r="R39" s="16">
        <f>Q39</f>
        <v>80</v>
      </c>
      <c r="S39">
        <v>4000</v>
      </c>
      <c r="T39" t="s">
        <v>396</v>
      </c>
      <c r="V39" s="13" t="s">
        <v>203</v>
      </c>
      <c r="W39" s="13">
        <v>75286.5</v>
      </c>
      <c r="X39" s="13">
        <v>9</v>
      </c>
    </row>
    <row r="40" spans="1:24">
      <c r="A40" t="s">
        <v>406</v>
      </c>
      <c r="B40">
        <v>35</v>
      </c>
      <c r="C40">
        <v>3400</v>
      </c>
      <c r="D40">
        <f>C40*25</f>
        <v>85000</v>
      </c>
      <c r="E40">
        <v>0</v>
      </c>
      <c r="F40">
        <f>D40*E40</f>
        <v>0</v>
      </c>
      <c r="Q40" s="16">
        <v>20</v>
      </c>
      <c r="R40" s="16">
        <v>90</v>
      </c>
      <c r="S40">
        <v>1500</v>
      </c>
      <c r="T40" t="s">
        <v>397</v>
      </c>
      <c r="V40" s="13" t="s">
        <v>204</v>
      </c>
      <c r="W40" s="13">
        <v>56496</v>
      </c>
      <c r="X40" s="13">
        <v>13</v>
      </c>
    </row>
    <row r="41" spans="1:24">
      <c r="A41" t="s">
        <v>407</v>
      </c>
      <c r="B41">
        <v>10</v>
      </c>
      <c r="C41">
        <v>1700</v>
      </c>
      <c r="D41">
        <f>C41*25</f>
        <v>42500</v>
      </c>
      <c r="E41">
        <v>5</v>
      </c>
      <c r="F41">
        <f>D41*E41</f>
        <v>212500</v>
      </c>
      <c r="Q41" s="16">
        <v>5</v>
      </c>
      <c r="R41" s="16">
        <f t="shared" ref="R41:R42" si="14">Q41+R40</f>
        <v>95</v>
      </c>
      <c r="S41">
        <v>500</v>
      </c>
      <c r="V41" s="13" t="s">
        <v>393</v>
      </c>
      <c r="W41" s="13">
        <v>50618</v>
      </c>
      <c r="X41" s="13">
        <v>5</v>
      </c>
    </row>
    <row r="42" spans="1:24">
      <c r="A42" t="s">
        <v>408</v>
      </c>
      <c r="B42">
        <v>10</v>
      </c>
      <c r="C42">
        <v>1200</v>
      </c>
      <c r="D42">
        <f>C42*25</f>
        <v>30000</v>
      </c>
      <c r="E42">
        <v>10</v>
      </c>
      <c r="F42">
        <f>D42*E42</f>
        <v>300000</v>
      </c>
      <c r="Q42" s="16">
        <v>5</v>
      </c>
      <c r="R42" s="16">
        <f t="shared" si="14"/>
        <v>100</v>
      </c>
      <c r="S42">
        <v>250</v>
      </c>
      <c r="V42" s="13" t="s">
        <v>208</v>
      </c>
      <c r="W42" s="13">
        <v>44904</v>
      </c>
      <c r="X42" s="13">
        <v>28</v>
      </c>
    </row>
    <row r="43" spans="1:24">
      <c r="A43" t="s">
        <v>409</v>
      </c>
      <c r="B43">
        <v>10</v>
      </c>
      <c r="C43">
        <v>700</v>
      </c>
      <c r="D43">
        <f>C43*25</f>
        <v>17500</v>
      </c>
      <c r="E43">
        <v>20</v>
      </c>
      <c r="F43">
        <f>D43*E43</f>
        <v>350000</v>
      </c>
      <c r="V43" s="13" t="s">
        <v>207</v>
      </c>
      <c r="W43" s="13">
        <v>33635</v>
      </c>
      <c r="X43" s="13">
        <v>9</v>
      </c>
    </row>
    <row r="44" spans="1:24">
      <c r="V44" s="13" t="s">
        <v>209</v>
      </c>
      <c r="W44" s="13">
        <v>28646.5</v>
      </c>
      <c r="X44" s="13">
        <v>21</v>
      </c>
    </row>
    <row r="45" spans="1:24" ht="45">
      <c r="A45" t="s">
        <v>410</v>
      </c>
      <c r="B45" t="s">
        <v>370</v>
      </c>
      <c r="C45" s="2" t="s">
        <v>400</v>
      </c>
      <c r="D45" s="2" t="s">
        <v>401</v>
      </c>
      <c r="E45" s="2" t="s">
        <v>402</v>
      </c>
      <c r="F45" s="2" t="s">
        <v>403</v>
      </c>
      <c r="V45" s="13" t="s">
        <v>211</v>
      </c>
      <c r="W45" s="13">
        <v>27499.5</v>
      </c>
      <c r="X45" s="13">
        <v>8</v>
      </c>
    </row>
    <row r="46" spans="1:24">
      <c r="A46" t="s">
        <v>405</v>
      </c>
      <c r="B46">
        <v>35</v>
      </c>
      <c r="C46">
        <v>4000</v>
      </c>
      <c r="D46">
        <v>100000</v>
      </c>
      <c r="E46">
        <v>0</v>
      </c>
      <c r="F46">
        <f>D46*E46</f>
        <v>0</v>
      </c>
      <c r="V46" s="13" t="s">
        <v>212</v>
      </c>
      <c r="W46" s="13">
        <v>19207.5</v>
      </c>
      <c r="X46" s="13">
        <v>3</v>
      </c>
    </row>
    <row r="47" spans="1:24">
      <c r="A47" t="s">
        <v>406</v>
      </c>
      <c r="B47">
        <v>35</v>
      </c>
      <c r="C47">
        <v>4000</v>
      </c>
      <c r="D47">
        <v>85000</v>
      </c>
      <c r="E47">
        <v>0</v>
      </c>
      <c r="F47">
        <f>D47*E47</f>
        <v>0</v>
      </c>
      <c r="J47" t="str">
        <f>K1</f>
        <v>percentage load</v>
      </c>
      <c r="K47" t="s">
        <v>221</v>
      </c>
      <c r="M47" t="s">
        <v>411</v>
      </c>
    </row>
    <row r="48" spans="1:24">
      <c r="A48" t="s">
        <v>407</v>
      </c>
      <c r="B48">
        <v>10</v>
      </c>
      <c r="C48">
        <v>3999</v>
      </c>
      <c r="D48">
        <v>42500</v>
      </c>
      <c r="E48">
        <v>10</v>
      </c>
      <c r="F48">
        <f>D48*E48</f>
        <v>425000</v>
      </c>
      <c r="I48" t="str">
        <f>I2</f>
        <v>public sector and transport</v>
      </c>
      <c r="J48">
        <f t="shared" ref="J48:J54" si="15">K2</f>
        <v>13</v>
      </c>
      <c r="K48" s="16">
        <f t="shared" ref="K48:K54" si="16">J2</f>
        <v>102043.30769230769</v>
      </c>
      <c r="L48">
        <f>K48*J48</f>
        <v>1326563</v>
      </c>
      <c r="M48" s="16">
        <f t="shared" ref="M48:M54" si="17">P2</f>
        <v>4081.7323076923076</v>
      </c>
    </row>
    <row r="49" spans="1:13">
      <c r="A49" t="s">
        <v>408</v>
      </c>
      <c r="B49">
        <v>10</v>
      </c>
      <c r="C49">
        <v>3999</v>
      </c>
      <c r="D49">
        <v>30000</v>
      </c>
      <c r="E49">
        <v>10</v>
      </c>
      <c r="F49">
        <f>D49*E49</f>
        <v>300000</v>
      </c>
      <c r="I49" t="str">
        <f t="shared" ref="I49:I54" si="18">I3</f>
        <v>commercial and service sector</v>
      </c>
      <c r="J49">
        <f t="shared" si="15"/>
        <v>13</v>
      </c>
      <c r="K49" s="16">
        <f t="shared" si="16"/>
        <v>84942</v>
      </c>
      <c r="L49">
        <f t="shared" ref="L49:L52" si="19">K49*J49</f>
        <v>1104246</v>
      </c>
      <c r="M49" s="16">
        <f t="shared" si="17"/>
        <v>3397.68</v>
      </c>
    </row>
    <row r="50" spans="1:13">
      <c r="A50" t="s">
        <v>409</v>
      </c>
      <c r="B50">
        <v>10</v>
      </c>
      <c r="C50">
        <v>3999</v>
      </c>
      <c r="D50">
        <v>17500</v>
      </c>
      <c r="E50">
        <v>10</v>
      </c>
      <c r="F50">
        <f>D50*E50</f>
        <v>175000</v>
      </c>
      <c r="I50" t="str">
        <f t="shared" si="18"/>
        <v>industry</v>
      </c>
      <c r="J50">
        <f t="shared" si="15"/>
        <v>33</v>
      </c>
      <c r="K50" s="16">
        <f t="shared" si="16"/>
        <v>63489.515151515152</v>
      </c>
      <c r="L50">
        <f t="shared" si="19"/>
        <v>2095154</v>
      </c>
      <c r="M50" s="16">
        <f t="shared" si="17"/>
        <v>2539.580606060606</v>
      </c>
    </row>
    <row r="51" spans="1:13">
      <c r="I51" t="str">
        <f t="shared" si="18"/>
        <v>household other</v>
      </c>
      <c r="J51">
        <f t="shared" si="15"/>
        <v>9</v>
      </c>
      <c r="K51" s="16">
        <f t="shared" si="16"/>
        <v>42700</v>
      </c>
      <c r="L51">
        <f t="shared" si="19"/>
        <v>384300</v>
      </c>
      <c r="M51" s="16">
        <f t="shared" si="17"/>
        <v>1708</v>
      </c>
    </row>
    <row r="52" spans="1:13">
      <c r="I52" t="str">
        <f t="shared" si="18"/>
        <v>household city center</v>
      </c>
      <c r="J52">
        <f t="shared" si="15"/>
        <v>21</v>
      </c>
      <c r="K52" s="16">
        <f t="shared" si="16"/>
        <v>32723</v>
      </c>
      <c r="L52">
        <f t="shared" si="19"/>
        <v>687183</v>
      </c>
      <c r="M52" s="16">
        <f t="shared" si="17"/>
        <v>1308.92</v>
      </c>
    </row>
    <row r="53" spans="1:13">
      <c r="I53" t="str">
        <f t="shared" si="18"/>
        <v>household feed in areas</v>
      </c>
      <c r="J53">
        <f t="shared" si="15"/>
        <v>8</v>
      </c>
      <c r="K53" s="16">
        <f t="shared" si="16"/>
        <v>30429</v>
      </c>
      <c r="L53">
        <f>K53*J53</f>
        <v>243432</v>
      </c>
      <c r="M53" s="16">
        <f t="shared" si="17"/>
        <v>1217.1600000000001</v>
      </c>
    </row>
    <row r="54" spans="1:13">
      <c r="I54" t="str">
        <f t="shared" si="18"/>
        <v>industrySME</v>
      </c>
      <c r="J54">
        <f t="shared" si="15"/>
        <v>3</v>
      </c>
      <c r="K54" s="16">
        <f t="shared" si="16"/>
        <v>19785</v>
      </c>
      <c r="L54">
        <f>K54*J54</f>
        <v>59355</v>
      </c>
      <c r="M54" s="16">
        <f t="shared" si="17"/>
        <v>791.4</v>
      </c>
    </row>
    <row r="55" spans="1:13">
      <c r="K55" t="s">
        <v>368</v>
      </c>
      <c r="L55" s="16">
        <f>SUM(L48:L54)/100</f>
        <v>59002.33</v>
      </c>
    </row>
    <row r="57" spans="1:13">
      <c r="J57">
        <v>11</v>
      </c>
      <c r="K57">
        <v>1500</v>
      </c>
      <c r="L57">
        <f>K57*J57</f>
        <v>16500</v>
      </c>
    </row>
    <row r="58" spans="1:13">
      <c r="K58" t="s">
        <v>368</v>
      </c>
      <c r="L58" s="16">
        <f>(SUM(L48:L52) +L57)/100</f>
        <v>56139.46</v>
      </c>
    </row>
    <row r="59" spans="1:13">
      <c r="K59" t="s">
        <v>221</v>
      </c>
    </row>
    <row r="60" spans="1:13">
      <c r="K60" t="s">
        <v>285</v>
      </c>
      <c r="L60">
        <v>49877</v>
      </c>
    </row>
    <row r="61" spans="1:13">
      <c r="K61" t="s">
        <v>412</v>
      </c>
      <c r="L61">
        <f>L60/L55</f>
        <v>0.84533949760967064</v>
      </c>
    </row>
  </sheetData>
  <autoFilter ref="A1:D1" xr:uid="{CC571752-A39E-4D94-949D-0D7EEFCB94D9}">
    <sortState xmlns:xlrd2="http://schemas.microsoft.com/office/spreadsheetml/2017/richdata2" ref="A2:D10">
      <sortCondition descending="1" ref="C1"/>
    </sortState>
  </autoFilter>
  <phoneticPr fontId="6" type="noConversion"/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7EF1-3F05-492D-AA20-DDCD97D0E8A4}">
  <dimension ref="A1:M20"/>
  <sheetViews>
    <sheetView zoomScale="115" zoomScaleNormal="115" workbookViewId="0">
      <selection activeCell="C34" sqref="C34"/>
    </sheetView>
  </sheetViews>
  <sheetFormatPr defaultRowHeight="15"/>
  <cols>
    <col min="1" max="1" width="13.85546875" customWidth="1"/>
    <col min="2" max="2" width="14.85546875" customWidth="1"/>
    <col min="3" max="3" width="43.28515625" customWidth="1"/>
    <col min="4" max="4" width="11.85546875" customWidth="1"/>
    <col min="5" max="5" width="20" customWidth="1"/>
    <col min="6" max="7" width="16.5703125" customWidth="1"/>
    <col min="8" max="9" width="17.7109375" customWidth="1"/>
    <col min="10" max="10" width="9.85546875" customWidth="1"/>
    <col min="11" max="11" width="11" customWidth="1"/>
    <col min="12" max="12" width="50.28515625" customWidth="1"/>
    <col min="13" max="13" width="19.85546875" customWidth="1"/>
    <col min="14" max="14" width="15.7109375" customWidth="1"/>
    <col min="15" max="15" width="12.28515625" customWidth="1"/>
  </cols>
  <sheetData>
    <row r="1" spans="1:13" ht="17.45" customHeight="1">
      <c r="A1" s="13" t="s">
        <v>162</v>
      </c>
      <c r="B1" s="13" t="s">
        <v>218</v>
      </c>
      <c r="C1" s="13" t="s">
        <v>219</v>
      </c>
      <c r="D1" s="13" t="s">
        <v>220</v>
      </c>
      <c r="E1" s="13" t="s">
        <v>413</v>
      </c>
      <c r="F1" s="13" t="s">
        <v>221</v>
      </c>
      <c r="G1" s="18"/>
      <c r="H1" s="18" t="s">
        <v>414</v>
      </c>
      <c r="I1" s="18" t="s">
        <v>415</v>
      </c>
      <c r="J1" s="44"/>
      <c r="K1" s="44" t="s">
        <v>416</v>
      </c>
      <c r="L1" s="44" t="s">
        <v>417</v>
      </c>
    </row>
    <row r="2" spans="1:13" ht="17.45" customHeight="1">
      <c r="A2" s="13">
        <v>1</v>
      </c>
      <c r="B2" s="13" t="str">
        <f t="shared" ref="B2:B6" si="0">CONCATENATE("amiris-config/data/LS_",A2,".csv")</f>
        <v>amiris-config/data/LS_1.csv</v>
      </c>
      <c r="C2" s="13" t="str">
        <f t="shared" ref="C2:C6" si="1">CONCATENATE("amiris-config/data/future_LS_",A2,".csv")</f>
        <v>amiris-config/data/future_LS_1.csv</v>
      </c>
      <c r="D2" s="13" t="s">
        <v>222</v>
      </c>
      <c r="E2" s="34">
        <v>3</v>
      </c>
      <c r="F2" s="34">
        <v>20000</v>
      </c>
      <c r="G2" s="16"/>
      <c r="H2">
        <f>F2*E2</f>
        <v>60000</v>
      </c>
      <c r="I2">
        <v>500</v>
      </c>
      <c r="J2" s="44"/>
      <c r="K2" s="53">
        <f>$K$10/E2</f>
        <v>15666.666666666666</v>
      </c>
      <c r="L2" s="44">
        <f>+F2*E2</f>
        <v>60000</v>
      </c>
    </row>
    <row r="3" spans="1:13" ht="17.45" customHeight="1">
      <c r="A3" s="13">
        <v>2</v>
      </c>
      <c r="B3" s="13" t="str">
        <f t="shared" si="0"/>
        <v>amiris-config/data/LS_2.csv</v>
      </c>
      <c r="C3" s="13" t="str">
        <f t="shared" si="1"/>
        <v>amiris-config/data/future_LS_2.csv</v>
      </c>
      <c r="D3" s="13" t="s">
        <v>222</v>
      </c>
      <c r="E3" s="34">
        <v>6</v>
      </c>
      <c r="F3" s="34">
        <v>8000</v>
      </c>
      <c r="G3" s="16"/>
      <c r="H3">
        <f t="shared" ref="H3:H6" si="2">F3*E3</f>
        <v>48000</v>
      </c>
      <c r="J3" s="44"/>
      <c r="K3" s="53">
        <f>L3/E3</f>
        <v>8000</v>
      </c>
      <c r="L3" s="44">
        <f t="shared" ref="L3:L6" si="3">+F3*E3</f>
        <v>48000</v>
      </c>
    </row>
    <row r="4" spans="1:13" ht="17.45" customHeight="1">
      <c r="A4" s="13">
        <v>3</v>
      </c>
      <c r="B4" s="13" t="str">
        <f t="shared" si="0"/>
        <v>amiris-config/data/LS_3.csv</v>
      </c>
      <c r="C4" s="13" t="str">
        <f t="shared" si="1"/>
        <v>amiris-config/data/future_LS_3.csv</v>
      </c>
      <c r="D4" s="13" t="s">
        <v>222</v>
      </c>
      <c r="E4" s="34">
        <v>10</v>
      </c>
      <c r="F4" s="34">
        <v>4000</v>
      </c>
      <c r="G4" s="16"/>
      <c r="H4">
        <f t="shared" si="2"/>
        <v>40000</v>
      </c>
      <c r="J4" s="44"/>
      <c r="K4" s="53">
        <f>L4/E4</f>
        <v>4000</v>
      </c>
      <c r="L4" s="44">
        <f t="shared" si="3"/>
        <v>40000</v>
      </c>
    </row>
    <row r="5" spans="1:13" ht="17.45" customHeight="1">
      <c r="A5" s="13">
        <v>4</v>
      </c>
      <c r="B5" s="13" t="str">
        <f t="shared" si="0"/>
        <v>amiris-config/data/LS_4.csv</v>
      </c>
      <c r="C5" s="13" t="str">
        <f t="shared" si="1"/>
        <v>amiris-config/data/future_LS_4.csv</v>
      </c>
      <c r="D5" s="13" t="s">
        <v>222</v>
      </c>
      <c r="E5" s="34">
        <v>20</v>
      </c>
      <c r="F5" s="34">
        <v>1600</v>
      </c>
      <c r="G5" s="16"/>
      <c r="H5">
        <f t="shared" si="2"/>
        <v>32000</v>
      </c>
      <c r="J5" s="44"/>
      <c r="K5" s="53">
        <f>L5/E5</f>
        <v>1600</v>
      </c>
      <c r="L5" s="44">
        <f t="shared" si="3"/>
        <v>32000</v>
      </c>
    </row>
    <row r="6" spans="1:13">
      <c r="A6" s="13">
        <v>5</v>
      </c>
      <c r="B6" s="13" t="str">
        <f t="shared" si="0"/>
        <v>amiris-config/data/LS_5.csv</v>
      </c>
      <c r="C6" s="13" t="str">
        <f t="shared" si="1"/>
        <v>amiris-config/data/future_LS_5.csv</v>
      </c>
      <c r="D6" s="13" t="s">
        <v>222</v>
      </c>
      <c r="E6" s="34">
        <v>30</v>
      </c>
      <c r="F6" s="34">
        <v>1000</v>
      </c>
      <c r="G6" s="16"/>
      <c r="H6">
        <f t="shared" si="2"/>
        <v>30000</v>
      </c>
      <c r="I6">
        <v>490</v>
      </c>
      <c r="J6" s="44"/>
      <c r="K6" s="53">
        <f>L6/E6</f>
        <v>1000</v>
      </c>
      <c r="L6" s="44">
        <f t="shared" si="3"/>
        <v>30000</v>
      </c>
      <c r="M6" s="16"/>
    </row>
    <row r="7" spans="1:13">
      <c r="A7" s="13" t="s">
        <v>141</v>
      </c>
      <c r="B7" s="13" t="s">
        <v>223</v>
      </c>
      <c r="C7" s="13" t="s">
        <v>224</v>
      </c>
      <c r="D7" s="13">
        <f>29090</f>
        <v>29090</v>
      </c>
      <c r="E7" s="13"/>
      <c r="F7" s="13"/>
      <c r="J7" s="44"/>
      <c r="K7" s="44" t="s">
        <v>222</v>
      </c>
      <c r="L7" s="44"/>
    </row>
    <row r="8" spans="1:13">
      <c r="E8" s="42"/>
      <c r="F8" s="16"/>
      <c r="G8" s="16"/>
      <c r="J8" s="44"/>
      <c r="K8" s="53"/>
      <c r="L8" s="44"/>
    </row>
    <row r="9" spans="1:13">
      <c r="J9" s="44"/>
      <c r="K9" s="54" t="s">
        <v>285</v>
      </c>
      <c r="L9" s="54" t="s">
        <v>418</v>
      </c>
    </row>
    <row r="10" spans="1:13">
      <c r="J10" s="44"/>
      <c r="K10" s="54">
        <v>47000</v>
      </c>
      <c r="L10" s="54">
        <v>46000</v>
      </c>
    </row>
    <row r="11" spans="1:13">
      <c r="J11" s="44"/>
      <c r="K11" s="44"/>
      <c r="L11" s="44"/>
    </row>
    <row r="12" spans="1:13">
      <c r="J12" s="44"/>
      <c r="K12" s="44"/>
      <c r="L12" s="44"/>
    </row>
    <row r="13" spans="1:13">
      <c r="J13" s="44"/>
      <c r="K13" s="44"/>
      <c r="L13" s="44"/>
    </row>
    <row r="14" spans="1:13">
      <c r="J14" s="44"/>
      <c r="K14" s="44"/>
      <c r="L14" s="44"/>
    </row>
    <row r="15" spans="1:13">
      <c r="J15" s="44"/>
      <c r="K15" s="44"/>
      <c r="L15" s="44"/>
    </row>
    <row r="16" spans="1:13">
      <c r="E16" s="24"/>
      <c r="J16" s="44"/>
      <c r="K16" s="44"/>
      <c r="L16" s="44"/>
    </row>
    <row r="20" spans="5:5">
      <c r="E20" s="24"/>
    </row>
  </sheetData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99B24-6EF1-43FA-A5C7-1AE1CFCC73D6}">
  <dimension ref="A1:O23"/>
  <sheetViews>
    <sheetView topLeftCell="A3" zoomScale="115" zoomScaleNormal="115" workbookViewId="0">
      <selection activeCell="H30" sqref="H30"/>
    </sheetView>
  </sheetViews>
  <sheetFormatPr defaultRowHeight="15"/>
  <cols>
    <col min="1" max="1" width="13.85546875" customWidth="1"/>
    <col min="2" max="2" width="33.85546875" customWidth="1"/>
    <col min="3" max="3" width="43.28515625" customWidth="1"/>
    <col min="4" max="4" width="11.85546875" customWidth="1"/>
    <col min="5" max="5" width="20" customWidth="1"/>
    <col min="6" max="9" width="16.5703125" customWidth="1"/>
    <col min="10" max="11" width="17.7109375" customWidth="1"/>
    <col min="12" max="12" width="9.85546875" customWidth="1"/>
    <col min="13" max="13" width="11" customWidth="1"/>
    <col min="14" max="14" width="50.28515625" customWidth="1"/>
    <col min="15" max="15" width="19.85546875" customWidth="1"/>
    <col min="16" max="16" width="15.7109375" customWidth="1"/>
    <col min="17" max="17" width="12.28515625" customWidth="1"/>
  </cols>
  <sheetData>
    <row r="1" spans="1:15" ht="17.45" customHeight="1">
      <c r="A1" s="13" t="s">
        <v>162</v>
      </c>
      <c r="B1" s="13" t="s">
        <v>218</v>
      </c>
      <c r="C1" s="13" t="s">
        <v>219</v>
      </c>
      <c r="D1" s="13" t="s">
        <v>220</v>
      </c>
      <c r="E1" s="13" t="s">
        <v>413</v>
      </c>
      <c r="F1" s="13" t="s">
        <v>221</v>
      </c>
      <c r="G1" s="66"/>
      <c r="H1" s="18"/>
      <c r="I1" s="18"/>
      <c r="J1" s="18" t="s">
        <v>419</v>
      </c>
      <c r="K1" s="18" t="s">
        <v>415</v>
      </c>
      <c r="L1" s="44"/>
      <c r="M1" s="44" t="s">
        <v>416</v>
      </c>
      <c r="N1" s="44" t="s">
        <v>417</v>
      </c>
    </row>
    <row r="2" spans="1:15" ht="17.45" customHeight="1">
      <c r="A2" s="13">
        <v>1</v>
      </c>
      <c r="B2" s="13" t="str">
        <f t="shared" ref="B2:B8" si="0">CONCATENATE("amiris-config/data/LS_",A2,".csv")</f>
        <v>amiris-config/data/LS_1.csv</v>
      </c>
      <c r="C2" s="13" t="str">
        <f t="shared" ref="C2:C8" si="1">CONCATENATE("amiris-config/data/future_LS_",A2,".csv")</f>
        <v>amiris-config/data/future_LS_1.csv</v>
      </c>
      <c r="D2" s="13" t="s">
        <v>222</v>
      </c>
      <c r="E2" s="34">
        <v>1</v>
      </c>
      <c r="F2" s="34">
        <v>4081.7323076923076</v>
      </c>
      <c r="G2" s="45">
        <v>0.13</v>
      </c>
      <c r="H2" s="16">
        <f>F2*20</f>
        <v>81634.646153846144</v>
      </c>
      <c r="I2" s="16">
        <f>J2/F2</f>
        <v>0.97997607350725147</v>
      </c>
      <c r="J2" s="16">
        <v>4000</v>
      </c>
      <c r="K2">
        <v>500</v>
      </c>
      <c r="L2" s="44"/>
      <c r="M2" s="53">
        <f>$M$10/E2</f>
        <v>47000</v>
      </c>
      <c r="N2" s="44">
        <f>+F2*E2</f>
        <v>4081.7323076923076</v>
      </c>
    </row>
    <row r="3" spans="1:15" ht="17.45" customHeight="1">
      <c r="A3" s="13">
        <v>2</v>
      </c>
      <c r="B3" s="13" t="str">
        <f t="shared" si="0"/>
        <v>amiris-config/data/LS_2.csv</v>
      </c>
      <c r="C3" s="13" t="str">
        <f t="shared" si="1"/>
        <v>amiris-config/data/future_LS_2.csv</v>
      </c>
      <c r="D3" s="13" t="s">
        <v>222</v>
      </c>
      <c r="E3" s="34">
        <v>3</v>
      </c>
      <c r="F3" s="34">
        <v>3397.68</v>
      </c>
      <c r="G3" s="45">
        <v>0.13</v>
      </c>
      <c r="H3" s="16">
        <f t="shared" ref="H3:H9" si="2">F3*20</f>
        <v>67953.599999999991</v>
      </c>
      <c r="I3" s="16">
        <f t="shared" ref="I3:I8" si="3">J3/F3</f>
        <v>1.1772739045466318</v>
      </c>
      <c r="J3" s="16">
        <v>4000</v>
      </c>
      <c r="L3" s="44"/>
      <c r="M3" s="53">
        <f>N3/E3</f>
        <v>3397.68</v>
      </c>
      <c r="N3" s="44">
        <f t="shared" ref="N3:N6" si="4">+F3*E3</f>
        <v>10193.039999999999</v>
      </c>
    </row>
    <row r="4" spans="1:15" ht="17.45" customHeight="1">
      <c r="A4" s="13">
        <v>3</v>
      </c>
      <c r="B4" s="13" t="str">
        <f t="shared" si="0"/>
        <v>amiris-config/data/LS_3.csv</v>
      </c>
      <c r="C4" s="13" t="str">
        <f t="shared" si="1"/>
        <v>amiris-config/data/future_LS_3.csv</v>
      </c>
      <c r="D4" s="13" t="s">
        <v>222</v>
      </c>
      <c r="E4" s="34">
        <v>6</v>
      </c>
      <c r="F4" s="34">
        <v>2539.580606060606</v>
      </c>
      <c r="G4" s="45">
        <v>0.33</v>
      </c>
      <c r="H4" s="16">
        <f t="shared" si="2"/>
        <v>50791.612121212122</v>
      </c>
      <c r="I4" s="16">
        <f t="shared" si="3"/>
        <v>1.5750632173100403</v>
      </c>
      <c r="J4" s="16">
        <v>4000</v>
      </c>
      <c r="L4" s="44"/>
      <c r="M4" s="53">
        <f>N4/E4</f>
        <v>2539.580606060606</v>
      </c>
      <c r="N4" s="44">
        <f t="shared" si="4"/>
        <v>15237.483636363635</v>
      </c>
    </row>
    <row r="5" spans="1:15" ht="17.45" customHeight="1">
      <c r="A5" s="13">
        <v>4</v>
      </c>
      <c r="B5" s="13" t="str">
        <f t="shared" si="0"/>
        <v>amiris-config/data/LS_4.csv</v>
      </c>
      <c r="C5" s="13" t="str">
        <f t="shared" si="1"/>
        <v>amiris-config/data/future_LS_4.csv</v>
      </c>
      <c r="D5" s="13" t="s">
        <v>222</v>
      </c>
      <c r="E5" s="34">
        <v>9</v>
      </c>
      <c r="F5" s="34">
        <v>1708</v>
      </c>
      <c r="G5" s="45">
        <v>0.09</v>
      </c>
      <c r="H5" s="16">
        <f t="shared" si="2"/>
        <v>34160</v>
      </c>
      <c r="I5" s="16">
        <f t="shared" si="3"/>
        <v>2.3419203747072599</v>
      </c>
      <c r="J5" s="16">
        <v>4000</v>
      </c>
      <c r="L5" s="44"/>
      <c r="M5" s="53">
        <f>N5/E5</f>
        <v>1708</v>
      </c>
      <c r="N5" s="44">
        <f t="shared" si="4"/>
        <v>15372</v>
      </c>
    </row>
    <row r="6" spans="1:15">
      <c r="A6" s="13">
        <v>5</v>
      </c>
      <c r="B6" s="13" t="str">
        <f t="shared" si="0"/>
        <v>amiris-config/data/LS_5.csv</v>
      </c>
      <c r="C6" s="13" t="str">
        <f t="shared" si="1"/>
        <v>amiris-config/data/future_LS_5.csv</v>
      </c>
      <c r="D6" s="13" t="s">
        <v>222</v>
      </c>
      <c r="E6" s="34">
        <v>12</v>
      </c>
      <c r="F6" s="34">
        <v>1308.92</v>
      </c>
      <c r="G6" s="45">
        <v>0.21</v>
      </c>
      <c r="H6" s="16">
        <f t="shared" si="2"/>
        <v>26178.400000000001</v>
      </c>
      <c r="I6" s="16">
        <f t="shared" si="3"/>
        <v>3.055954527396632</v>
      </c>
      <c r="J6" s="16">
        <v>4000</v>
      </c>
      <c r="K6">
        <v>490</v>
      </c>
      <c r="L6" s="44"/>
      <c r="M6" s="53">
        <f>N6/E6</f>
        <v>1308.92</v>
      </c>
      <c r="N6" s="44">
        <f t="shared" si="4"/>
        <v>15707.04</v>
      </c>
      <c r="O6" s="16"/>
    </row>
    <row r="7" spans="1:15">
      <c r="A7" s="13">
        <v>6</v>
      </c>
      <c r="B7" s="13" t="str">
        <f t="shared" si="0"/>
        <v>amiris-config/data/LS_6.csv</v>
      </c>
      <c r="C7" s="13" t="str">
        <f t="shared" si="1"/>
        <v>amiris-config/data/future_LS_6.csv</v>
      </c>
      <c r="D7" s="13" t="s">
        <v>222</v>
      </c>
      <c r="E7" s="34">
        <v>15</v>
      </c>
      <c r="F7" s="34">
        <v>1217.1600000000001</v>
      </c>
      <c r="G7" s="45">
        <v>0.08</v>
      </c>
      <c r="H7" s="16">
        <f t="shared" si="2"/>
        <v>24343.200000000001</v>
      </c>
      <c r="I7" s="16">
        <f t="shared" si="3"/>
        <v>3.2863386900653979</v>
      </c>
      <c r="J7" s="16">
        <v>4000</v>
      </c>
      <c r="L7" s="44"/>
      <c r="M7" s="44" t="s">
        <v>222</v>
      </c>
      <c r="N7" s="44"/>
    </row>
    <row r="8" spans="1:15">
      <c r="A8" s="13">
        <v>7</v>
      </c>
      <c r="B8" s="13" t="str">
        <f t="shared" si="0"/>
        <v>amiris-config/data/LS_7.csv</v>
      </c>
      <c r="C8" s="13" t="str">
        <f t="shared" si="1"/>
        <v>amiris-config/data/future_LS_7.csv</v>
      </c>
      <c r="D8" s="13" t="s">
        <v>222</v>
      </c>
      <c r="E8" s="34">
        <v>18</v>
      </c>
      <c r="F8" s="34">
        <v>791.4</v>
      </c>
      <c r="G8" s="45">
        <v>0.03</v>
      </c>
      <c r="H8" s="16">
        <f t="shared" si="2"/>
        <v>15828</v>
      </c>
      <c r="I8" s="16">
        <f t="shared" si="3"/>
        <v>5.0543340914834474</v>
      </c>
      <c r="J8" s="16">
        <v>4000</v>
      </c>
      <c r="L8" s="44"/>
      <c r="M8" s="53"/>
      <c r="N8" s="44"/>
    </row>
    <row r="9" spans="1:15">
      <c r="A9" s="13" t="s">
        <v>141</v>
      </c>
      <c r="B9" s="13" t="s">
        <v>223</v>
      </c>
      <c r="C9" s="13" t="s">
        <v>224</v>
      </c>
      <c r="D9" s="13">
        <f>37450</f>
        <v>37450</v>
      </c>
      <c r="E9" s="13"/>
      <c r="F9" s="13"/>
      <c r="H9" s="16">
        <f t="shared" si="2"/>
        <v>0</v>
      </c>
      <c r="L9" s="44"/>
      <c r="M9" s="54" t="s">
        <v>285</v>
      </c>
      <c r="N9" s="54" t="s">
        <v>418</v>
      </c>
    </row>
    <row r="10" spans="1:15">
      <c r="L10" s="44"/>
      <c r="M10" s="54">
        <v>47000</v>
      </c>
      <c r="N10" s="54">
        <v>46000</v>
      </c>
    </row>
    <row r="11" spans="1:15">
      <c r="L11" s="44"/>
      <c r="M11" s="44"/>
      <c r="N11" s="44"/>
    </row>
    <row r="12" spans="1:15">
      <c r="L12" s="44"/>
      <c r="M12" s="44"/>
      <c r="N12" s="44"/>
    </row>
    <row r="13" spans="1:15">
      <c r="B13" s="13" t="s">
        <v>162</v>
      </c>
      <c r="C13" s="13" t="s">
        <v>413</v>
      </c>
      <c r="D13" s="13" t="s">
        <v>221</v>
      </c>
      <c r="E13" s="13"/>
      <c r="L13" s="44"/>
      <c r="M13" s="44"/>
      <c r="N13" s="44"/>
    </row>
    <row r="14" spans="1:15">
      <c r="B14" s="13">
        <v>1</v>
      </c>
      <c r="C14" s="34">
        <v>1</v>
      </c>
      <c r="D14" s="34">
        <v>4081.7323076923076</v>
      </c>
      <c r="E14" s="13"/>
      <c r="L14" s="44"/>
      <c r="M14" s="44"/>
      <c r="N14" s="44"/>
    </row>
    <row r="15" spans="1:15">
      <c r="B15" s="13">
        <v>2</v>
      </c>
      <c r="C15" s="34">
        <v>3</v>
      </c>
      <c r="D15" s="34">
        <v>3397.68</v>
      </c>
      <c r="E15" s="13"/>
      <c r="L15" s="44"/>
      <c r="M15" s="44"/>
      <c r="N15" s="44"/>
    </row>
    <row r="16" spans="1:15">
      <c r="B16" s="13">
        <v>3</v>
      </c>
      <c r="C16" s="34">
        <v>6</v>
      </c>
      <c r="D16" s="34">
        <v>2539.580606060606</v>
      </c>
      <c r="E16" s="13"/>
      <c r="L16" s="44"/>
      <c r="M16" s="44"/>
      <c r="N16" s="44"/>
    </row>
    <row r="17" spans="2:8">
      <c r="B17" s="13">
        <v>4</v>
      </c>
      <c r="C17" s="34">
        <v>9</v>
      </c>
      <c r="D17" s="34">
        <v>1708</v>
      </c>
      <c r="E17" s="13"/>
    </row>
    <row r="18" spans="2:8">
      <c r="B18" s="13">
        <v>5</v>
      </c>
      <c r="C18" s="34">
        <v>12</v>
      </c>
      <c r="D18" s="34">
        <v>1308.92</v>
      </c>
      <c r="E18" s="13"/>
    </row>
    <row r="19" spans="2:8">
      <c r="B19" s="13">
        <v>6</v>
      </c>
      <c r="C19" s="34">
        <v>15</v>
      </c>
      <c r="D19" s="34">
        <v>1217.1600000000001</v>
      </c>
      <c r="E19" s="13"/>
    </row>
    <row r="20" spans="2:8">
      <c r="B20" s="13">
        <v>7</v>
      </c>
      <c r="C20" s="34">
        <v>18</v>
      </c>
      <c r="D20" s="34">
        <v>791.4</v>
      </c>
      <c r="E20" s="13"/>
    </row>
    <row r="22" spans="2:8">
      <c r="H22" s="44"/>
    </row>
    <row r="23" spans="2:8">
      <c r="H23" s="44"/>
    </row>
  </sheetData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260B-0A2E-4B2F-9996-9AFC8D19CB5C}">
  <sheetPr>
    <tabColor theme="0" tint="-4.9989318521683403E-2"/>
  </sheetPr>
  <dimension ref="A1:K22"/>
  <sheetViews>
    <sheetView topLeftCell="C1" workbookViewId="0">
      <selection activeCell="F3" sqref="F3:F6"/>
    </sheetView>
  </sheetViews>
  <sheetFormatPr defaultRowHeight="15"/>
  <cols>
    <col min="2" max="2" width="42.5703125" customWidth="1"/>
    <col min="3" max="3" width="56.42578125" customWidth="1"/>
    <col min="9" max="10" width="16.42578125" customWidth="1"/>
  </cols>
  <sheetData>
    <row r="1" spans="1:11">
      <c r="A1" t="s">
        <v>162</v>
      </c>
      <c r="B1" t="s">
        <v>218</v>
      </c>
      <c r="C1" t="s">
        <v>219</v>
      </c>
      <c r="D1" t="s">
        <v>220</v>
      </c>
      <c r="E1" t="s">
        <v>242</v>
      </c>
      <c r="F1" t="s">
        <v>413</v>
      </c>
      <c r="H1" t="s">
        <v>420</v>
      </c>
      <c r="I1" t="s">
        <v>416</v>
      </c>
      <c r="J1" t="s">
        <v>417</v>
      </c>
      <c r="K1" t="s">
        <v>421</v>
      </c>
    </row>
    <row r="2" spans="1:11">
      <c r="A2">
        <v>1</v>
      </c>
      <c r="B2" t="str">
        <f t="shared" ref="B2:B6" si="0">CONCATENATE("amiris-config/data/LS_",A2,".csv")</f>
        <v>amiris-config/data/LS_1.csv</v>
      </c>
      <c r="C2" t="str">
        <f t="shared" ref="C2:C6" si="1">CONCATENATE("amiris-config/data/future_LS_",A2,".csv")</f>
        <v>amiris-config/data/future_LS_1.csv</v>
      </c>
      <c r="D2" t="s">
        <v>222</v>
      </c>
      <c r="E2" s="42">
        <f>1-SUM(E3:E8)</f>
        <v>0.8</v>
      </c>
      <c r="F2" s="16">
        <v>6</v>
      </c>
      <c r="H2">
        <f>E2*H14</f>
        <v>36800</v>
      </c>
      <c r="I2" s="16">
        <f>$G$14/F2</f>
        <v>7833.333333333333</v>
      </c>
      <c r="J2">
        <f>+I2*F2</f>
        <v>47000</v>
      </c>
    </row>
    <row r="3" spans="1:11">
      <c r="A3">
        <v>2</v>
      </c>
      <c r="B3" t="str">
        <f t="shared" si="0"/>
        <v>amiris-config/data/LS_2.csv</v>
      </c>
      <c r="C3" t="str">
        <f t="shared" si="1"/>
        <v>amiris-config/data/future_LS_2.csv</v>
      </c>
      <c r="D3" t="s">
        <v>222</v>
      </c>
      <c r="E3" s="42">
        <v>0.05</v>
      </c>
      <c r="F3" s="16">
        <v>10</v>
      </c>
      <c r="H3">
        <f>E3*H14+H2</f>
        <v>39100</v>
      </c>
      <c r="I3" s="16">
        <f>J3/F3</f>
        <v>4500</v>
      </c>
      <c r="J3">
        <v>45000</v>
      </c>
    </row>
    <row r="4" spans="1:11">
      <c r="A4">
        <v>3</v>
      </c>
      <c r="B4" t="str">
        <f t="shared" si="0"/>
        <v>amiris-config/data/LS_3.csv</v>
      </c>
      <c r="C4" t="str">
        <f t="shared" si="1"/>
        <v>amiris-config/data/future_LS_3.csv</v>
      </c>
      <c r="D4" t="s">
        <v>222</v>
      </c>
      <c r="E4" s="42">
        <v>0.05</v>
      </c>
      <c r="F4" s="16">
        <v>20</v>
      </c>
      <c r="H4">
        <f t="shared" ref="H4:H6" si="2">E4*43000+H3</f>
        <v>41250</v>
      </c>
      <c r="I4" s="16">
        <f>J4/F4</f>
        <v>2000</v>
      </c>
      <c r="J4">
        <v>40000</v>
      </c>
    </row>
    <row r="5" spans="1:11">
      <c r="A5">
        <v>4</v>
      </c>
      <c r="B5" t="str">
        <f t="shared" si="0"/>
        <v>amiris-config/data/LS_4.csv</v>
      </c>
      <c r="C5" t="str">
        <f t="shared" si="1"/>
        <v>amiris-config/data/future_LS_4.csv</v>
      </c>
      <c r="D5" t="s">
        <v>222</v>
      </c>
      <c r="E5" s="42">
        <v>0.05</v>
      </c>
      <c r="F5" s="16">
        <v>30</v>
      </c>
      <c r="H5">
        <f t="shared" si="2"/>
        <v>43400</v>
      </c>
      <c r="I5" s="16">
        <f t="shared" ref="I5" si="3">J5/F5</f>
        <v>1000</v>
      </c>
      <c r="J5">
        <v>30000</v>
      </c>
    </row>
    <row r="6" spans="1:11">
      <c r="A6">
        <v>5</v>
      </c>
      <c r="B6" t="str">
        <f t="shared" si="0"/>
        <v>amiris-config/data/LS_5.csv</v>
      </c>
      <c r="C6" t="str">
        <f t="shared" si="1"/>
        <v>amiris-config/data/future_LS_5.csv</v>
      </c>
      <c r="D6" t="s">
        <v>222</v>
      </c>
      <c r="E6" s="42">
        <v>0.05</v>
      </c>
      <c r="F6" s="16">
        <v>40</v>
      </c>
      <c r="H6">
        <f t="shared" si="2"/>
        <v>45550</v>
      </c>
      <c r="I6" s="16">
        <f>J6/F6</f>
        <v>500</v>
      </c>
      <c r="J6">
        <v>20000</v>
      </c>
    </row>
    <row r="7" spans="1:11">
      <c r="A7" t="s">
        <v>141</v>
      </c>
      <c r="B7" t="s">
        <v>223</v>
      </c>
      <c r="C7" t="s">
        <v>224</v>
      </c>
      <c r="D7">
        <f>29090</f>
        <v>29090</v>
      </c>
      <c r="E7" t="s">
        <v>222</v>
      </c>
      <c r="I7" t="s">
        <v>222</v>
      </c>
    </row>
    <row r="8" spans="1:11">
      <c r="E8" s="42"/>
      <c r="F8" s="16"/>
      <c r="I8" s="16"/>
    </row>
    <row r="13" spans="1:11">
      <c r="G13" s="47" t="s">
        <v>285</v>
      </c>
      <c r="H13" s="47" t="s">
        <v>418</v>
      </c>
    </row>
    <row r="14" spans="1:11">
      <c r="G14" s="47">
        <v>47000</v>
      </c>
      <c r="H14" s="47">
        <v>46000</v>
      </c>
    </row>
    <row r="19" spans="5:7">
      <c r="F19" s="42"/>
    </row>
    <row r="20" spans="5:7">
      <c r="F20" s="42"/>
      <c r="G20" s="16"/>
    </row>
    <row r="21" spans="5:7">
      <c r="F21" s="42"/>
    </row>
    <row r="22" spans="5:7">
      <c r="E22" s="16"/>
      <c r="F22" s="42"/>
    </row>
  </sheetData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24C87-F638-44E5-93E6-66127C8D89C9}">
  <sheetPr>
    <tabColor theme="0" tint="-4.9989318521683403E-2"/>
  </sheetPr>
  <dimension ref="A1:L21"/>
  <sheetViews>
    <sheetView workbookViewId="0">
      <selection activeCell="L14" sqref="L14"/>
    </sheetView>
  </sheetViews>
  <sheetFormatPr defaultRowHeight="15"/>
  <cols>
    <col min="1" max="1" width="13.85546875" customWidth="1"/>
    <col min="2" max="2" width="14.85546875" customWidth="1"/>
    <col min="3" max="3" width="43.28515625" customWidth="1"/>
    <col min="4" max="4" width="41.28515625" customWidth="1"/>
    <col min="5" max="5" width="20" customWidth="1"/>
    <col min="6" max="6" width="16.5703125" customWidth="1"/>
    <col min="7" max="7" width="17.7109375" customWidth="1"/>
    <col min="8" max="9" width="6.42578125" customWidth="1"/>
    <col min="10" max="10" width="50.28515625" customWidth="1"/>
    <col min="11" max="11" width="19.85546875" customWidth="1"/>
    <col min="12" max="12" width="15.7109375" customWidth="1"/>
    <col min="13" max="13" width="12.28515625" customWidth="1"/>
  </cols>
  <sheetData>
    <row r="1" spans="1:12" ht="17.45" customHeight="1">
      <c r="A1" t="s">
        <v>162</v>
      </c>
      <c r="B1" t="s">
        <v>221</v>
      </c>
      <c r="C1" t="s">
        <v>218</v>
      </c>
      <c r="D1" t="s">
        <v>219</v>
      </c>
      <c r="E1" t="s">
        <v>220</v>
      </c>
      <c r="F1" t="s">
        <v>242</v>
      </c>
      <c r="G1" t="s">
        <v>413</v>
      </c>
    </row>
    <row r="2" spans="1:12" ht="17.45" customHeight="1">
      <c r="A2" t="s">
        <v>422</v>
      </c>
      <c r="B2">
        <v>4000</v>
      </c>
      <c r="C2" t="s">
        <v>423</v>
      </c>
      <c r="D2" t="s">
        <v>424</v>
      </c>
      <c r="E2" t="s">
        <v>222</v>
      </c>
      <c r="F2" s="42">
        <f>1-F3-F4-F5</f>
        <v>0.79999999999999993</v>
      </c>
      <c r="G2">
        <f>$J$11/B2</f>
        <v>10</v>
      </c>
      <c r="I2">
        <f>G2*B2</f>
        <v>40000</v>
      </c>
      <c r="J2" t="s">
        <v>422</v>
      </c>
    </row>
    <row r="3" spans="1:12" ht="17.45" customHeight="1">
      <c r="A3" t="s">
        <v>425</v>
      </c>
      <c r="B3">
        <v>1500</v>
      </c>
      <c r="C3" t="s">
        <v>426</v>
      </c>
      <c r="D3" t="s">
        <v>427</v>
      </c>
      <c r="E3" t="s">
        <v>222</v>
      </c>
      <c r="F3" s="42">
        <v>0.1</v>
      </c>
      <c r="G3" s="16">
        <v>20</v>
      </c>
      <c r="H3" s="16"/>
      <c r="I3">
        <f t="shared" ref="I3:I5" si="0">G3*B3</f>
        <v>30000</v>
      </c>
      <c r="J3" t="s">
        <v>428</v>
      </c>
    </row>
    <row r="4" spans="1:12" ht="17.45" customHeight="1">
      <c r="A4" t="s">
        <v>429</v>
      </c>
      <c r="B4">
        <v>500</v>
      </c>
      <c r="C4" t="s">
        <v>430</v>
      </c>
      <c r="D4" t="s">
        <v>431</v>
      </c>
      <c r="E4" t="s">
        <v>222</v>
      </c>
      <c r="F4" s="42">
        <v>0.05</v>
      </c>
      <c r="G4">
        <v>100</v>
      </c>
      <c r="I4">
        <f t="shared" si="0"/>
        <v>50000</v>
      </c>
      <c r="J4" t="s">
        <v>383</v>
      </c>
    </row>
    <row r="5" spans="1:12" ht="17.45" customHeight="1">
      <c r="A5" t="s">
        <v>432</v>
      </c>
      <c r="B5">
        <v>250</v>
      </c>
      <c r="C5" t="s">
        <v>433</v>
      </c>
      <c r="D5" t="s">
        <v>434</v>
      </c>
      <c r="E5" s="16" t="s">
        <v>222</v>
      </c>
      <c r="F5" s="42">
        <v>0.05</v>
      </c>
      <c r="G5">
        <f t="shared" ref="G5" si="1">$J$11/B5</f>
        <v>160</v>
      </c>
      <c r="I5">
        <f t="shared" si="0"/>
        <v>40000</v>
      </c>
      <c r="J5" t="s">
        <v>435</v>
      </c>
      <c r="L5" t="s">
        <v>436</v>
      </c>
    </row>
    <row r="6" spans="1:12">
      <c r="A6" t="s">
        <v>141</v>
      </c>
      <c r="B6" t="s">
        <v>222</v>
      </c>
      <c r="C6" t="s">
        <v>223</v>
      </c>
      <c r="D6" t="s">
        <v>224</v>
      </c>
      <c r="E6">
        <f>29090</f>
        <v>29090</v>
      </c>
      <c r="F6" t="s">
        <v>222</v>
      </c>
      <c r="G6">
        <v>1000</v>
      </c>
      <c r="J6" t="s">
        <v>437</v>
      </c>
      <c r="K6" s="16">
        <f>LoadShifterCap!B3*12</f>
        <v>36756965</v>
      </c>
      <c r="L6">
        <f>45*0.74</f>
        <v>33.299999999999997</v>
      </c>
    </row>
    <row r="7" spans="1:12">
      <c r="E7" s="16"/>
      <c r="J7" t="s">
        <v>438</v>
      </c>
      <c r="K7">
        <f>K6*0.74</f>
        <v>27200154.100000001</v>
      </c>
    </row>
    <row r="8" spans="1:12">
      <c r="J8" s="16">
        <v>41070</v>
      </c>
      <c r="K8" t="s">
        <v>439</v>
      </c>
    </row>
    <row r="10" spans="1:12">
      <c r="J10" s="47" t="s">
        <v>285</v>
      </c>
    </row>
    <row r="11" spans="1:12">
      <c r="J11" s="47">
        <v>40000</v>
      </c>
    </row>
    <row r="13" spans="1:12">
      <c r="J13" t="s">
        <v>440</v>
      </c>
    </row>
    <row r="14" spans="1:12">
      <c r="J14">
        <f>AVERAGE(I2:I5)</f>
        <v>40000</v>
      </c>
    </row>
    <row r="16" spans="1:12">
      <c r="E16" s="24"/>
    </row>
    <row r="17" spans="3:5">
      <c r="D17" t="s">
        <v>441</v>
      </c>
    </row>
    <row r="18" spans="3:5">
      <c r="C18" s="42">
        <f>1-C19-C20-C21</f>
        <v>0.79999999999999993</v>
      </c>
      <c r="D18">
        <v>4000</v>
      </c>
    </row>
    <row r="19" spans="3:5">
      <c r="C19" s="42">
        <v>0.1</v>
      </c>
      <c r="D19">
        <v>1500</v>
      </c>
    </row>
    <row r="20" spans="3:5">
      <c r="C20" s="42">
        <v>0.05</v>
      </c>
      <c r="D20">
        <v>500</v>
      </c>
      <c r="E20" s="24"/>
    </row>
    <row r="21" spans="3:5">
      <c r="C21" s="42">
        <v>0.05</v>
      </c>
      <c r="D21">
        <v>250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680C-7127-4F76-B178-80E1C4A58065}">
  <dimension ref="A1:B8"/>
  <sheetViews>
    <sheetView workbookViewId="0">
      <selection activeCell="P33" sqref="P33"/>
    </sheetView>
  </sheetViews>
  <sheetFormatPr defaultRowHeight="15"/>
  <cols>
    <col min="1" max="1" width="26.5703125" customWidth="1"/>
    <col min="2" max="2" width="12.5703125" customWidth="1"/>
  </cols>
  <sheetData>
    <row r="1" spans="1:2">
      <c r="A1" t="s">
        <v>442</v>
      </c>
      <c r="B1" t="s">
        <v>443</v>
      </c>
    </row>
    <row r="2" spans="1:2">
      <c r="A2" s="3" t="s">
        <v>444</v>
      </c>
      <c r="B2" t="s">
        <v>183</v>
      </c>
    </row>
    <row r="3" spans="1:2">
      <c r="A3" t="s">
        <v>445</v>
      </c>
      <c r="B3" t="s">
        <v>446</v>
      </c>
    </row>
    <row r="4" spans="1:2">
      <c r="A4" t="s">
        <v>447</v>
      </c>
      <c r="B4" t="s">
        <v>331</v>
      </c>
    </row>
    <row r="5" spans="1:2">
      <c r="A5" t="s">
        <v>448</v>
      </c>
      <c r="B5" t="s">
        <v>331</v>
      </c>
    </row>
    <row r="6" spans="1:2">
      <c r="A6" t="s">
        <v>449</v>
      </c>
      <c r="B6" t="s">
        <v>450</v>
      </c>
    </row>
    <row r="7" spans="1:2">
      <c r="A7" t="s">
        <v>451</v>
      </c>
      <c r="B7" t="s">
        <v>450</v>
      </c>
    </row>
    <row r="8" spans="1:2">
      <c r="A8" t="s">
        <v>452</v>
      </c>
      <c r="B8" t="s">
        <v>453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28813-2529-412F-9E8D-3784EC3FE28E}">
  <sheetPr codeName="Sheet12"/>
  <dimension ref="A1:J12"/>
  <sheetViews>
    <sheetView zoomScale="70" zoomScaleNormal="70" workbookViewId="0">
      <selection activeCell="AE41" sqref="AE41"/>
    </sheetView>
  </sheetViews>
  <sheetFormatPr defaultRowHeight="15"/>
  <cols>
    <col min="1" max="1" width="42.140625" customWidth="1"/>
    <col min="3" max="3" width="12.5703125" customWidth="1"/>
    <col min="4" max="4" width="15.42578125" bestFit="1" customWidth="1"/>
    <col min="5" max="5" width="14" customWidth="1"/>
    <col min="6" max="6" width="1.85546875" customWidth="1"/>
    <col min="7" max="7" width="34.28515625" customWidth="1"/>
  </cols>
  <sheetData>
    <row r="1" spans="1:10" ht="26.45" customHeight="1">
      <c r="A1" t="s">
        <v>162</v>
      </c>
      <c r="B1" t="s">
        <v>454</v>
      </c>
      <c r="C1" t="s">
        <v>455</v>
      </c>
      <c r="D1" t="s">
        <v>456</v>
      </c>
      <c r="E1" t="s">
        <v>457</v>
      </c>
      <c r="G1" s="22" t="s">
        <v>458</v>
      </c>
    </row>
    <row r="2" spans="1:10">
      <c r="A2" t="s">
        <v>459</v>
      </c>
      <c r="B2">
        <v>1</v>
      </c>
      <c r="C2">
        <v>700</v>
      </c>
      <c r="D2">
        <v>700</v>
      </c>
      <c r="E2">
        <v>700</v>
      </c>
    </row>
    <row r="3" spans="1:10">
      <c r="A3" t="s">
        <v>460</v>
      </c>
      <c r="B3">
        <v>1</v>
      </c>
      <c r="C3">
        <f>D3</f>
        <v>10000</v>
      </c>
      <c r="D3">
        <v>10000</v>
      </c>
      <c r="E3">
        <v>0</v>
      </c>
    </row>
    <row r="4" spans="1:10">
      <c r="A4" t="s">
        <v>461</v>
      </c>
      <c r="B4">
        <v>1</v>
      </c>
      <c r="C4">
        <v>700</v>
      </c>
      <c r="D4">
        <v>700</v>
      </c>
      <c r="E4">
        <v>700</v>
      </c>
    </row>
    <row r="5" spans="1:10">
      <c r="A5" t="s">
        <v>462</v>
      </c>
      <c r="B5">
        <v>1</v>
      </c>
      <c r="C5">
        <f>D5</f>
        <v>10000</v>
      </c>
      <c r="D5">
        <v>10000</v>
      </c>
      <c r="E5">
        <v>0</v>
      </c>
      <c r="J5" s="10"/>
    </row>
    <row r="7" spans="1:10" ht="17.25">
      <c r="A7" t="s">
        <v>156</v>
      </c>
      <c r="B7">
        <v>10</v>
      </c>
      <c r="D7" s="16"/>
      <c r="E7" s="16">
        <v>290.54545454545456</v>
      </c>
      <c r="G7" s="37" t="s">
        <v>463</v>
      </c>
    </row>
    <row r="8" spans="1:10">
      <c r="A8" t="s">
        <v>158</v>
      </c>
      <c r="B8">
        <v>10</v>
      </c>
      <c r="D8" s="16"/>
      <c r="E8" s="16">
        <v>1821.6363636363637</v>
      </c>
    </row>
    <row r="9" spans="1:10">
      <c r="A9" t="s">
        <v>159</v>
      </c>
      <c r="B9">
        <v>10</v>
      </c>
      <c r="D9" s="16"/>
      <c r="E9" s="16">
        <v>1724.3181818181818</v>
      </c>
    </row>
    <row r="10" spans="1:10">
      <c r="A10" t="s">
        <v>156</v>
      </c>
      <c r="B10">
        <v>20</v>
      </c>
      <c r="E10">
        <v>228.4</v>
      </c>
    </row>
    <row r="11" spans="1:10">
      <c r="A11" t="s">
        <v>158</v>
      </c>
      <c r="B11">
        <v>20</v>
      </c>
      <c r="E11">
        <v>2450</v>
      </c>
    </row>
    <row r="12" spans="1:10">
      <c r="A12" t="s">
        <v>159</v>
      </c>
      <c r="B12">
        <v>20</v>
      </c>
      <c r="E12">
        <v>3298.8249999999998</v>
      </c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64CA-38BF-4F63-BFB5-13990522E0E3}">
  <sheetPr codeName="Sheet10"/>
  <dimension ref="A1:D2"/>
  <sheetViews>
    <sheetView workbookViewId="0">
      <selection activeCell="D17" sqref="D17"/>
    </sheetView>
  </sheetViews>
  <sheetFormatPr defaultRowHeight="15"/>
  <cols>
    <col min="1" max="1" width="16.140625" bestFit="1" customWidth="1"/>
    <col min="2" max="2" width="30.140625" bestFit="1" customWidth="1"/>
    <col min="3" max="3" width="31.140625" customWidth="1"/>
  </cols>
  <sheetData>
    <row r="1" spans="1:4">
      <c r="A1" t="s">
        <v>162</v>
      </c>
      <c r="B1" t="s">
        <v>464</v>
      </c>
      <c r="C1" t="s">
        <v>465</v>
      </c>
      <c r="D1" t="s">
        <v>466</v>
      </c>
    </row>
    <row r="2" spans="1:4">
      <c r="A2" t="s">
        <v>467</v>
      </c>
      <c r="B2">
        <v>1.2</v>
      </c>
      <c r="C2">
        <v>0.03</v>
      </c>
      <c r="D2">
        <v>0.8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A2868-6C0A-400A-8267-D7B39EA6F775}">
  <dimension ref="A1:P27"/>
  <sheetViews>
    <sheetView zoomScale="80" zoomScaleNormal="32" workbookViewId="0">
      <selection activeCell="L22" sqref="L22"/>
    </sheetView>
  </sheetViews>
  <sheetFormatPr defaultRowHeight="15"/>
  <cols>
    <col min="1" max="1" width="36" customWidth="1"/>
    <col min="2" max="2" width="8.5703125" customWidth="1"/>
    <col min="3" max="3" width="17.140625" customWidth="1"/>
    <col min="4" max="4" width="10.42578125" customWidth="1"/>
    <col min="8" max="8" width="11.5703125" customWidth="1"/>
  </cols>
  <sheetData>
    <row r="1" spans="1:16">
      <c r="A1" t="s">
        <v>468</v>
      </c>
      <c r="B1" t="s">
        <v>469</v>
      </c>
      <c r="C1" t="s">
        <v>470</v>
      </c>
      <c r="D1" t="s">
        <v>160</v>
      </c>
      <c r="E1" t="s">
        <v>471</v>
      </c>
    </row>
    <row r="2" spans="1:16">
      <c r="A2" t="s">
        <v>472</v>
      </c>
      <c r="B2" t="s">
        <v>157</v>
      </c>
      <c r="C2" t="s">
        <v>473</v>
      </c>
      <c r="D2" s="30">
        <v>2019</v>
      </c>
      <c r="E2" s="30">
        <f>(K8+K13)*1000</f>
        <v>10630</v>
      </c>
      <c r="F2" s="16"/>
      <c r="K2" s="16"/>
      <c r="L2" s="16"/>
    </row>
    <row r="3" spans="1:16">
      <c r="A3" t="s">
        <v>472</v>
      </c>
      <c r="B3" t="s">
        <v>157</v>
      </c>
      <c r="C3" t="s">
        <v>473</v>
      </c>
      <c r="D3" s="30">
        <v>2020</v>
      </c>
      <c r="E3" s="30">
        <f>(K9+K14)*1000</f>
        <v>10630</v>
      </c>
      <c r="F3" s="16"/>
      <c r="K3" s="16"/>
    </row>
    <row r="4" spans="1:16">
      <c r="A4" t="s">
        <v>472</v>
      </c>
      <c r="B4" t="s">
        <v>157</v>
      </c>
      <c r="C4" t="s">
        <v>473</v>
      </c>
      <c r="D4" s="30">
        <v>2030</v>
      </c>
      <c r="E4" s="30">
        <f>(K10+K15)*1000</f>
        <v>11100</v>
      </c>
      <c r="F4" s="16"/>
      <c r="K4" s="16"/>
      <c r="L4" s="16"/>
    </row>
    <row r="5" spans="1:16">
      <c r="A5" t="s">
        <v>472</v>
      </c>
      <c r="B5" t="s">
        <v>157</v>
      </c>
      <c r="C5" t="s">
        <v>473</v>
      </c>
      <c r="D5" s="30">
        <v>2040</v>
      </c>
      <c r="E5" s="30">
        <f>(K11+K16)*1000</f>
        <v>11570</v>
      </c>
      <c r="F5" s="30"/>
    </row>
    <row r="6" spans="1:16">
      <c r="A6" t="s">
        <v>472</v>
      </c>
      <c r="B6" t="s">
        <v>157</v>
      </c>
      <c r="C6" t="s">
        <v>473</v>
      </c>
      <c r="D6" s="30">
        <v>2050</v>
      </c>
      <c r="E6" s="30">
        <f>(K12+K17)*1000</f>
        <v>12040</v>
      </c>
      <c r="F6" s="30"/>
      <c r="H6" s="32"/>
      <c r="L6" s="29" t="s">
        <v>474</v>
      </c>
      <c r="M6" s="29" t="s">
        <v>475</v>
      </c>
      <c r="N6" s="29" t="s">
        <v>476</v>
      </c>
      <c r="O6" s="29" t="s">
        <v>477</v>
      </c>
      <c r="P6" s="29" t="s">
        <v>478</v>
      </c>
    </row>
    <row r="7" spans="1:16" ht="15" customHeight="1">
      <c r="A7" t="s">
        <v>472</v>
      </c>
      <c r="B7" t="s">
        <v>172</v>
      </c>
      <c r="C7" t="s">
        <v>473</v>
      </c>
      <c r="D7" s="30">
        <v>2019</v>
      </c>
      <c r="E7" s="30">
        <f>(J8+J13)*1000</f>
        <v>89450</v>
      </c>
      <c r="F7" s="30"/>
      <c r="H7" s="92" t="s">
        <v>479</v>
      </c>
      <c r="J7" s="31" t="s">
        <v>172</v>
      </c>
      <c r="K7" s="31" t="s">
        <v>157</v>
      </c>
      <c r="L7" s="31"/>
      <c r="M7" s="31"/>
      <c r="N7" s="31" t="s">
        <v>172</v>
      </c>
      <c r="O7" s="31" t="s">
        <v>157</v>
      </c>
      <c r="P7" s="31"/>
    </row>
    <row r="8" spans="1:16" ht="14.45" customHeight="1">
      <c r="A8" t="s">
        <v>472</v>
      </c>
      <c r="B8" t="s">
        <v>172</v>
      </c>
      <c r="C8" t="s">
        <v>473</v>
      </c>
      <c r="D8" s="30">
        <v>2020</v>
      </c>
      <c r="E8" s="30">
        <f>(J9+J14)*1000</f>
        <v>69440</v>
      </c>
      <c r="F8" s="30"/>
      <c r="H8" s="92"/>
      <c r="I8" s="30">
        <v>2019</v>
      </c>
      <c r="J8" s="30">
        <v>17.2</v>
      </c>
      <c r="K8" s="30">
        <v>7.66</v>
      </c>
      <c r="L8" t="s">
        <v>149</v>
      </c>
      <c r="M8">
        <v>2019</v>
      </c>
      <c r="N8">
        <v>110</v>
      </c>
      <c r="O8">
        <v>49</v>
      </c>
      <c r="P8" t="s">
        <v>237</v>
      </c>
    </row>
    <row r="9" spans="1:16" ht="14.45" customHeight="1">
      <c r="A9" t="s">
        <v>472</v>
      </c>
      <c r="B9" t="s">
        <v>172</v>
      </c>
      <c r="C9" t="s">
        <v>473</v>
      </c>
      <c r="D9" s="30">
        <v>2030</v>
      </c>
      <c r="E9" s="30">
        <f>(J10+J15)*1000</f>
        <v>65680</v>
      </c>
      <c r="F9" s="30"/>
      <c r="H9" s="92"/>
      <c r="I9" s="30">
        <v>2020</v>
      </c>
      <c r="J9" s="30">
        <v>17.05</v>
      </c>
      <c r="K9" s="30">
        <v>7.66</v>
      </c>
      <c r="L9" t="s">
        <v>149</v>
      </c>
      <c r="M9">
        <v>2020</v>
      </c>
      <c r="N9">
        <v>109</v>
      </c>
      <c r="O9">
        <v>49</v>
      </c>
      <c r="P9" t="s">
        <v>237</v>
      </c>
    </row>
    <row r="10" spans="1:16">
      <c r="A10" t="s">
        <v>472</v>
      </c>
      <c r="B10" t="s">
        <v>172</v>
      </c>
      <c r="C10" t="s">
        <v>473</v>
      </c>
      <c r="D10" s="30">
        <v>2040</v>
      </c>
      <c r="E10" s="30">
        <f>(J11+J16)*1000</f>
        <v>64430.000000000007</v>
      </c>
      <c r="F10" s="16"/>
      <c r="H10" s="92"/>
      <c r="I10" s="30">
        <v>2030</v>
      </c>
      <c r="J10" s="30">
        <v>17.36</v>
      </c>
      <c r="K10" s="30">
        <v>7.66</v>
      </c>
      <c r="L10" t="s">
        <v>149</v>
      </c>
      <c r="M10">
        <v>2030</v>
      </c>
      <c r="N10">
        <v>111</v>
      </c>
      <c r="O10">
        <v>49</v>
      </c>
      <c r="P10" t="s">
        <v>237</v>
      </c>
    </row>
    <row r="11" spans="1:16">
      <c r="A11" t="s">
        <v>472</v>
      </c>
      <c r="B11" t="s">
        <v>172</v>
      </c>
      <c r="C11" t="s">
        <v>473</v>
      </c>
      <c r="D11" s="30">
        <v>2050</v>
      </c>
      <c r="E11" s="30">
        <f>(J12+J17)*1000</f>
        <v>68340</v>
      </c>
      <c r="H11" s="92"/>
      <c r="I11" s="30">
        <v>2040</v>
      </c>
      <c r="J11" s="30">
        <v>17.670000000000002</v>
      </c>
      <c r="K11" s="30">
        <v>7.66</v>
      </c>
      <c r="L11" t="s">
        <v>149</v>
      </c>
      <c r="M11">
        <v>2040</v>
      </c>
      <c r="N11">
        <v>113</v>
      </c>
      <c r="O11">
        <v>49</v>
      </c>
      <c r="P11" t="s">
        <v>237</v>
      </c>
    </row>
    <row r="12" spans="1:16">
      <c r="F12" s="16"/>
      <c r="H12" s="92"/>
      <c r="I12" s="30">
        <v>2050</v>
      </c>
      <c r="J12" s="30">
        <v>18.14</v>
      </c>
      <c r="K12" s="30">
        <v>7.66</v>
      </c>
      <c r="L12" t="s">
        <v>149</v>
      </c>
      <c r="M12">
        <v>2050</v>
      </c>
      <c r="N12">
        <v>116</v>
      </c>
      <c r="O12">
        <v>49</v>
      </c>
      <c r="P12" t="s">
        <v>237</v>
      </c>
    </row>
    <row r="13" spans="1:16">
      <c r="F13" s="30"/>
      <c r="H13" s="92"/>
      <c r="I13" s="30">
        <v>2019</v>
      </c>
      <c r="J13" s="30">
        <v>72.25</v>
      </c>
      <c r="K13" s="30">
        <v>2.97</v>
      </c>
      <c r="L13" s="30" t="s">
        <v>480</v>
      </c>
      <c r="M13">
        <v>2019</v>
      </c>
      <c r="N13">
        <v>462</v>
      </c>
      <c r="O13">
        <v>19</v>
      </c>
      <c r="P13" t="s">
        <v>237</v>
      </c>
    </row>
    <row r="14" spans="1:16">
      <c r="F14" s="30"/>
      <c r="H14" s="92"/>
      <c r="I14" s="30">
        <v>2020</v>
      </c>
      <c r="J14" s="30">
        <v>52.39</v>
      </c>
      <c r="K14" s="30">
        <v>2.97</v>
      </c>
      <c r="L14" s="30" t="s">
        <v>480</v>
      </c>
      <c r="M14">
        <v>2020</v>
      </c>
      <c r="N14">
        <v>335</v>
      </c>
      <c r="O14">
        <v>19</v>
      </c>
      <c r="P14" t="s">
        <v>237</v>
      </c>
    </row>
    <row r="15" spans="1:16">
      <c r="F15" s="30"/>
      <c r="H15" s="92"/>
      <c r="I15" s="30">
        <v>2030</v>
      </c>
      <c r="J15" s="30">
        <v>48.32</v>
      </c>
      <c r="K15" s="30">
        <v>3.44</v>
      </c>
      <c r="L15" s="30" t="s">
        <v>480</v>
      </c>
      <c r="M15">
        <v>2030</v>
      </c>
      <c r="N15">
        <v>309</v>
      </c>
      <c r="O15">
        <v>22</v>
      </c>
      <c r="P15" t="s">
        <v>237</v>
      </c>
    </row>
    <row r="16" spans="1:16">
      <c r="F16" s="30"/>
      <c r="H16" s="92"/>
      <c r="I16" s="30">
        <v>2040</v>
      </c>
      <c r="J16" s="30">
        <v>46.76</v>
      </c>
      <c r="K16" s="30">
        <v>3.91</v>
      </c>
      <c r="L16" s="30" t="s">
        <v>480</v>
      </c>
      <c r="M16">
        <v>2040</v>
      </c>
      <c r="N16">
        <v>299</v>
      </c>
      <c r="O16">
        <v>25</v>
      </c>
      <c r="P16" t="s">
        <v>237</v>
      </c>
    </row>
    <row r="17" spans="5:16">
      <c r="F17" s="30"/>
      <c r="H17" s="92"/>
      <c r="I17" s="30">
        <v>2050</v>
      </c>
      <c r="J17" s="30">
        <v>50.2</v>
      </c>
      <c r="K17" s="30">
        <v>4.38</v>
      </c>
      <c r="L17" s="30" t="s">
        <v>480</v>
      </c>
      <c r="M17">
        <v>2050</v>
      </c>
      <c r="N17">
        <v>321</v>
      </c>
      <c r="O17">
        <v>28</v>
      </c>
      <c r="P17" t="s">
        <v>237</v>
      </c>
    </row>
    <row r="20" spans="5:16">
      <c r="E20" s="16"/>
      <c r="F20" s="16"/>
      <c r="I20" s="30"/>
      <c r="J20" s="30"/>
      <c r="K20" s="30"/>
      <c r="L20" s="30"/>
      <c r="M20" s="30"/>
      <c r="N20" s="30"/>
      <c r="O20" s="30"/>
    </row>
    <row r="21" spans="5:16">
      <c r="I21" s="30"/>
      <c r="J21" s="30"/>
      <c r="K21" s="30"/>
      <c r="L21" s="30"/>
      <c r="M21" s="30"/>
      <c r="N21" s="30"/>
      <c r="O21" s="30"/>
    </row>
    <row r="22" spans="5:16">
      <c r="I22" s="30"/>
      <c r="J22" s="30"/>
      <c r="K22" s="30"/>
      <c r="L22" s="30"/>
      <c r="M22" s="30"/>
      <c r="N22" s="30"/>
      <c r="O22" s="30"/>
    </row>
    <row r="23" spans="5:16">
      <c r="I23" s="30"/>
      <c r="J23" s="30"/>
      <c r="K23" s="30"/>
      <c r="L23" s="30"/>
      <c r="M23" s="30"/>
      <c r="N23" s="30"/>
      <c r="O23" s="30"/>
    </row>
    <row r="24" spans="5:16">
      <c r="I24" s="30"/>
      <c r="J24" s="30"/>
      <c r="K24" s="30"/>
      <c r="L24" s="30"/>
      <c r="M24" s="30"/>
      <c r="N24" s="30"/>
      <c r="O24" s="30"/>
    </row>
    <row r="25" spans="5:16">
      <c r="I25" s="30"/>
      <c r="J25" s="30"/>
      <c r="K25" s="30"/>
      <c r="L25" s="30"/>
      <c r="M25" s="30"/>
      <c r="N25" s="30"/>
      <c r="O25" s="30"/>
    </row>
    <row r="26" spans="5:16">
      <c r="I26" s="30"/>
      <c r="J26" s="30"/>
      <c r="K26" s="30"/>
      <c r="L26" s="30"/>
      <c r="M26" s="30"/>
      <c r="N26" s="30"/>
      <c r="O26" s="30"/>
    </row>
    <row r="27" spans="5:16">
      <c r="I27" s="30"/>
      <c r="J27" s="30"/>
      <c r="K27" s="30"/>
      <c r="L27" s="30"/>
      <c r="M27" s="30"/>
      <c r="N27" s="30"/>
      <c r="O27" s="30"/>
    </row>
  </sheetData>
  <mergeCells count="1">
    <mergeCell ref="H7:H17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ECF4-B82C-472B-8909-98C4F7647AE2}">
  <dimension ref="A1:D33"/>
  <sheetViews>
    <sheetView topLeftCell="A4" workbookViewId="0">
      <selection activeCell="X38" sqref="X38"/>
    </sheetView>
  </sheetViews>
  <sheetFormatPr defaultRowHeight="15"/>
  <cols>
    <col min="3" max="3" width="12.5703125" customWidth="1"/>
  </cols>
  <sheetData>
    <row r="1" spans="1:4">
      <c r="A1" t="s">
        <v>160</v>
      </c>
      <c r="B1" t="s">
        <v>481</v>
      </c>
      <c r="C1" t="s">
        <v>482</v>
      </c>
      <c r="D1" t="s">
        <v>308</v>
      </c>
    </row>
    <row r="2" spans="1:4">
      <c r="A2" s="23">
        <v>2019</v>
      </c>
      <c r="B2" s="24">
        <v>290.54545454545456</v>
      </c>
      <c r="C2" s="24">
        <v>1821.6363636363637</v>
      </c>
      <c r="D2" s="24">
        <v>1724.3181818181818</v>
      </c>
    </row>
    <row r="3" spans="1:4">
      <c r="A3">
        <v>2020</v>
      </c>
      <c r="B3" s="24">
        <v>290.54545454545456</v>
      </c>
      <c r="C3" s="24">
        <v>1821.6363636363637</v>
      </c>
      <c r="D3" s="24">
        <v>1724.3181818181818</v>
      </c>
    </row>
    <row r="4" spans="1:4">
      <c r="A4" s="23">
        <v>2021</v>
      </c>
      <c r="B4" s="24">
        <v>290.54545454545456</v>
      </c>
      <c r="C4" s="24">
        <v>1821.6363636363637</v>
      </c>
      <c r="D4" s="24">
        <v>1724.3181818181818</v>
      </c>
    </row>
    <row r="5" spans="1:4">
      <c r="A5">
        <v>2022</v>
      </c>
      <c r="B5" s="24">
        <v>290.54545454545456</v>
      </c>
      <c r="C5" s="24">
        <v>1821.6363636363637</v>
      </c>
      <c r="D5" s="24">
        <v>1724.3181818181818</v>
      </c>
    </row>
    <row r="6" spans="1:4">
      <c r="A6" s="23">
        <v>2023</v>
      </c>
      <c r="B6" s="24">
        <v>290.54545454545456</v>
      </c>
      <c r="C6" s="24">
        <v>1821.6363636363637</v>
      </c>
      <c r="D6" s="24">
        <v>1724.3181818181818</v>
      </c>
    </row>
    <row r="7" spans="1:4">
      <c r="A7">
        <v>2024</v>
      </c>
      <c r="B7" s="24">
        <v>290.54545454545456</v>
      </c>
      <c r="C7" s="24">
        <v>1821.6363636363637</v>
      </c>
      <c r="D7" s="24">
        <v>1724.3181818181818</v>
      </c>
    </row>
    <row r="8" spans="1:4">
      <c r="A8" s="23">
        <v>2025</v>
      </c>
      <c r="B8" s="24">
        <v>290.54545454545456</v>
      </c>
      <c r="C8" s="24">
        <v>1821.6363636363637</v>
      </c>
      <c r="D8" s="24">
        <v>1724.3181818181818</v>
      </c>
    </row>
    <row r="9" spans="1:4">
      <c r="A9">
        <v>2026</v>
      </c>
      <c r="B9" s="24">
        <v>290.54545454545456</v>
      </c>
      <c r="C9" s="24">
        <v>1821.6363636363637</v>
      </c>
      <c r="D9" s="24">
        <v>1724.3181818181818</v>
      </c>
    </row>
    <row r="10" spans="1:4">
      <c r="A10" s="23">
        <v>2027</v>
      </c>
      <c r="B10" s="24">
        <v>290.54545454545456</v>
      </c>
      <c r="C10" s="24">
        <v>1821.6363636363637</v>
      </c>
      <c r="D10" s="24">
        <v>1724.3181818181818</v>
      </c>
    </row>
    <row r="11" spans="1:4">
      <c r="A11">
        <v>2028</v>
      </c>
      <c r="B11" s="24">
        <v>290.54545454545456</v>
      </c>
      <c r="C11" s="24">
        <v>1821.6363636363637</v>
      </c>
      <c r="D11" s="24">
        <v>1724.3181818181818</v>
      </c>
    </row>
    <row r="12" spans="1:4">
      <c r="A12">
        <v>2029</v>
      </c>
      <c r="B12" s="24">
        <v>290.54545454545456</v>
      </c>
      <c r="C12" s="24">
        <v>1821.6363636363637</v>
      </c>
      <c r="D12" s="24">
        <v>1724.3181818181818</v>
      </c>
    </row>
    <row r="13" spans="1:4">
      <c r="A13" s="23">
        <v>2030</v>
      </c>
      <c r="B13" s="24">
        <v>228.4</v>
      </c>
      <c r="C13" s="24">
        <v>2450</v>
      </c>
      <c r="D13" s="24">
        <v>3298.8249999999998</v>
      </c>
    </row>
    <row r="14" spans="1:4">
      <c r="A14" s="23">
        <v>2031</v>
      </c>
      <c r="B14" s="24">
        <v>228.4</v>
      </c>
      <c r="C14" s="24">
        <v>2450</v>
      </c>
      <c r="D14" s="24">
        <v>3298.8249999999998</v>
      </c>
    </row>
    <row r="15" spans="1:4">
      <c r="A15">
        <v>2032</v>
      </c>
      <c r="B15" s="24">
        <v>228.4</v>
      </c>
      <c r="C15" s="24">
        <v>2450</v>
      </c>
      <c r="D15" s="24">
        <v>3298.8249999999998</v>
      </c>
    </row>
    <row r="16" spans="1:4">
      <c r="A16">
        <v>2033</v>
      </c>
      <c r="B16" s="24">
        <v>228.4</v>
      </c>
      <c r="C16" s="24">
        <v>2450</v>
      </c>
      <c r="D16" s="24">
        <v>3298.8249999999998</v>
      </c>
    </row>
    <row r="17" spans="1:4">
      <c r="A17" s="23">
        <v>2034</v>
      </c>
      <c r="B17" s="24">
        <v>228.4</v>
      </c>
      <c r="C17" s="24">
        <v>2450</v>
      </c>
      <c r="D17" s="24">
        <v>3298.8249999999998</v>
      </c>
    </row>
    <row r="18" spans="1:4">
      <c r="A18" s="23">
        <v>2035</v>
      </c>
      <c r="B18" s="24">
        <v>228.4</v>
      </c>
      <c r="C18" s="24">
        <v>2450</v>
      </c>
      <c r="D18" s="24">
        <v>3298.8249999999998</v>
      </c>
    </row>
    <row r="19" spans="1:4">
      <c r="A19">
        <v>2036</v>
      </c>
      <c r="B19" s="24">
        <v>228.4</v>
      </c>
      <c r="C19" s="24">
        <v>2450</v>
      </c>
      <c r="D19" s="24">
        <v>3298.8249999999998</v>
      </c>
    </row>
    <row r="20" spans="1:4">
      <c r="A20">
        <v>2037</v>
      </c>
      <c r="B20" s="24">
        <v>228.4</v>
      </c>
      <c r="C20" s="24">
        <v>2450</v>
      </c>
      <c r="D20" s="24">
        <v>3298.8249999999998</v>
      </c>
    </row>
    <row r="21" spans="1:4">
      <c r="A21" s="23">
        <v>2038</v>
      </c>
      <c r="B21" s="24">
        <v>228.4</v>
      </c>
      <c r="C21" s="24">
        <v>2450</v>
      </c>
      <c r="D21" s="24">
        <v>3298.8249999999998</v>
      </c>
    </row>
    <row r="22" spans="1:4">
      <c r="A22" s="23">
        <v>2039</v>
      </c>
      <c r="B22" s="24">
        <v>228.4</v>
      </c>
      <c r="C22" s="24">
        <v>2450</v>
      </c>
      <c r="D22" s="24">
        <v>3298.8249999999998</v>
      </c>
    </row>
    <row r="23" spans="1:4">
      <c r="A23">
        <v>2040</v>
      </c>
      <c r="B23" s="24">
        <v>228.4</v>
      </c>
      <c r="C23" s="24">
        <v>2450</v>
      </c>
      <c r="D23" s="24">
        <v>3298.8249999999998</v>
      </c>
    </row>
    <row r="24" spans="1:4">
      <c r="A24">
        <v>2041</v>
      </c>
      <c r="B24" s="24">
        <v>228.4</v>
      </c>
      <c r="C24" s="24">
        <v>2450</v>
      </c>
      <c r="D24" s="24">
        <v>3298.8249999999998</v>
      </c>
    </row>
    <row r="25" spans="1:4">
      <c r="A25" s="23">
        <v>2042</v>
      </c>
      <c r="B25" s="24">
        <v>228.4</v>
      </c>
      <c r="C25" s="24">
        <v>2450</v>
      </c>
      <c r="D25" s="24">
        <v>3298.8249999999998</v>
      </c>
    </row>
    <row r="26" spans="1:4">
      <c r="A26" s="23">
        <v>2043</v>
      </c>
      <c r="B26" s="24">
        <v>228.4</v>
      </c>
      <c r="C26" s="24">
        <v>2450</v>
      </c>
      <c r="D26" s="24">
        <v>3298.8249999999998</v>
      </c>
    </row>
    <row r="27" spans="1:4">
      <c r="A27">
        <v>2044</v>
      </c>
      <c r="B27" s="24">
        <v>228.4</v>
      </c>
      <c r="C27" s="24">
        <v>2450</v>
      </c>
      <c r="D27" s="24">
        <v>3298.8249999999998</v>
      </c>
    </row>
    <row r="28" spans="1:4">
      <c r="A28">
        <v>2045</v>
      </c>
      <c r="B28" s="24">
        <v>228.4</v>
      </c>
      <c r="C28" s="24">
        <v>2450</v>
      </c>
      <c r="D28" s="24">
        <v>3298.8249999999998</v>
      </c>
    </row>
    <row r="29" spans="1:4">
      <c r="A29" s="23">
        <v>2046</v>
      </c>
      <c r="B29" s="24">
        <v>228.4</v>
      </c>
      <c r="C29" s="24">
        <v>2450</v>
      </c>
      <c r="D29" s="24">
        <v>3298.8249999999998</v>
      </c>
    </row>
    <row r="30" spans="1:4">
      <c r="A30" s="23">
        <v>2047</v>
      </c>
      <c r="B30" s="24">
        <v>228.4</v>
      </c>
      <c r="C30" s="24">
        <v>2450</v>
      </c>
      <c r="D30" s="24">
        <v>3298.8249999999998</v>
      </c>
    </row>
    <row r="31" spans="1:4">
      <c r="A31">
        <v>2048</v>
      </c>
      <c r="B31" s="24">
        <v>228.4</v>
      </c>
      <c r="C31" s="24">
        <v>2450</v>
      </c>
      <c r="D31" s="24">
        <v>3298.8249999999998</v>
      </c>
    </row>
    <row r="32" spans="1:4">
      <c r="A32">
        <v>2049</v>
      </c>
      <c r="B32" s="24">
        <v>228.4</v>
      </c>
      <c r="C32" s="24">
        <v>2450</v>
      </c>
      <c r="D32" s="24">
        <v>3298.8249999999998</v>
      </c>
    </row>
    <row r="33" spans="1:4">
      <c r="A33" s="23">
        <v>2050</v>
      </c>
      <c r="B33" s="24">
        <v>228.4</v>
      </c>
      <c r="C33" s="24">
        <v>2450</v>
      </c>
      <c r="D33" s="24">
        <v>3298.8249999999998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C72D5-D8E1-43EA-BE54-242450B2B9B7}">
  <dimension ref="A1:D12"/>
  <sheetViews>
    <sheetView workbookViewId="0">
      <selection activeCell="D17" sqref="D17"/>
    </sheetView>
  </sheetViews>
  <sheetFormatPr defaultRowHeight="15"/>
  <cols>
    <col min="4" max="4" width="21.28515625" customWidth="1"/>
  </cols>
  <sheetData>
    <row r="1" spans="1:4">
      <c r="A1" t="s">
        <v>160</v>
      </c>
      <c r="B1" t="s">
        <v>172</v>
      </c>
      <c r="D1" t="s">
        <v>483</v>
      </c>
    </row>
    <row r="2" spans="1:4">
      <c r="A2">
        <v>2019</v>
      </c>
      <c r="B2">
        <v>19.7</v>
      </c>
      <c r="D2" t="s">
        <v>484</v>
      </c>
    </row>
    <row r="3" spans="1:4">
      <c r="A3">
        <v>2020</v>
      </c>
      <c r="B3">
        <v>20.399999999999999</v>
      </c>
      <c r="D3" t="s">
        <v>484</v>
      </c>
    </row>
    <row r="4" spans="1:4">
      <c r="A4">
        <v>2021</v>
      </c>
      <c r="B4">
        <v>21.7</v>
      </c>
      <c r="D4" t="s">
        <v>484</v>
      </c>
    </row>
    <row r="5" spans="1:4">
      <c r="A5">
        <v>2030</v>
      </c>
      <c r="B5">
        <v>53</v>
      </c>
      <c r="D5" t="s">
        <v>484</v>
      </c>
    </row>
    <row r="6" spans="1:4">
      <c r="A6">
        <v>2040</v>
      </c>
      <c r="B6">
        <v>100</v>
      </c>
      <c r="D6" t="s">
        <v>484</v>
      </c>
    </row>
    <row r="7" spans="1:4">
      <c r="A7">
        <v>2050</v>
      </c>
      <c r="B7">
        <v>120</v>
      </c>
      <c r="D7" t="s">
        <v>484</v>
      </c>
    </row>
    <row r="8" spans="1:4" ht="15.75" thickBot="1"/>
    <row r="9" spans="1:4" ht="15.75" thickBot="1">
      <c r="A9" s="25"/>
      <c r="B9" s="25"/>
      <c r="C9" s="26"/>
    </row>
    <row r="10" spans="1:4" ht="15.75" thickBot="1">
      <c r="A10" s="25"/>
      <c r="B10" s="25"/>
      <c r="C10" s="26"/>
    </row>
    <row r="11" spans="1:4" ht="15.75" thickBot="1">
      <c r="A11" s="25"/>
      <c r="B11" s="25"/>
      <c r="C11" s="26"/>
    </row>
    <row r="12" spans="1:4" ht="15.75" thickBot="1">
      <c r="A12" s="25"/>
      <c r="B12" s="25"/>
      <c r="C12" s="26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578E0-45F6-4EAA-AF82-3BD15E24AE87}">
  <sheetPr>
    <tabColor rgb="FFFF0000"/>
  </sheetPr>
  <dimension ref="A1:O31"/>
  <sheetViews>
    <sheetView workbookViewId="0">
      <selection activeCell="A12" sqref="A12"/>
    </sheetView>
  </sheetViews>
  <sheetFormatPr defaultRowHeight="15"/>
  <cols>
    <col min="1" max="1" width="28.140625" customWidth="1"/>
  </cols>
  <sheetData>
    <row r="1" spans="1:15" ht="75">
      <c r="A1" s="4" t="s">
        <v>276</v>
      </c>
      <c r="B1" s="5" t="s">
        <v>34</v>
      </c>
      <c r="D1" t="s">
        <v>162</v>
      </c>
      <c r="E1" t="s">
        <v>454</v>
      </c>
      <c r="F1" t="s">
        <v>455</v>
      </c>
      <c r="G1" t="s">
        <v>456</v>
      </c>
      <c r="H1" t="s">
        <v>457</v>
      </c>
      <c r="L1" t="s">
        <v>485</v>
      </c>
      <c r="M1" t="s">
        <v>486</v>
      </c>
      <c r="N1" t="s">
        <v>422</v>
      </c>
      <c r="O1">
        <v>93.904775180000001</v>
      </c>
    </row>
    <row r="2" spans="1:15">
      <c r="A2" t="s">
        <v>472</v>
      </c>
      <c r="B2">
        <v>0.01</v>
      </c>
      <c r="D2" t="s">
        <v>87</v>
      </c>
      <c r="E2">
        <v>1</v>
      </c>
      <c r="F2">
        <v>0</v>
      </c>
      <c r="G2">
        <v>0</v>
      </c>
      <c r="H2">
        <v>0</v>
      </c>
      <c r="L2" t="s">
        <v>487</v>
      </c>
      <c r="M2" t="s">
        <v>486</v>
      </c>
      <c r="N2" t="s">
        <v>422</v>
      </c>
      <c r="O2">
        <v>97.012060739999995</v>
      </c>
    </row>
    <row r="3" spans="1:15">
      <c r="A3" t="s">
        <v>488</v>
      </c>
      <c r="D3" t="s">
        <v>88</v>
      </c>
      <c r="E3">
        <v>1</v>
      </c>
      <c r="F3">
        <v>41000000</v>
      </c>
      <c r="G3">
        <v>0</v>
      </c>
      <c r="H3">
        <v>-1000000</v>
      </c>
      <c r="L3" t="s">
        <v>489</v>
      </c>
      <c r="M3" t="s">
        <v>486</v>
      </c>
      <c r="N3" t="s">
        <v>422</v>
      </c>
      <c r="O3">
        <v>796.91070000000002</v>
      </c>
    </row>
    <row r="4" spans="1:15">
      <c r="A4" t="s">
        <v>490</v>
      </c>
      <c r="B4">
        <v>0.01</v>
      </c>
      <c r="D4" t="s">
        <v>89</v>
      </c>
      <c r="E4">
        <v>1</v>
      </c>
      <c r="F4">
        <v>0</v>
      </c>
      <c r="G4">
        <v>0</v>
      </c>
      <c r="H4">
        <v>0</v>
      </c>
      <c r="L4" t="s">
        <v>490</v>
      </c>
      <c r="M4" t="s">
        <v>486</v>
      </c>
      <c r="N4" t="s">
        <v>422</v>
      </c>
      <c r="O4">
        <v>10.29</v>
      </c>
    </row>
    <row r="5" spans="1:15">
      <c r="A5" t="s">
        <v>491</v>
      </c>
      <c r="B5">
        <v>0.01</v>
      </c>
      <c r="D5" t="s">
        <v>492</v>
      </c>
      <c r="E5">
        <v>1</v>
      </c>
      <c r="F5">
        <v>1000000</v>
      </c>
      <c r="G5">
        <v>0</v>
      </c>
      <c r="H5">
        <v>0</v>
      </c>
      <c r="L5" t="s">
        <v>491</v>
      </c>
      <c r="M5" t="s">
        <v>486</v>
      </c>
      <c r="N5" t="s">
        <v>422</v>
      </c>
      <c r="O5">
        <v>42.191125290000002</v>
      </c>
    </row>
    <row r="6" spans="1:15">
      <c r="A6" t="s">
        <v>493</v>
      </c>
      <c r="D6" t="s">
        <v>494</v>
      </c>
      <c r="E6">
        <v>1</v>
      </c>
      <c r="F6">
        <f>F3*0.8</f>
        <v>32800000</v>
      </c>
      <c r="G6">
        <v>0</v>
      </c>
      <c r="H6">
        <v>-1200000</v>
      </c>
    </row>
    <row r="7" spans="1:15">
      <c r="A7" t="s">
        <v>485</v>
      </c>
      <c r="D7" t="s">
        <v>495</v>
      </c>
      <c r="E7">
        <v>1</v>
      </c>
      <c r="F7">
        <f>F3*0.2</f>
        <v>8200000</v>
      </c>
      <c r="G7">
        <v>0</v>
      </c>
      <c r="H7">
        <v>-800000</v>
      </c>
    </row>
    <row r="8" spans="1:15">
      <c r="A8" t="s">
        <v>487</v>
      </c>
    </row>
    <row r="9" spans="1:15">
      <c r="A9" t="s">
        <v>489</v>
      </c>
      <c r="B9">
        <v>0.01</v>
      </c>
    </row>
    <row r="10" spans="1:15">
      <c r="A10" t="s">
        <v>496</v>
      </c>
    </row>
    <row r="11" spans="1:15">
      <c r="A11" t="s">
        <v>497</v>
      </c>
    </row>
    <row r="12" spans="1:15">
      <c r="A12" t="s">
        <v>498</v>
      </c>
    </row>
    <row r="13" spans="1:15">
      <c r="A13" t="s">
        <v>499</v>
      </c>
    </row>
    <row r="14" spans="1:15">
      <c r="A14" t="s">
        <v>500</v>
      </c>
      <c r="B14">
        <v>0.01</v>
      </c>
    </row>
    <row r="15" spans="1:15">
      <c r="A15" t="s">
        <v>501</v>
      </c>
    </row>
    <row r="16" spans="1:15">
      <c r="A16" t="s">
        <v>502</v>
      </c>
      <c r="B16">
        <f t="shared" ref="B16" si="0">B14</f>
        <v>0.01</v>
      </c>
    </row>
    <row r="17" spans="1:2">
      <c r="A17" t="s">
        <v>503</v>
      </c>
    </row>
    <row r="18" spans="1:2">
      <c r="A18" t="s">
        <v>102</v>
      </c>
      <c r="B18">
        <v>0.01</v>
      </c>
    </row>
    <row r="19" spans="1:2">
      <c r="A19" t="s">
        <v>504</v>
      </c>
    </row>
    <row r="20" spans="1:2">
      <c r="A20" t="s">
        <v>505</v>
      </c>
    </row>
    <row r="21" spans="1:2">
      <c r="A21" t="s">
        <v>506</v>
      </c>
    </row>
    <row r="22" spans="1:2">
      <c r="A22" t="s">
        <v>114</v>
      </c>
      <c r="B22">
        <v>0.01</v>
      </c>
    </row>
    <row r="23" spans="1:2">
      <c r="A23" t="s">
        <v>507</v>
      </c>
    </row>
    <row r="24" spans="1:2">
      <c r="A24" t="s">
        <v>508</v>
      </c>
    </row>
    <row r="25" spans="1:2">
      <c r="A25" t="s">
        <v>115</v>
      </c>
      <c r="B25">
        <v>0.01</v>
      </c>
    </row>
    <row r="26" spans="1:2">
      <c r="A26" t="s">
        <v>509</v>
      </c>
    </row>
    <row r="27" spans="1:2" ht="12.95" customHeight="1">
      <c r="A27" s="2" t="s">
        <v>510</v>
      </c>
      <c r="B27" s="8">
        <v>0.2</v>
      </c>
    </row>
    <row r="28" spans="1:2">
      <c r="A28" s="2" t="s">
        <v>511</v>
      </c>
      <c r="B28" s="8">
        <v>0.2</v>
      </c>
    </row>
    <row r="29" spans="1:2">
      <c r="A29" s="11" t="s">
        <v>512</v>
      </c>
      <c r="B29">
        <v>0.01</v>
      </c>
    </row>
    <row r="30" spans="1:2">
      <c r="A30" s="11" t="s">
        <v>513</v>
      </c>
      <c r="B30">
        <v>0.01</v>
      </c>
    </row>
    <row r="31" spans="1:2">
      <c r="A31" s="11" t="s">
        <v>274</v>
      </c>
      <c r="B31">
        <v>0.01</v>
      </c>
    </row>
  </sheetData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71717-278B-4644-BAD2-A2A25F8FFD18}">
  <sheetPr>
    <tabColor theme="7" tint="0.79998168889431442"/>
  </sheetPr>
  <dimension ref="A1:AO90"/>
  <sheetViews>
    <sheetView zoomScale="85" zoomScaleNormal="85" workbookViewId="0">
      <selection activeCell="AC24" sqref="AC24"/>
    </sheetView>
  </sheetViews>
  <sheetFormatPr defaultRowHeight="15"/>
  <cols>
    <col min="1" max="1" width="29.42578125" customWidth="1"/>
  </cols>
  <sheetData>
    <row r="1" spans="1:41">
      <c r="A1" s="43" t="s">
        <v>346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</row>
    <row r="2" spans="1:41">
      <c r="A2" t="s">
        <v>347</v>
      </c>
      <c r="B2">
        <f>VLOOKUP(B20,$A$39:$B$78,2,0)</f>
        <v>1981</v>
      </c>
      <c r="C2">
        <f t="shared" ref="C2:AO8" si="0">VLOOKUP(C20,$A$39:$B$78,2,0)</f>
        <v>1982</v>
      </c>
      <c r="D2">
        <f t="shared" si="0"/>
        <v>1983</v>
      </c>
      <c r="E2">
        <f t="shared" si="0"/>
        <v>1984</v>
      </c>
      <c r="F2">
        <f t="shared" si="0"/>
        <v>1985</v>
      </c>
      <c r="G2">
        <f t="shared" si="0"/>
        <v>1986</v>
      </c>
      <c r="H2">
        <f t="shared" si="0"/>
        <v>1987</v>
      </c>
      <c r="I2">
        <f t="shared" si="0"/>
        <v>1988</v>
      </c>
      <c r="J2">
        <f t="shared" si="0"/>
        <v>1989</v>
      </c>
      <c r="K2">
        <f t="shared" si="0"/>
        <v>1990</v>
      </c>
      <c r="L2">
        <f t="shared" si="0"/>
        <v>1991</v>
      </c>
      <c r="M2">
        <f t="shared" si="0"/>
        <v>1992</v>
      </c>
      <c r="N2">
        <f t="shared" si="0"/>
        <v>1993</v>
      </c>
      <c r="O2">
        <f t="shared" si="0"/>
        <v>1994</v>
      </c>
      <c r="P2">
        <f t="shared" si="0"/>
        <v>1995</v>
      </c>
      <c r="Q2">
        <f t="shared" si="0"/>
        <v>1996</v>
      </c>
      <c r="R2">
        <f t="shared" si="0"/>
        <v>1997</v>
      </c>
      <c r="S2">
        <f t="shared" si="0"/>
        <v>1998</v>
      </c>
      <c r="T2">
        <f t="shared" si="0"/>
        <v>1999</v>
      </c>
      <c r="U2">
        <f t="shared" si="0"/>
        <v>2000</v>
      </c>
      <c r="V2">
        <f t="shared" si="0"/>
        <v>2001</v>
      </c>
      <c r="W2">
        <f t="shared" si="0"/>
        <v>2002</v>
      </c>
      <c r="X2">
        <f t="shared" si="0"/>
        <v>2003</v>
      </c>
      <c r="Y2">
        <f t="shared" si="0"/>
        <v>2004</v>
      </c>
      <c r="Z2">
        <f t="shared" si="0"/>
        <v>2005</v>
      </c>
      <c r="AA2">
        <f t="shared" si="0"/>
        <v>2006</v>
      </c>
      <c r="AB2">
        <f t="shared" si="0"/>
        <v>2007</v>
      </c>
      <c r="AC2">
        <f t="shared" si="0"/>
        <v>2008</v>
      </c>
      <c r="AD2">
        <f t="shared" si="0"/>
        <v>2009</v>
      </c>
      <c r="AE2">
        <f t="shared" si="0"/>
        <v>2010</v>
      </c>
      <c r="AF2">
        <f t="shared" si="0"/>
        <v>2011</v>
      </c>
      <c r="AG2">
        <f t="shared" si="0"/>
        <v>2012</v>
      </c>
      <c r="AH2">
        <f t="shared" si="0"/>
        <v>2013</v>
      </c>
      <c r="AI2">
        <f t="shared" si="0"/>
        <v>2014</v>
      </c>
      <c r="AJ2">
        <f t="shared" si="0"/>
        <v>2015</v>
      </c>
      <c r="AK2">
        <f t="shared" si="0"/>
        <v>2016</v>
      </c>
      <c r="AL2">
        <f t="shared" si="0"/>
        <v>2017</v>
      </c>
      <c r="AM2">
        <f t="shared" si="0"/>
        <v>2018</v>
      </c>
      <c r="AN2" t="e">
        <f t="shared" si="0"/>
        <v>#N/A</v>
      </c>
      <c r="AO2" t="e">
        <f t="shared" si="0"/>
        <v>#N/A</v>
      </c>
    </row>
    <row r="3" spans="1:41">
      <c r="A3" t="s">
        <v>348</v>
      </c>
      <c r="B3">
        <f t="shared" ref="B3:Q17" si="1">VLOOKUP(B21,$A$39:$B$78,2,0)</f>
        <v>1998</v>
      </c>
      <c r="C3">
        <f t="shared" si="1"/>
        <v>2004</v>
      </c>
      <c r="D3" t="e">
        <f t="shared" si="1"/>
        <v>#N/A</v>
      </c>
      <c r="E3">
        <f t="shared" si="1"/>
        <v>1995</v>
      </c>
      <c r="F3">
        <f t="shared" si="1"/>
        <v>2009</v>
      </c>
      <c r="G3">
        <f t="shared" si="1"/>
        <v>2008</v>
      </c>
      <c r="H3">
        <f t="shared" si="1"/>
        <v>1989</v>
      </c>
      <c r="I3">
        <f t="shared" si="1"/>
        <v>1996</v>
      </c>
      <c r="J3">
        <f t="shared" si="1"/>
        <v>2013</v>
      </c>
      <c r="K3">
        <f t="shared" si="1"/>
        <v>2012</v>
      </c>
      <c r="L3" t="e">
        <f t="shared" si="1"/>
        <v>#N/A</v>
      </c>
      <c r="M3">
        <f t="shared" si="1"/>
        <v>1997</v>
      </c>
      <c r="N3">
        <f t="shared" si="1"/>
        <v>1985</v>
      </c>
      <c r="O3">
        <f t="shared" si="1"/>
        <v>1983</v>
      </c>
      <c r="P3">
        <f t="shared" si="1"/>
        <v>1985</v>
      </c>
      <c r="Q3">
        <f t="shared" si="1"/>
        <v>2008</v>
      </c>
      <c r="R3">
        <f t="shared" si="0"/>
        <v>1984</v>
      </c>
      <c r="S3">
        <f t="shared" si="0"/>
        <v>2015</v>
      </c>
      <c r="T3">
        <f t="shared" si="0"/>
        <v>1998</v>
      </c>
      <c r="U3">
        <f t="shared" si="0"/>
        <v>2006</v>
      </c>
      <c r="V3">
        <f t="shared" si="0"/>
        <v>2013</v>
      </c>
      <c r="W3">
        <f t="shared" si="0"/>
        <v>1989</v>
      </c>
      <c r="X3">
        <f t="shared" si="0"/>
        <v>1990</v>
      </c>
      <c r="Y3">
        <f t="shared" si="0"/>
        <v>1993</v>
      </c>
      <c r="Z3">
        <f t="shared" si="0"/>
        <v>2012</v>
      </c>
      <c r="AA3" t="e">
        <f t="shared" si="0"/>
        <v>#N/A</v>
      </c>
      <c r="AB3">
        <f t="shared" si="0"/>
        <v>1989</v>
      </c>
      <c r="AC3">
        <f t="shared" si="0"/>
        <v>2004</v>
      </c>
      <c r="AD3">
        <f t="shared" si="0"/>
        <v>1981</v>
      </c>
      <c r="AE3">
        <f t="shared" si="0"/>
        <v>2018</v>
      </c>
      <c r="AF3">
        <f t="shared" si="0"/>
        <v>2009</v>
      </c>
      <c r="AG3">
        <f t="shared" si="0"/>
        <v>2003</v>
      </c>
      <c r="AH3">
        <f t="shared" si="0"/>
        <v>1981</v>
      </c>
      <c r="AI3">
        <f t="shared" si="0"/>
        <v>2018</v>
      </c>
      <c r="AJ3">
        <f t="shared" si="0"/>
        <v>1995</v>
      </c>
      <c r="AK3">
        <f t="shared" si="0"/>
        <v>1995</v>
      </c>
      <c r="AL3">
        <f t="shared" si="0"/>
        <v>1994</v>
      </c>
      <c r="AM3">
        <f t="shared" si="0"/>
        <v>1986</v>
      </c>
      <c r="AN3">
        <f t="shared" si="0"/>
        <v>2017</v>
      </c>
      <c r="AO3">
        <f t="shared" si="0"/>
        <v>2005</v>
      </c>
    </row>
    <row r="4" spans="1:41">
      <c r="A4" t="s">
        <v>349</v>
      </c>
      <c r="B4">
        <f t="shared" si="1"/>
        <v>1982</v>
      </c>
      <c r="C4">
        <f t="shared" si="0"/>
        <v>2017</v>
      </c>
      <c r="D4">
        <f t="shared" si="0"/>
        <v>2007</v>
      </c>
      <c r="E4">
        <f t="shared" si="0"/>
        <v>2008</v>
      </c>
      <c r="F4">
        <f t="shared" si="0"/>
        <v>1998</v>
      </c>
      <c r="G4">
        <f t="shared" si="0"/>
        <v>1987</v>
      </c>
      <c r="H4">
        <f t="shared" si="0"/>
        <v>2008</v>
      </c>
      <c r="I4">
        <f t="shared" si="0"/>
        <v>2010</v>
      </c>
      <c r="J4">
        <f t="shared" si="0"/>
        <v>1988</v>
      </c>
      <c r="K4" t="e">
        <f t="shared" ref="K4" si="2">VLOOKUP(K22,$A$39:$B$78,2,0)</f>
        <v>#N/A</v>
      </c>
      <c r="L4">
        <f t="shared" si="0"/>
        <v>2011</v>
      </c>
      <c r="M4">
        <f t="shared" si="0"/>
        <v>1999</v>
      </c>
      <c r="N4">
        <f t="shared" si="0"/>
        <v>1997</v>
      </c>
      <c r="O4">
        <f t="shared" si="0"/>
        <v>2006</v>
      </c>
      <c r="P4">
        <f t="shared" si="0"/>
        <v>2005</v>
      </c>
      <c r="Q4">
        <f t="shared" si="0"/>
        <v>2000</v>
      </c>
      <c r="R4">
        <f t="shared" si="0"/>
        <v>1990</v>
      </c>
      <c r="S4">
        <f t="shared" si="0"/>
        <v>1985</v>
      </c>
      <c r="T4">
        <f t="shared" si="0"/>
        <v>2012</v>
      </c>
      <c r="U4">
        <f t="shared" si="0"/>
        <v>2006</v>
      </c>
      <c r="V4">
        <f t="shared" si="0"/>
        <v>2000</v>
      </c>
      <c r="W4">
        <f t="shared" si="0"/>
        <v>2014</v>
      </c>
      <c r="X4">
        <f t="shared" si="0"/>
        <v>2018</v>
      </c>
      <c r="Y4">
        <f t="shared" si="0"/>
        <v>1993</v>
      </c>
      <c r="Z4">
        <f t="shared" si="0"/>
        <v>2002</v>
      </c>
      <c r="AA4">
        <f t="shared" si="0"/>
        <v>1985</v>
      </c>
      <c r="AB4">
        <f t="shared" si="0"/>
        <v>1992</v>
      </c>
      <c r="AC4">
        <f t="shared" si="0"/>
        <v>2002</v>
      </c>
      <c r="AD4">
        <f t="shared" si="0"/>
        <v>1992</v>
      </c>
      <c r="AE4">
        <f t="shared" si="0"/>
        <v>1987</v>
      </c>
      <c r="AF4">
        <f t="shared" si="0"/>
        <v>1990</v>
      </c>
      <c r="AG4">
        <f t="shared" si="0"/>
        <v>2006</v>
      </c>
      <c r="AH4">
        <f t="shared" si="0"/>
        <v>2008</v>
      </c>
      <c r="AI4">
        <f t="shared" si="0"/>
        <v>1989</v>
      </c>
      <c r="AJ4">
        <f t="shared" si="0"/>
        <v>1985</v>
      </c>
      <c r="AK4" t="e">
        <f t="shared" si="0"/>
        <v>#N/A</v>
      </c>
      <c r="AL4">
        <f t="shared" si="0"/>
        <v>2002</v>
      </c>
      <c r="AM4">
        <f t="shared" si="0"/>
        <v>1995</v>
      </c>
      <c r="AN4">
        <f t="shared" si="0"/>
        <v>1994</v>
      </c>
      <c r="AO4" t="e">
        <f t="shared" si="0"/>
        <v>#N/A</v>
      </c>
    </row>
    <row r="5" spans="1:41">
      <c r="A5" t="s">
        <v>350</v>
      </c>
      <c r="B5">
        <f t="shared" si="1"/>
        <v>1984</v>
      </c>
      <c r="C5">
        <f t="shared" si="0"/>
        <v>1998</v>
      </c>
      <c r="D5">
        <f t="shared" si="0"/>
        <v>2015</v>
      </c>
      <c r="E5">
        <f t="shared" si="0"/>
        <v>2011</v>
      </c>
      <c r="F5">
        <f t="shared" si="0"/>
        <v>1988</v>
      </c>
      <c r="G5">
        <f t="shared" si="0"/>
        <v>1995</v>
      </c>
      <c r="H5">
        <f t="shared" si="0"/>
        <v>1993</v>
      </c>
      <c r="I5">
        <f t="shared" si="0"/>
        <v>2007</v>
      </c>
      <c r="J5">
        <f t="shared" si="0"/>
        <v>1983</v>
      </c>
      <c r="K5">
        <f t="shared" ref="K5" si="3">VLOOKUP(K23,$A$39:$B$78,2,0)</f>
        <v>1989</v>
      </c>
      <c r="L5">
        <f t="shared" si="0"/>
        <v>1993</v>
      </c>
      <c r="M5">
        <f t="shared" si="0"/>
        <v>1982</v>
      </c>
      <c r="N5">
        <f t="shared" si="0"/>
        <v>1986</v>
      </c>
      <c r="O5">
        <f t="shared" si="0"/>
        <v>1989</v>
      </c>
      <c r="P5">
        <f t="shared" si="0"/>
        <v>1982</v>
      </c>
      <c r="Q5">
        <f t="shared" si="0"/>
        <v>1982</v>
      </c>
      <c r="R5">
        <f t="shared" si="0"/>
        <v>2000</v>
      </c>
      <c r="S5">
        <f t="shared" si="0"/>
        <v>2008</v>
      </c>
      <c r="T5">
        <f t="shared" si="0"/>
        <v>2001</v>
      </c>
      <c r="U5" t="e">
        <f t="shared" si="0"/>
        <v>#N/A</v>
      </c>
      <c r="V5">
        <f t="shared" si="0"/>
        <v>1988</v>
      </c>
      <c r="W5">
        <f t="shared" si="0"/>
        <v>2010</v>
      </c>
      <c r="X5">
        <f t="shared" si="0"/>
        <v>2013</v>
      </c>
      <c r="Y5">
        <f t="shared" si="0"/>
        <v>2001</v>
      </c>
      <c r="Z5">
        <f t="shared" si="0"/>
        <v>1995</v>
      </c>
      <c r="AA5">
        <f t="shared" si="0"/>
        <v>2015</v>
      </c>
      <c r="AB5" t="e">
        <f t="shared" si="0"/>
        <v>#N/A</v>
      </c>
      <c r="AC5">
        <f t="shared" si="0"/>
        <v>2013</v>
      </c>
      <c r="AD5">
        <f t="shared" si="0"/>
        <v>1999</v>
      </c>
      <c r="AE5" t="e">
        <f t="shared" si="0"/>
        <v>#N/A</v>
      </c>
      <c r="AF5">
        <f t="shared" si="0"/>
        <v>1983</v>
      </c>
      <c r="AG5">
        <f t="shared" si="0"/>
        <v>1985</v>
      </c>
      <c r="AH5">
        <f t="shared" si="0"/>
        <v>1992</v>
      </c>
      <c r="AI5">
        <f t="shared" si="0"/>
        <v>1987</v>
      </c>
      <c r="AJ5">
        <f t="shared" si="0"/>
        <v>2014</v>
      </c>
      <c r="AK5">
        <f t="shared" si="0"/>
        <v>1991</v>
      </c>
      <c r="AL5">
        <f t="shared" si="0"/>
        <v>2014</v>
      </c>
      <c r="AM5">
        <f t="shared" si="0"/>
        <v>2003</v>
      </c>
      <c r="AN5">
        <f t="shared" si="0"/>
        <v>1984</v>
      </c>
      <c r="AO5">
        <f t="shared" si="0"/>
        <v>1985</v>
      </c>
    </row>
    <row r="6" spans="1:41">
      <c r="A6" t="s">
        <v>351</v>
      </c>
      <c r="B6">
        <f t="shared" si="1"/>
        <v>2014</v>
      </c>
      <c r="C6">
        <f t="shared" si="0"/>
        <v>2013</v>
      </c>
      <c r="D6" t="e">
        <f t="shared" si="0"/>
        <v>#N/A</v>
      </c>
      <c r="E6">
        <f t="shared" si="0"/>
        <v>1995</v>
      </c>
      <c r="F6">
        <f t="shared" si="0"/>
        <v>2016</v>
      </c>
      <c r="G6">
        <f t="shared" si="0"/>
        <v>2011</v>
      </c>
      <c r="H6">
        <f t="shared" si="0"/>
        <v>1989</v>
      </c>
      <c r="I6">
        <f t="shared" si="0"/>
        <v>2011</v>
      </c>
      <c r="J6">
        <f t="shared" si="0"/>
        <v>2005</v>
      </c>
      <c r="K6">
        <f t="shared" si="0"/>
        <v>2016</v>
      </c>
      <c r="L6">
        <f t="shared" si="0"/>
        <v>2008</v>
      </c>
      <c r="M6">
        <f t="shared" si="0"/>
        <v>2011</v>
      </c>
      <c r="N6">
        <f t="shared" si="0"/>
        <v>2001</v>
      </c>
      <c r="O6">
        <f t="shared" si="0"/>
        <v>1981</v>
      </c>
      <c r="P6">
        <f t="shared" si="0"/>
        <v>1983</v>
      </c>
      <c r="Q6">
        <f t="shared" si="0"/>
        <v>2008</v>
      </c>
      <c r="R6">
        <f t="shared" si="0"/>
        <v>1989</v>
      </c>
      <c r="S6">
        <f t="shared" si="0"/>
        <v>1989</v>
      </c>
      <c r="T6">
        <f t="shared" si="0"/>
        <v>1992</v>
      </c>
      <c r="U6">
        <f t="shared" si="0"/>
        <v>1997</v>
      </c>
      <c r="V6">
        <f t="shared" si="0"/>
        <v>2004</v>
      </c>
      <c r="W6">
        <f t="shared" si="0"/>
        <v>1989</v>
      </c>
      <c r="X6">
        <f t="shared" si="0"/>
        <v>2004</v>
      </c>
      <c r="Y6">
        <f t="shared" si="0"/>
        <v>2000</v>
      </c>
      <c r="Z6">
        <f t="shared" si="0"/>
        <v>2017</v>
      </c>
      <c r="AA6">
        <f t="shared" si="0"/>
        <v>1981</v>
      </c>
      <c r="AB6">
        <f t="shared" si="0"/>
        <v>2006</v>
      </c>
      <c r="AC6">
        <f t="shared" si="0"/>
        <v>1983</v>
      </c>
      <c r="AD6">
        <f t="shared" si="0"/>
        <v>2009</v>
      </c>
      <c r="AE6">
        <f t="shared" si="0"/>
        <v>2003</v>
      </c>
      <c r="AF6">
        <f t="shared" si="0"/>
        <v>1993</v>
      </c>
      <c r="AG6">
        <f t="shared" si="0"/>
        <v>1982</v>
      </c>
      <c r="AH6">
        <f t="shared" si="0"/>
        <v>1997</v>
      </c>
      <c r="AI6">
        <f t="shared" si="0"/>
        <v>2010</v>
      </c>
      <c r="AJ6">
        <f t="shared" si="0"/>
        <v>1984</v>
      </c>
      <c r="AK6">
        <f t="shared" si="0"/>
        <v>1990</v>
      </c>
      <c r="AL6">
        <f t="shared" si="0"/>
        <v>2005</v>
      </c>
      <c r="AM6">
        <f t="shared" si="0"/>
        <v>2003</v>
      </c>
      <c r="AN6">
        <f t="shared" si="0"/>
        <v>1989</v>
      </c>
      <c r="AO6">
        <f t="shared" si="0"/>
        <v>1985</v>
      </c>
    </row>
    <row r="7" spans="1:41">
      <c r="A7" t="s">
        <v>352</v>
      </c>
      <c r="B7">
        <f t="shared" si="1"/>
        <v>1987</v>
      </c>
      <c r="C7">
        <f t="shared" si="0"/>
        <v>2011</v>
      </c>
      <c r="D7">
        <f t="shared" si="0"/>
        <v>2004</v>
      </c>
      <c r="E7">
        <f t="shared" si="0"/>
        <v>1982</v>
      </c>
      <c r="F7">
        <f t="shared" si="0"/>
        <v>1982</v>
      </c>
      <c r="G7">
        <f t="shared" si="0"/>
        <v>2016</v>
      </c>
      <c r="H7">
        <f t="shared" si="0"/>
        <v>2015</v>
      </c>
      <c r="I7">
        <f t="shared" si="0"/>
        <v>1992</v>
      </c>
      <c r="J7">
        <f t="shared" si="0"/>
        <v>1997</v>
      </c>
      <c r="K7">
        <f t="shared" si="0"/>
        <v>2009</v>
      </c>
      <c r="L7">
        <f t="shared" si="0"/>
        <v>2011</v>
      </c>
      <c r="M7">
        <f t="shared" si="0"/>
        <v>2007</v>
      </c>
      <c r="N7">
        <f t="shared" si="0"/>
        <v>1999</v>
      </c>
      <c r="O7">
        <f t="shared" si="0"/>
        <v>1989</v>
      </c>
      <c r="P7">
        <f t="shared" si="0"/>
        <v>2001</v>
      </c>
      <c r="Q7">
        <f t="shared" si="0"/>
        <v>2010</v>
      </c>
      <c r="R7">
        <f t="shared" si="0"/>
        <v>1983</v>
      </c>
      <c r="S7" t="e">
        <f t="shared" si="0"/>
        <v>#N/A</v>
      </c>
      <c r="T7">
        <f t="shared" si="0"/>
        <v>2015</v>
      </c>
      <c r="U7">
        <f t="shared" si="0"/>
        <v>1994</v>
      </c>
      <c r="V7">
        <f t="shared" si="0"/>
        <v>1991</v>
      </c>
      <c r="W7">
        <f t="shared" si="0"/>
        <v>2005</v>
      </c>
      <c r="X7">
        <f t="shared" si="0"/>
        <v>1996</v>
      </c>
      <c r="Y7">
        <f t="shared" si="0"/>
        <v>1997</v>
      </c>
      <c r="Z7">
        <f t="shared" si="0"/>
        <v>1989</v>
      </c>
      <c r="AA7">
        <f t="shared" si="0"/>
        <v>1987</v>
      </c>
      <c r="AB7">
        <f t="shared" si="0"/>
        <v>2008</v>
      </c>
      <c r="AC7">
        <f t="shared" si="0"/>
        <v>2004</v>
      </c>
      <c r="AD7">
        <f t="shared" si="0"/>
        <v>2002</v>
      </c>
      <c r="AE7">
        <f t="shared" si="0"/>
        <v>1984</v>
      </c>
      <c r="AF7">
        <f t="shared" si="0"/>
        <v>1989</v>
      </c>
      <c r="AG7">
        <f t="shared" si="0"/>
        <v>2017</v>
      </c>
      <c r="AH7">
        <f t="shared" si="0"/>
        <v>2010</v>
      </c>
      <c r="AI7">
        <f t="shared" si="0"/>
        <v>2000</v>
      </c>
      <c r="AJ7">
        <f t="shared" si="0"/>
        <v>2005</v>
      </c>
      <c r="AK7">
        <f t="shared" si="0"/>
        <v>1983</v>
      </c>
      <c r="AL7">
        <f t="shared" si="0"/>
        <v>2015</v>
      </c>
      <c r="AM7">
        <f t="shared" si="0"/>
        <v>1993</v>
      </c>
      <c r="AN7">
        <f t="shared" si="0"/>
        <v>1995</v>
      </c>
      <c r="AO7">
        <f t="shared" si="0"/>
        <v>1981</v>
      </c>
    </row>
    <row r="8" spans="1:41">
      <c r="A8" t="s">
        <v>353</v>
      </c>
      <c r="B8">
        <f t="shared" si="1"/>
        <v>1986</v>
      </c>
      <c r="C8">
        <f t="shared" si="0"/>
        <v>2010</v>
      </c>
      <c r="D8" t="e">
        <f t="shared" si="0"/>
        <v>#N/A</v>
      </c>
      <c r="E8">
        <f t="shared" si="0"/>
        <v>2002</v>
      </c>
      <c r="F8">
        <f t="shared" si="0"/>
        <v>2006</v>
      </c>
      <c r="G8">
        <f t="shared" si="0"/>
        <v>1999</v>
      </c>
      <c r="H8">
        <f t="shared" si="0"/>
        <v>1988</v>
      </c>
      <c r="I8">
        <f t="shared" si="0"/>
        <v>1999</v>
      </c>
      <c r="J8">
        <f t="shared" si="0"/>
        <v>2013</v>
      </c>
      <c r="K8">
        <f t="shared" si="0"/>
        <v>1991</v>
      </c>
      <c r="L8">
        <f t="shared" si="0"/>
        <v>2013</v>
      </c>
      <c r="M8">
        <f t="shared" si="0"/>
        <v>1984</v>
      </c>
      <c r="N8">
        <f t="shared" si="0"/>
        <v>1998</v>
      </c>
      <c r="O8">
        <f t="shared" si="0"/>
        <v>1988</v>
      </c>
      <c r="P8">
        <f t="shared" si="0"/>
        <v>1997</v>
      </c>
      <c r="Q8">
        <f t="shared" si="0"/>
        <v>1990</v>
      </c>
      <c r="R8">
        <f t="shared" si="0"/>
        <v>1995</v>
      </c>
      <c r="S8">
        <f t="shared" si="0"/>
        <v>2015</v>
      </c>
      <c r="T8">
        <f t="shared" si="0"/>
        <v>1982</v>
      </c>
      <c r="U8">
        <f t="shared" si="0"/>
        <v>1996</v>
      </c>
      <c r="V8">
        <f t="shared" si="0"/>
        <v>1992</v>
      </c>
      <c r="W8">
        <f t="shared" si="0"/>
        <v>1997</v>
      </c>
      <c r="X8">
        <f t="shared" si="0"/>
        <v>1991</v>
      </c>
      <c r="Y8">
        <f t="shared" si="0"/>
        <v>2005</v>
      </c>
      <c r="Z8">
        <f t="shared" si="0"/>
        <v>2005</v>
      </c>
      <c r="AA8">
        <f t="shared" si="0"/>
        <v>2018</v>
      </c>
      <c r="AB8">
        <f t="shared" si="0"/>
        <v>2005</v>
      </c>
      <c r="AC8">
        <f t="shared" si="0"/>
        <v>1993</v>
      </c>
      <c r="AD8">
        <f t="shared" si="0"/>
        <v>2008</v>
      </c>
      <c r="AE8">
        <f t="shared" si="0"/>
        <v>1988</v>
      </c>
      <c r="AF8">
        <f t="shared" si="0"/>
        <v>1989</v>
      </c>
      <c r="AG8">
        <f t="shared" si="0"/>
        <v>2012</v>
      </c>
      <c r="AH8">
        <f t="shared" si="0"/>
        <v>2017</v>
      </c>
      <c r="AI8">
        <f t="shared" si="0"/>
        <v>1983</v>
      </c>
      <c r="AJ8">
        <f t="shared" si="0"/>
        <v>2013</v>
      </c>
      <c r="AK8">
        <f t="shared" si="0"/>
        <v>2006</v>
      </c>
      <c r="AL8">
        <f t="shared" si="0"/>
        <v>1988</v>
      </c>
      <c r="AM8">
        <f t="shared" ref="C8:AO15" si="4">VLOOKUP(AM26,$A$39:$B$78,2,0)</f>
        <v>1981</v>
      </c>
      <c r="AN8">
        <f t="shared" si="4"/>
        <v>1984</v>
      </c>
      <c r="AO8">
        <f t="shared" si="4"/>
        <v>1993</v>
      </c>
    </row>
    <row r="9" spans="1:41">
      <c r="A9" t="s">
        <v>354</v>
      </c>
      <c r="B9">
        <f t="shared" si="1"/>
        <v>2000</v>
      </c>
      <c r="C9">
        <f t="shared" si="4"/>
        <v>1988</v>
      </c>
      <c r="D9">
        <f t="shared" si="4"/>
        <v>1993</v>
      </c>
      <c r="E9">
        <f t="shared" si="4"/>
        <v>1995</v>
      </c>
      <c r="F9">
        <f t="shared" si="4"/>
        <v>2011</v>
      </c>
      <c r="G9">
        <f t="shared" si="4"/>
        <v>2002</v>
      </c>
      <c r="H9">
        <f t="shared" si="4"/>
        <v>2012</v>
      </c>
      <c r="I9">
        <f t="shared" si="4"/>
        <v>1981</v>
      </c>
      <c r="J9">
        <f t="shared" si="4"/>
        <v>1987</v>
      </c>
      <c r="K9" t="e">
        <f t="shared" si="4"/>
        <v>#N/A</v>
      </c>
      <c r="L9">
        <f t="shared" si="4"/>
        <v>2014</v>
      </c>
      <c r="M9">
        <f t="shared" si="4"/>
        <v>1982</v>
      </c>
      <c r="N9" t="e">
        <f t="shared" si="4"/>
        <v>#N/A</v>
      </c>
      <c r="O9">
        <f t="shared" si="4"/>
        <v>2017</v>
      </c>
      <c r="P9">
        <f t="shared" si="4"/>
        <v>2004</v>
      </c>
      <c r="Q9">
        <f t="shared" si="4"/>
        <v>2013</v>
      </c>
      <c r="R9">
        <f t="shared" si="4"/>
        <v>1998</v>
      </c>
      <c r="S9">
        <f t="shared" si="4"/>
        <v>1991</v>
      </c>
      <c r="T9">
        <f t="shared" si="4"/>
        <v>1981</v>
      </c>
      <c r="U9">
        <f t="shared" si="4"/>
        <v>1988</v>
      </c>
      <c r="V9">
        <f t="shared" si="4"/>
        <v>2007</v>
      </c>
      <c r="W9">
        <f t="shared" si="4"/>
        <v>2004</v>
      </c>
      <c r="X9">
        <f t="shared" si="4"/>
        <v>1996</v>
      </c>
      <c r="Y9">
        <f t="shared" si="4"/>
        <v>2011</v>
      </c>
      <c r="Z9">
        <f t="shared" si="4"/>
        <v>1981</v>
      </c>
      <c r="AA9">
        <f t="shared" si="4"/>
        <v>2012</v>
      </c>
      <c r="AB9">
        <f t="shared" si="4"/>
        <v>1995</v>
      </c>
      <c r="AC9">
        <f t="shared" si="4"/>
        <v>2017</v>
      </c>
      <c r="AD9">
        <f t="shared" si="4"/>
        <v>2012</v>
      </c>
      <c r="AE9">
        <f t="shared" si="4"/>
        <v>1990</v>
      </c>
      <c r="AF9">
        <f t="shared" si="4"/>
        <v>2017</v>
      </c>
      <c r="AG9">
        <f t="shared" si="4"/>
        <v>2008</v>
      </c>
      <c r="AH9">
        <f t="shared" si="4"/>
        <v>2005</v>
      </c>
      <c r="AI9">
        <f t="shared" si="4"/>
        <v>1982</v>
      </c>
      <c r="AJ9">
        <f t="shared" si="4"/>
        <v>2010</v>
      </c>
      <c r="AK9">
        <f t="shared" si="4"/>
        <v>1995</v>
      </c>
      <c r="AL9">
        <f t="shared" si="4"/>
        <v>1992</v>
      </c>
      <c r="AM9">
        <f t="shared" si="4"/>
        <v>1987</v>
      </c>
      <c r="AN9">
        <f t="shared" si="4"/>
        <v>1991</v>
      </c>
      <c r="AO9">
        <f t="shared" si="4"/>
        <v>1984</v>
      </c>
    </row>
    <row r="10" spans="1:41">
      <c r="A10" t="s">
        <v>355</v>
      </c>
      <c r="B10">
        <f t="shared" si="1"/>
        <v>1995</v>
      </c>
      <c r="C10">
        <f t="shared" si="4"/>
        <v>2018</v>
      </c>
      <c r="D10">
        <f t="shared" si="4"/>
        <v>1996</v>
      </c>
      <c r="E10">
        <f t="shared" si="4"/>
        <v>2013</v>
      </c>
      <c r="F10">
        <f t="shared" si="4"/>
        <v>1983</v>
      </c>
      <c r="G10">
        <f t="shared" si="4"/>
        <v>1990</v>
      </c>
      <c r="H10">
        <f t="shared" si="4"/>
        <v>1983</v>
      </c>
      <c r="I10">
        <f t="shared" si="4"/>
        <v>1991</v>
      </c>
      <c r="J10">
        <f t="shared" si="4"/>
        <v>2000</v>
      </c>
      <c r="K10">
        <f t="shared" si="4"/>
        <v>1983</v>
      </c>
      <c r="L10">
        <f t="shared" si="4"/>
        <v>1992</v>
      </c>
      <c r="M10">
        <f t="shared" si="4"/>
        <v>2011</v>
      </c>
      <c r="N10">
        <f t="shared" si="4"/>
        <v>1984</v>
      </c>
      <c r="O10">
        <f t="shared" si="4"/>
        <v>2012</v>
      </c>
      <c r="P10">
        <f t="shared" si="4"/>
        <v>2016</v>
      </c>
      <c r="Q10">
        <f t="shared" si="4"/>
        <v>1988</v>
      </c>
      <c r="R10">
        <f t="shared" si="4"/>
        <v>2010</v>
      </c>
      <c r="S10">
        <f t="shared" si="4"/>
        <v>1987</v>
      </c>
      <c r="T10">
        <f t="shared" si="4"/>
        <v>1991</v>
      </c>
      <c r="U10">
        <f t="shared" si="4"/>
        <v>2013</v>
      </c>
      <c r="V10">
        <f t="shared" si="4"/>
        <v>1991</v>
      </c>
      <c r="W10">
        <f t="shared" si="4"/>
        <v>1993</v>
      </c>
      <c r="X10">
        <f t="shared" si="4"/>
        <v>1996</v>
      </c>
      <c r="Y10">
        <f t="shared" si="4"/>
        <v>2009</v>
      </c>
      <c r="Z10">
        <f t="shared" si="4"/>
        <v>2002</v>
      </c>
      <c r="AA10">
        <f t="shared" si="4"/>
        <v>2011</v>
      </c>
      <c r="AB10">
        <f t="shared" si="4"/>
        <v>1985</v>
      </c>
      <c r="AC10">
        <f t="shared" si="4"/>
        <v>2012</v>
      </c>
      <c r="AD10">
        <f t="shared" si="4"/>
        <v>1986</v>
      </c>
      <c r="AE10">
        <f t="shared" si="4"/>
        <v>2014</v>
      </c>
      <c r="AF10">
        <f t="shared" si="4"/>
        <v>1994</v>
      </c>
      <c r="AG10">
        <f t="shared" si="4"/>
        <v>1984</v>
      </c>
      <c r="AH10">
        <f t="shared" si="4"/>
        <v>2018</v>
      </c>
      <c r="AI10">
        <f t="shared" si="4"/>
        <v>1998</v>
      </c>
      <c r="AJ10">
        <f t="shared" si="4"/>
        <v>1992</v>
      </c>
      <c r="AK10">
        <f t="shared" si="4"/>
        <v>1990</v>
      </c>
      <c r="AL10">
        <f t="shared" si="4"/>
        <v>2014</v>
      </c>
      <c r="AM10">
        <f t="shared" si="4"/>
        <v>1984</v>
      </c>
      <c r="AN10">
        <f t="shared" si="4"/>
        <v>2011</v>
      </c>
      <c r="AO10">
        <f t="shared" si="4"/>
        <v>2008</v>
      </c>
    </row>
    <row r="11" spans="1:41">
      <c r="A11" t="s">
        <v>356</v>
      </c>
      <c r="B11">
        <f t="shared" si="1"/>
        <v>1999</v>
      </c>
      <c r="C11">
        <f t="shared" si="4"/>
        <v>2000</v>
      </c>
      <c r="D11">
        <f t="shared" si="4"/>
        <v>2017</v>
      </c>
      <c r="E11">
        <f t="shared" si="4"/>
        <v>1990</v>
      </c>
      <c r="F11" t="e">
        <f t="shared" ref="F11" si="5">VLOOKUP(F29,$A$39:$B$78,2,0)</f>
        <v>#N/A</v>
      </c>
      <c r="G11">
        <f t="shared" si="4"/>
        <v>2012</v>
      </c>
      <c r="H11">
        <f t="shared" si="4"/>
        <v>2009</v>
      </c>
      <c r="I11">
        <f t="shared" si="4"/>
        <v>1993</v>
      </c>
      <c r="J11">
        <f t="shared" si="4"/>
        <v>1992</v>
      </c>
      <c r="K11">
        <f t="shared" si="4"/>
        <v>2012</v>
      </c>
      <c r="L11">
        <f t="shared" si="4"/>
        <v>2007</v>
      </c>
      <c r="M11">
        <f t="shared" si="4"/>
        <v>2002</v>
      </c>
      <c r="N11">
        <f t="shared" si="4"/>
        <v>1994</v>
      </c>
      <c r="O11">
        <f t="shared" si="4"/>
        <v>2006</v>
      </c>
      <c r="P11">
        <f t="shared" si="4"/>
        <v>2012</v>
      </c>
      <c r="Q11">
        <f t="shared" si="4"/>
        <v>1981</v>
      </c>
      <c r="R11" t="e">
        <f t="shared" si="4"/>
        <v>#N/A</v>
      </c>
      <c r="S11">
        <f t="shared" si="4"/>
        <v>2015</v>
      </c>
      <c r="T11">
        <f t="shared" si="4"/>
        <v>1996</v>
      </c>
      <c r="U11">
        <f t="shared" si="4"/>
        <v>2004</v>
      </c>
      <c r="V11">
        <f t="shared" si="4"/>
        <v>2006</v>
      </c>
      <c r="W11">
        <f t="shared" si="4"/>
        <v>2014</v>
      </c>
      <c r="X11">
        <f t="shared" si="4"/>
        <v>1986</v>
      </c>
      <c r="Y11">
        <f t="shared" si="4"/>
        <v>1995</v>
      </c>
      <c r="Z11">
        <f t="shared" si="4"/>
        <v>2017</v>
      </c>
      <c r="AA11">
        <f t="shared" si="4"/>
        <v>2016</v>
      </c>
      <c r="AB11">
        <f t="shared" si="4"/>
        <v>1981</v>
      </c>
      <c r="AC11">
        <f t="shared" si="4"/>
        <v>2017</v>
      </c>
      <c r="AD11">
        <f t="shared" si="4"/>
        <v>2011</v>
      </c>
      <c r="AE11">
        <f t="shared" si="4"/>
        <v>1991</v>
      </c>
      <c r="AF11">
        <f t="shared" si="4"/>
        <v>2006</v>
      </c>
      <c r="AG11">
        <f t="shared" si="4"/>
        <v>2016</v>
      </c>
      <c r="AH11">
        <f t="shared" si="4"/>
        <v>1997</v>
      </c>
      <c r="AI11">
        <f t="shared" si="4"/>
        <v>1997</v>
      </c>
      <c r="AJ11">
        <f t="shared" si="4"/>
        <v>1991</v>
      </c>
      <c r="AK11">
        <f t="shared" si="4"/>
        <v>1995</v>
      </c>
      <c r="AL11">
        <f t="shared" si="4"/>
        <v>2001</v>
      </c>
      <c r="AM11">
        <f t="shared" si="4"/>
        <v>2014</v>
      </c>
      <c r="AN11">
        <f t="shared" si="4"/>
        <v>2012</v>
      </c>
      <c r="AO11">
        <f t="shared" si="4"/>
        <v>1988</v>
      </c>
    </row>
    <row r="12" spans="1:41">
      <c r="A12" t="s">
        <v>514</v>
      </c>
      <c r="B12">
        <f t="shared" si="1"/>
        <v>2003</v>
      </c>
      <c r="C12">
        <f t="shared" si="4"/>
        <v>2000</v>
      </c>
      <c r="D12">
        <f t="shared" si="4"/>
        <v>2017</v>
      </c>
      <c r="E12">
        <f t="shared" si="4"/>
        <v>1996</v>
      </c>
      <c r="F12">
        <f t="shared" si="4"/>
        <v>2002</v>
      </c>
      <c r="G12">
        <f t="shared" si="4"/>
        <v>2015</v>
      </c>
      <c r="H12">
        <f t="shared" si="4"/>
        <v>1982</v>
      </c>
      <c r="I12">
        <f t="shared" si="4"/>
        <v>2014</v>
      </c>
      <c r="J12">
        <f t="shared" si="4"/>
        <v>1995</v>
      </c>
      <c r="K12">
        <f t="shared" si="4"/>
        <v>1993</v>
      </c>
      <c r="L12">
        <f t="shared" si="4"/>
        <v>1998</v>
      </c>
      <c r="M12">
        <f t="shared" si="4"/>
        <v>1981</v>
      </c>
      <c r="N12">
        <f t="shared" si="4"/>
        <v>2011</v>
      </c>
      <c r="O12">
        <f t="shared" si="4"/>
        <v>2009</v>
      </c>
      <c r="P12">
        <f t="shared" si="4"/>
        <v>2004</v>
      </c>
      <c r="Q12">
        <f t="shared" si="4"/>
        <v>1998</v>
      </c>
      <c r="R12">
        <f t="shared" si="4"/>
        <v>2016</v>
      </c>
      <c r="S12">
        <f t="shared" si="4"/>
        <v>1988</v>
      </c>
      <c r="T12">
        <f t="shared" si="4"/>
        <v>1990</v>
      </c>
      <c r="U12">
        <f t="shared" si="4"/>
        <v>2008</v>
      </c>
      <c r="V12">
        <f t="shared" si="4"/>
        <v>1988</v>
      </c>
      <c r="W12">
        <f t="shared" si="4"/>
        <v>2007</v>
      </c>
      <c r="X12">
        <f t="shared" si="4"/>
        <v>2011</v>
      </c>
      <c r="Y12">
        <f t="shared" si="4"/>
        <v>2009</v>
      </c>
      <c r="Z12">
        <f t="shared" si="4"/>
        <v>1981</v>
      </c>
      <c r="AA12">
        <f t="shared" si="4"/>
        <v>2008</v>
      </c>
      <c r="AB12">
        <f t="shared" si="4"/>
        <v>2018</v>
      </c>
      <c r="AC12">
        <f t="shared" si="4"/>
        <v>2018</v>
      </c>
      <c r="AD12">
        <f t="shared" si="4"/>
        <v>1993</v>
      </c>
      <c r="AE12" t="e">
        <f t="shared" si="4"/>
        <v>#N/A</v>
      </c>
      <c r="AF12">
        <f t="shared" si="4"/>
        <v>1988</v>
      </c>
      <c r="AG12">
        <f t="shared" si="4"/>
        <v>2011</v>
      </c>
      <c r="AH12">
        <f t="shared" si="4"/>
        <v>2008</v>
      </c>
      <c r="AI12">
        <f t="shared" si="4"/>
        <v>2015</v>
      </c>
      <c r="AJ12">
        <f t="shared" si="4"/>
        <v>1981</v>
      </c>
      <c r="AK12">
        <f t="shared" si="4"/>
        <v>2004</v>
      </c>
      <c r="AL12">
        <f t="shared" si="4"/>
        <v>1986</v>
      </c>
      <c r="AM12">
        <f t="shared" si="4"/>
        <v>1990</v>
      </c>
      <c r="AN12">
        <f t="shared" si="4"/>
        <v>2017</v>
      </c>
      <c r="AO12">
        <f t="shared" si="4"/>
        <v>2010</v>
      </c>
    </row>
    <row r="13" spans="1:41">
      <c r="A13" t="s">
        <v>515</v>
      </c>
      <c r="B13">
        <f t="shared" si="1"/>
        <v>1994</v>
      </c>
      <c r="C13">
        <f t="shared" si="4"/>
        <v>2007</v>
      </c>
      <c r="D13">
        <f t="shared" si="4"/>
        <v>1985</v>
      </c>
      <c r="E13">
        <f t="shared" si="4"/>
        <v>2001</v>
      </c>
      <c r="F13">
        <f t="shared" si="4"/>
        <v>2011</v>
      </c>
      <c r="G13">
        <f t="shared" si="4"/>
        <v>2004</v>
      </c>
      <c r="H13">
        <f t="shared" si="4"/>
        <v>1991</v>
      </c>
      <c r="I13">
        <f t="shared" si="4"/>
        <v>1991</v>
      </c>
      <c r="J13">
        <f t="shared" si="4"/>
        <v>1995</v>
      </c>
      <c r="K13">
        <f t="shared" si="4"/>
        <v>2010</v>
      </c>
      <c r="L13">
        <f t="shared" si="4"/>
        <v>2006</v>
      </c>
      <c r="M13">
        <f t="shared" si="4"/>
        <v>1987</v>
      </c>
      <c r="N13">
        <f t="shared" si="4"/>
        <v>1997</v>
      </c>
      <c r="O13">
        <f t="shared" si="4"/>
        <v>1990</v>
      </c>
      <c r="P13">
        <f t="shared" si="4"/>
        <v>1985</v>
      </c>
      <c r="Q13">
        <f t="shared" si="4"/>
        <v>2004</v>
      </c>
      <c r="R13">
        <f t="shared" si="4"/>
        <v>1981</v>
      </c>
      <c r="S13">
        <f t="shared" si="4"/>
        <v>2006</v>
      </c>
      <c r="T13">
        <f t="shared" si="4"/>
        <v>2007</v>
      </c>
      <c r="U13">
        <f t="shared" si="4"/>
        <v>2007</v>
      </c>
      <c r="V13" t="e">
        <f t="shared" si="4"/>
        <v>#N/A</v>
      </c>
      <c r="W13">
        <f t="shared" si="4"/>
        <v>2000</v>
      </c>
      <c r="X13">
        <f t="shared" si="4"/>
        <v>1998</v>
      </c>
      <c r="Y13">
        <f t="shared" si="4"/>
        <v>1996</v>
      </c>
      <c r="Z13">
        <f t="shared" si="4"/>
        <v>2008</v>
      </c>
      <c r="AA13">
        <f t="shared" si="4"/>
        <v>1994</v>
      </c>
      <c r="AB13">
        <f t="shared" si="4"/>
        <v>1997</v>
      </c>
      <c r="AC13">
        <f t="shared" si="4"/>
        <v>2005</v>
      </c>
      <c r="AD13">
        <f t="shared" si="4"/>
        <v>1987</v>
      </c>
      <c r="AE13">
        <f t="shared" si="4"/>
        <v>1998</v>
      </c>
      <c r="AF13">
        <f t="shared" si="4"/>
        <v>2004</v>
      </c>
      <c r="AG13">
        <f t="shared" si="4"/>
        <v>2009</v>
      </c>
      <c r="AH13">
        <f t="shared" si="4"/>
        <v>1982</v>
      </c>
      <c r="AI13">
        <f t="shared" si="4"/>
        <v>2010</v>
      </c>
      <c r="AJ13">
        <f t="shared" si="4"/>
        <v>2013</v>
      </c>
      <c r="AK13">
        <f t="shared" si="4"/>
        <v>1996</v>
      </c>
      <c r="AL13">
        <f t="shared" si="4"/>
        <v>2000</v>
      </c>
      <c r="AM13">
        <f t="shared" si="4"/>
        <v>2010</v>
      </c>
      <c r="AN13">
        <f t="shared" si="4"/>
        <v>2016</v>
      </c>
      <c r="AO13">
        <f t="shared" si="4"/>
        <v>1984</v>
      </c>
    </row>
    <row r="14" spans="1:41">
      <c r="A14" t="s">
        <v>516</v>
      </c>
      <c r="B14" t="e">
        <f t="shared" si="1"/>
        <v>#N/A</v>
      </c>
      <c r="C14">
        <f t="shared" si="4"/>
        <v>1987</v>
      </c>
      <c r="D14" t="e">
        <f t="shared" si="4"/>
        <v>#N/A</v>
      </c>
      <c r="E14">
        <f t="shared" si="4"/>
        <v>1986</v>
      </c>
      <c r="F14">
        <f t="shared" si="4"/>
        <v>2011</v>
      </c>
      <c r="G14">
        <f t="shared" si="4"/>
        <v>2008</v>
      </c>
      <c r="H14">
        <f t="shared" si="4"/>
        <v>1996</v>
      </c>
      <c r="I14">
        <f t="shared" si="4"/>
        <v>2015</v>
      </c>
      <c r="J14">
        <f t="shared" si="4"/>
        <v>1993</v>
      </c>
      <c r="K14">
        <f t="shared" si="4"/>
        <v>1993</v>
      </c>
      <c r="L14">
        <f t="shared" si="4"/>
        <v>1993</v>
      </c>
      <c r="M14">
        <f t="shared" si="4"/>
        <v>2007</v>
      </c>
      <c r="N14">
        <f t="shared" si="4"/>
        <v>1992</v>
      </c>
      <c r="O14">
        <f t="shared" si="4"/>
        <v>1994</v>
      </c>
      <c r="P14">
        <f t="shared" si="4"/>
        <v>1995</v>
      </c>
      <c r="Q14">
        <f t="shared" si="4"/>
        <v>2010</v>
      </c>
      <c r="R14">
        <f t="shared" si="4"/>
        <v>2009</v>
      </c>
      <c r="S14">
        <f t="shared" si="4"/>
        <v>1989</v>
      </c>
      <c r="T14">
        <f t="shared" si="4"/>
        <v>1994</v>
      </c>
      <c r="U14">
        <f t="shared" si="4"/>
        <v>2017</v>
      </c>
      <c r="V14">
        <f t="shared" si="4"/>
        <v>1988</v>
      </c>
      <c r="W14">
        <f t="shared" si="4"/>
        <v>2007</v>
      </c>
      <c r="X14" t="e">
        <f t="shared" si="4"/>
        <v>#N/A</v>
      </c>
      <c r="Y14">
        <f t="shared" si="4"/>
        <v>1998</v>
      </c>
      <c r="Z14" t="e">
        <f t="shared" si="4"/>
        <v>#N/A</v>
      </c>
      <c r="AA14">
        <f t="shared" si="4"/>
        <v>2009</v>
      </c>
      <c r="AB14">
        <f t="shared" si="4"/>
        <v>2012</v>
      </c>
      <c r="AC14">
        <f t="shared" si="4"/>
        <v>2001</v>
      </c>
      <c r="AD14">
        <f t="shared" si="4"/>
        <v>2008</v>
      </c>
      <c r="AE14">
        <f t="shared" si="4"/>
        <v>2016</v>
      </c>
      <c r="AF14">
        <f t="shared" si="4"/>
        <v>2013</v>
      </c>
      <c r="AG14">
        <f t="shared" si="4"/>
        <v>1993</v>
      </c>
      <c r="AH14">
        <f t="shared" si="4"/>
        <v>2010</v>
      </c>
      <c r="AI14">
        <f t="shared" si="4"/>
        <v>1985</v>
      </c>
      <c r="AJ14">
        <f t="shared" si="4"/>
        <v>1993</v>
      </c>
      <c r="AK14">
        <f t="shared" si="4"/>
        <v>2001</v>
      </c>
      <c r="AL14" t="e">
        <f t="shared" si="4"/>
        <v>#N/A</v>
      </c>
      <c r="AM14">
        <f t="shared" si="4"/>
        <v>2009</v>
      </c>
      <c r="AN14">
        <f t="shared" si="4"/>
        <v>1999</v>
      </c>
      <c r="AO14">
        <f t="shared" si="4"/>
        <v>1983</v>
      </c>
    </row>
    <row r="15" spans="1:41">
      <c r="A15" t="s">
        <v>517</v>
      </c>
      <c r="B15">
        <f t="shared" si="1"/>
        <v>2012</v>
      </c>
      <c r="C15" t="e">
        <f>VLOOKUP(C33,$A$39:$B$78,2,0)</f>
        <v>#N/A</v>
      </c>
      <c r="D15">
        <f t="shared" si="4"/>
        <v>1994</v>
      </c>
      <c r="E15">
        <f t="shared" si="4"/>
        <v>2000</v>
      </c>
      <c r="F15">
        <f t="shared" si="4"/>
        <v>2016</v>
      </c>
      <c r="G15">
        <f t="shared" si="4"/>
        <v>2004</v>
      </c>
      <c r="H15" t="e">
        <f t="shared" si="4"/>
        <v>#N/A</v>
      </c>
      <c r="I15">
        <f t="shared" si="4"/>
        <v>1989</v>
      </c>
      <c r="J15">
        <f t="shared" si="4"/>
        <v>1991</v>
      </c>
      <c r="K15">
        <f t="shared" si="4"/>
        <v>2009</v>
      </c>
      <c r="L15">
        <f t="shared" si="4"/>
        <v>1998</v>
      </c>
      <c r="M15">
        <f t="shared" si="4"/>
        <v>1996</v>
      </c>
      <c r="N15">
        <f t="shared" si="4"/>
        <v>2003</v>
      </c>
      <c r="O15">
        <f t="shared" si="4"/>
        <v>1983</v>
      </c>
      <c r="P15">
        <f t="shared" si="4"/>
        <v>1994</v>
      </c>
      <c r="Q15">
        <f t="shared" si="4"/>
        <v>1985</v>
      </c>
      <c r="R15" t="e">
        <f t="shared" si="4"/>
        <v>#N/A</v>
      </c>
      <c r="S15">
        <f t="shared" si="4"/>
        <v>1989</v>
      </c>
      <c r="T15">
        <f t="shared" si="4"/>
        <v>2004</v>
      </c>
      <c r="U15">
        <f t="shared" ref="C15:AO17" si="6">VLOOKUP(U33,$A$39:$B$78,2,0)</f>
        <v>1985</v>
      </c>
      <c r="V15">
        <f t="shared" si="6"/>
        <v>2011</v>
      </c>
      <c r="W15">
        <f t="shared" si="6"/>
        <v>1985</v>
      </c>
      <c r="X15">
        <f t="shared" si="6"/>
        <v>2002</v>
      </c>
      <c r="Y15">
        <f t="shared" si="6"/>
        <v>1987</v>
      </c>
      <c r="Z15">
        <f t="shared" si="6"/>
        <v>1984</v>
      </c>
      <c r="AA15">
        <f t="shared" si="6"/>
        <v>2017</v>
      </c>
      <c r="AB15">
        <f t="shared" si="6"/>
        <v>1984</v>
      </c>
      <c r="AC15">
        <f t="shared" si="6"/>
        <v>2009</v>
      </c>
      <c r="AD15">
        <f t="shared" si="6"/>
        <v>2008</v>
      </c>
      <c r="AE15">
        <f t="shared" si="6"/>
        <v>1994</v>
      </c>
      <c r="AF15">
        <f t="shared" si="6"/>
        <v>1991</v>
      </c>
      <c r="AG15">
        <f t="shared" si="6"/>
        <v>1990</v>
      </c>
      <c r="AH15">
        <f t="shared" si="6"/>
        <v>1996</v>
      </c>
      <c r="AI15">
        <f t="shared" si="6"/>
        <v>2001</v>
      </c>
      <c r="AJ15">
        <f t="shared" si="6"/>
        <v>1991</v>
      </c>
      <c r="AK15">
        <f t="shared" si="6"/>
        <v>1993</v>
      </c>
      <c r="AL15">
        <f t="shared" si="6"/>
        <v>2001</v>
      </c>
      <c r="AM15">
        <f t="shared" si="6"/>
        <v>2016</v>
      </c>
      <c r="AN15">
        <f t="shared" si="6"/>
        <v>2010</v>
      </c>
      <c r="AO15">
        <f t="shared" si="6"/>
        <v>2007</v>
      </c>
    </row>
    <row r="16" spans="1:41">
      <c r="A16" t="s">
        <v>518</v>
      </c>
      <c r="B16">
        <f t="shared" si="1"/>
        <v>1995</v>
      </c>
      <c r="C16" t="e">
        <f t="shared" si="6"/>
        <v>#N/A</v>
      </c>
      <c r="D16">
        <f t="shared" si="6"/>
        <v>2013</v>
      </c>
      <c r="E16">
        <f t="shared" si="6"/>
        <v>1982</v>
      </c>
      <c r="F16">
        <f t="shared" si="6"/>
        <v>2005</v>
      </c>
      <c r="G16" t="e">
        <f t="shared" si="6"/>
        <v>#N/A</v>
      </c>
      <c r="H16" t="e">
        <f t="shared" si="6"/>
        <v>#N/A</v>
      </c>
      <c r="I16" t="e">
        <f t="shared" si="6"/>
        <v>#N/A</v>
      </c>
      <c r="J16">
        <f t="shared" si="6"/>
        <v>1989</v>
      </c>
      <c r="K16">
        <f t="shared" si="6"/>
        <v>1990</v>
      </c>
      <c r="L16">
        <f t="shared" si="6"/>
        <v>2018</v>
      </c>
      <c r="M16">
        <f t="shared" si="6"/>
        <v>2012</v>
      </c>
      <c r="N16">
        <f t="shared" si="6"/>
        <v>1998</v>
      </c>
      <c r="O16">
        <f t="shared" si="6"/>
        <v>2010</v>
      </c>
      <c r="P16">
        <f t="shared" si="6"/>
        <v>2004</v>
      </c>
      <c r="Q16">
        <f t="shared" si="6"/>
        <v>1985</v>
      </c>
      <c r="R16">
        <f t="shared" si="6"/>
        <v>2018</v>
      </c>
      <c r="S16">
        <f t="shared" si="6"/>
        <v>2009</v>
      </c>
      <c r="T16">
        <f t="shared" si="6"/>
        <v>1992</v>
      </c>
      <c r="U16">
        <f t="shared" si="6"/>
        <v>1990</v>
      </c>
      <c r="V16">
        <f t="shared" si="6"/>
        <v>1998</v>
      </c>
      <c r="W16">
        <f t="shared" si="6"/>
        <v>1989</v>
      </c>
      <c r="X16">
        <f t="shared" si="6"/>
        <v>2003</v>
      </c>
      <c r="Y16">
        <f t="shared" si="6"/>
        <v>2003</v>
      </c>
      <c r="Z16">
        <f t="shared" si="6"/>
        <v>2016</v>
      </c>
      <c r="AA16">
        <f t="shared" si="6"/>
        <v>1981</v>
      </c>
      <c r="AB16">
        <f t="shared" si="6"/>
        <v>2010</v>
      </c>
      <c r="AC16">
        <f t="shared" si="6"/>
        <v>2012</v>
      </c>
      <c r="AD16">
        <f t="shared" si="6"/>
        <v>1982</v>
      </c>
      <c r="AE16" t="e">
        <f t="shared" si="6"/>
        <v>#N/A</v>
      </c>
      <c r="AF16">
        <f t="shared" si="6"/>
        <v>2006</v>
      </c>
      <c r="AG16">
        <f t="shared" si="6"/>
        <v>1982</v>
      </c>
      <c r="AH16">
        <f t="shared" si="6"/>
        <v>1986</v>
      </c>
      <c r="AI16">
        <f t="shared" si="6"/>
        <v>2008</v>
      </c>
      <c r="AJ16">
        <f t="shared" si="6"/>
        <v>2011</v>
      </c>
      <c r="AK16">
        <f t="shared" si="6"/>
        <v>1989</v>
      </c>
      <c r="AL16">
        <f t="shared" si="6"/>
        <v>1992</v>
      </c>
      <c r="AM16" t="e">
        <f t="shared" si="6"/>
        <v>#N/A</v>
      </c>
      <c r="AN16">
        <f t="shared" si="6"/>
        <v>1996</v>
      </c>
      <c r="AO16">
        <f t="shared" si="6"/>
        <v>1992</v>
      </c>
    </row>
    <row r="17" spans="1:41">
      <c r="A17" t="s">
        <v>519</v>
      </c>
      <c r="B17">
        <f t="shared" si="1"/>
        <v>1991</v>
      </c>
      <c r="C17">
        <f t="shared" si="6"/>
        <v>2015</v>
      </c>
      <c r="D17">
        <f t="shared" si="6"/>
        <v>1982</v>
      </c>
      <c r="E17">
        <f t="shared" si="6"/>
        <v>2004</v>
      </c>
      <c r="F17">
        <f t="shared" si="6"/>
        <v>2011</v>
      </c>
      <c r="G17">
        <f t="shared" si="6"/>
        <v>1989</v>
      </c>
      <c r="H17">
        <f t="shared" si="6"/>
        <v>1996</v>
      </c>
      <c r="I17">
        <f t="shared" si="6"/>
        <v>2003</v>
      </c>
      <c r="J17">
        <f t="shared" si="6"/>
        <v>2003</v>
      </c>
      <c r="K17">
        <f t="shared" si="6"/>
        <v>1992</v>
      </c>
      <c r="L17">
        <f t="shared" si="6"/>
        <v>1990</v>
      </c>
      <c r="M17">
        <f t="shared" si="6"/>
        <v>1985</v>
      </c>
      <c r="N17">
        <f t="shared" si="6"/>
        <v>2015</v>
      </c>
      <c r="O17">
        <f t="shared" si="6"/>
        <v>2018</v>
      </c>
      <c r="P17">
        <f t="shared" si="6"/>
        <v>1988</v>
      </c>
      <c r="Q17">
        <f t="shared" si="6"/>
        <v>2003</v>
      </c>
      <c r="R17">
        <f t="shared" si="6"/>
        <v>1983</v>
      </c>
      <c r="S17">
        <f t="shared" si="6"/>
        <v>1986</v>
      </c>
      <c r="T17">
        <f t="shared" si="6"/>
        <v>2016</v>
      </c>
      <c r="U17">
        <f t="shared" si="6"/>
        <v>2017</v>
      </c>
      <c r="V17">
        <f t="shared" si="6"/>
        <v>2018</v>
      </c>
      <c r="W17">
        <f t="shared" si="6"/>
        <v>1990</v>
      </c>
      <c r="X17">
        <f t="shared" si="6"/>
        <v>2010</v>
      </c>
      <c r="Y17">
        <f t="shared" si="6"/>
        <v>1988</v>
      </c>
      <c r="Z17" t="e">
        <f t="shared" si="6"/>
        <v>#N/A</v>
      </c>
      <c r="AA17">
        <f t="shared" si="6"/>
        <v>1992</v>
      </c>
      <c r="AB17">
        <f t="shared" si="6"/>
        <v>2011</v>
      </c>
      <c r="AC17">
        <f t="shared" si="6"/>
        <v>1997</v>
      </c>
      <c r="AD17">
        <f t="shared" si="6"/>
        <v>1981</v>
      </c>
      <c r="AE17">
        <f t="shared" si="6"/>
        <v>2001</v>
      </c>
      <c r="AF17">
        <f t="shared" si="6"/>
        <v>1997</v>
      </c>
      <c r="AG17">
        <f t="shared" si="6"/>
        <v>2012</v>
      </c>
      <c r="AH17">
        <f t="shared" si="6"/>
        <v>1989</v>
      </c>
      <c r="AI17">
        <f t="shared" si="6"/>
        <v>1988</v>
      </c>
      <c r="AJ17">
        <f t="shared" si="6"/>
        <v>2014</v>
      </c>
      <c r="AK17">
        <f t="shared" si="6"/>
        <v>1990</v>
      </c>
      <c r="AL17">
        <f t="shared" si="6"/>
        <v>2009</v>
      </c>
      <c r="AM17">
        <f t="shared" si="6"/>
        <v>2000</v>
      </c>
      <c r="AN17">
        <f t="shared" si="6"/>
        <v>1983</v>
      </c>
      <c r="AO17">
        <f t="shared" si="6"/>
        <v>2013</v>
      </c>
    </row>
    <row r="19" spans="1:41">
      <c r="A19" s="43" t="s">
        <v>346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  <c r="N19">
        <v>13</v>
      </c>
      <c r="O19">
        <v>14</v>
      </c>
      <c r="P19">
        <v>15</v>
      </c>
      <c r="Q19">
        <v>16</v>
      </c>
      <c r="R19">
        <v>17</v>
      </c>
      <c r="S19">
        <v>18</v>
      </c>
      <c r="T19">
        <v>19</v>
      </c>
      <c r="U19">
        <v>20</v>
      </c>
      <c r="V19">
        <v>21</v>
      </c>
      <c r="W19">
        <v>22</v>
      </c>
      <c r="X19">
        <v>23</v>
      </c>
      <c r="Y19">
        <v>24</v>
      </c>
      <c r="Z19">
        <v>25</v>
      </c>
      <c r="AA19">
        <v>26</v>
      </c>
      <c r="AB19">
        <v>27</v>
      </c>
      <c r="AC19">
        <v>28</v>
      </c>
      <c r="AD19">
        <v>29</v>
      </c>
      <c r="AE19">
        <v>30</v>
      </c>
      <c r="AF19">
        <v>31</v>
      </c>
      <c r="AG19">
        <v>32</v>
      </c>
      <c r="AH19">
        <v>33</v>
      </c>
      <c r="AI19">
        <v>34</v>
      </c>
      <c r="AJ19">
        <v>35</v>
      </c>
      <c r="AK19">
        <v>36</v>
      </c>
      <c r="AL19">
        <v>37</v>
      </c>
      <c r="AM19">
        <v>38</v>
      </c>
      <c r="AN19">
        <v>39</v>
      </c>
      <c r="AO19">
        <v>40</v>
      </c>
    </row>
    <row r="20" spans="1:41">
      <c r="A20" t="s">
        <v>347</v>
      </c>
      <c r="B20">
        <v>1</v>
      </c>
      <c r="C20">
        <v>2</v>
      </c>
      <c r="D20">
        <v>3</v>
      </c>
      <c r="E20">
        <v>4</v>
      </c>
      <c r="F20">
        <v>5</v>
      </c>
      <c r="G20">
        <v>6</v>
      </c>
      <c r="H20">
        <v>7</v>
      </c>
      <c r="I20">
        <v>8</v>
      </c>
      <c r="J20">
        <v>9</v>
      </c>
      <c r="K20">
        <v>10</v>
      </c>
      <c r="L20">
        <v>11</v>
      </c>
      <c r="M20">
        <v>12</v>
      </c>
      <c r="N20">
        <v>13</v>
      </c>
      <c r="O20">
        <v>14</v>
      </c>
      <c r="P20">
        <v>15</v>
      </c>
      <c r="Q20">
        <v>16</v>
      </c>
      <c r="R20">
        <v>17</v>
      </c>
      <c r="S20">
        <v>18</v>
      </c>
      <c r="T20">
        <v>19</v>
      </c>
      <c r="U20">
        <v>20</v>
      </c>
      <c r="V20">
        <v>21</v>
      </c>
      <c r="W20">
        <v>22</v>
      </c>
      <c r="X20">
        <v>23</v>
      </c>
      <c r="Y20">
        <v>24</v>
      </c>
      <c r="Z20">
        <v>25</v>
      </c>
      <c r="AA20">
        <v>26</v>
      </c>
      <c r="AB20">
        <v>27</v>
      </c>
      <c r="AC20">
        <v>28</v>
      </c>
      <c r="AD20">
        <v>29</v>
      </c>
      <c r="AE20">
        <v>30</v>
      </c>
      <c r="AF20">
        <v>31</v>
      </c>
      <c r="AG20">
        <v>32</v>
      </c>
      <c r="AH20">
        <v>33</v>
      </c>
      <c r="AI20">
        <v>34</v>
      </c>
      <c r="AJ20">
        <v>35</v>
      </c>
      <c r="AK20">
        <v>36</v>
      </c>
      <c r="AL20">
        <v>37</v>
      </c>
      <c r="AM20">
        <v>38</v>
      </c>
      <c r="AN20">
        <v>39</v>
      </c>
      <c r="AO20">
        <v>40</v>
      </c>
    </row>
    <row r="21" spans="1:41">
      <c r="A21" t="s">
        <v>348</v>
      </c>
      <c r="B21">
        <v>18</v>
      </c>
      <c r="C21">
        <v>24</v>
      </c>
      <c r="D21">
        <v>39</v>
      </c>
      <c r="E21">
        <v>15</v>
      </c>
      <c r="F21">
        <v>29</v>
      </c>
      <c r="G21">
        <v>28</v>
      </c>
      <c r="H21">
        <v>9</v>
      </c>
      <c r="I21">
        <v>16</v>
      </c>
      <c r="J21">
        <v>33</v>
      </c>
      <c r="K21">
        <v>32</v>
      </c>
      <c r="L21">
        <v>39</v>
      </c>
      <c r="M21">
        <v>17</v>
      </c>
      <c r="N21">
        <v>5</v>
      </c>
      <c r="O21">
        <v>3</v>
      </c>
      <c r="P21">
        <v>5</v>
      </c>
      <c r="Q21">
        <v>28</v>
      </c>
      <c r="R21">
        <v>4</v>
      </c>
      <c r="S21">
        <v>35</v>
      </c>
      <c r="T21">
        <v>18</v>
      </c>
      <c r="U21">
        <v>26</v>
      </c>
      <c r="V21">
        <v>33</v>
      </c>
      <c r="W21">
        <v>9</v>
      </c>
      <c r="X21">
        <v>10</v>
      </c>
      <c r="Y21">
        <v>13</v>
      </c>
      <c r="Z21">
        <v>32</v>
      </c>
      <c r="AA21">
        <v>40</v>
      </c>
      <c r="AB21">
        <v>9</v>
      </c>
      <c r="AC21">
        <v>24</v>
      </c>
      <c r="AD21">
        <v>1</v>
      </c>
      <c r="AE21">
        <v>38</v>
      </c>
      <c r="AF21">
        <v>29</v>
      </c>
      <c r="AG21">
        <v>23</v>
      </c>
      <c r="AH21">
        <v>1</v>
      </c>
      <c r="AI21">
        <v>38</v>
      </c>
      <c r="AJ21">
        <v>15</v>
      </c>
      <c r="AK21">
        <v>15</v>
      </c>
      <c r="AL21">
        <v>14</v>
      </c>
      <c r="AM21">
        <v>6</v>
      </c>
      <c r="AN21">
        <v>37</v>
      </c>
      <c r="AO21">
        <v>25</v>
      </c>
    </row>
    <row r="22" spans="1:41">
      <c r="A22" t="s">
        <v>349</v>
      </c>
      <c r="B22">
        <v>2</v>
      </c>
      <c r="C22">
        <v>37</v>
      </c>
      <c r="D22">
        <v>27</v>
      </c>
      <c r="E22">
        <v>28</v>
      </c>
      <c r="F22">
        <v>18</v>
      </c>
      <c r="G22">
        <v>7</v>
      </c>
      <c r="H22">
        <v>28</v>
      </c>
      <c r="I22">
        <v>30</v>
      </c>
      <c r="J22">
        <v>8</v>
      </c>
      <c r="K22">
        <v>40</v>
      </c>
      <c r="L22">
        <v>31</v>
      </c>
      <c r="M22">
        <v>19</v>
      </c>
      <c r="N22">
        <v>17</v>
      </c>
      <c r="O22">
        <v>26</v>
      </c>
      <c r="P22">
        <v>25</v>
      </c>
      <c r="Q22">
        <v>20</v>
      </c>
      <c r="R22">
        <v>10</v>
      </c>
      <c r="S22">
        <v>5</v>
      </c>
      <c r="T22">
        <v>32</v>
      </c>
      <c r="U22">
        <v>26</v>
      </c>
      <c r="V22">
        <v>20</v>
      </c>
      <c r="W22">
        <v>34</v>
      </c>
      <c r="X22">
        <v>38</v>
      </c>
      <c r="Y22">
        <v>13</v>
      </c>
      <c r="Z22">
        <v>22</v>
      </c>
      <c r="AA22">
        <v>5</v>
      </c>
      <c r="AB22">
        <v>12</v>
      </c>
      <c r="AC22">
        <v>22</v>
      </c>
      <c r="AD22">
        <v>12</v>
      </c>
      <c r="AE22">
        <v>7</v>
      </c>
      <c r="AF22">
        <v>10</v>
      </c>
      <c r="AG22">
        <v>26</v>
      </c>
      <c r="AH22">
        <v>28</v>
      </c>
      <c r="AI22">
        <v>9</v>
      </c>
      <c r="AJ22">
        <v>5</v>
      </c>
      <c r="AK22">
        <v>40</v>
      </c>
      <c r="AL22">
        <v>22</v>
      </c>
      <c r="AM22">
        <v>15</v>
      </c>
      <c r="AN22">
        <v>14</v>
      </c>
      <c r="AO22">
        <v>40</v>
      </c>
    </row>
    <row r="23" spans="1:41">
      <c r="A23" t="s">
        <v>350</v>
      </c>
      <c r="B23">
        <v>4</v>
      </c>
      <c r="C23">
        <v>18</v>
      </c>
      <c r="D23">
        <v>35</v>
      </c>
      <c r="E23">
        <v>31</v>
      </c>
      <c r="F23">
        <v>8</v>
      </c>
      <c r="G23">
        <v>15</v>
      </c>
      <c r="H23">
        <v>13</v>
      </c>
      <c r="I23">
        <v>27</v>
      </c>
      <c r="J23">
        <v>3</v>
      </c>
      <c r="K23">
        <v>9</v>
      </c>
      <c r="L23">
        <v>13</v>
      </c>
      <c r="M23">
        <v>2</v>
      </c>
      <c r="N23">
        <v>6</v>
      </c>
      <c r="O23">
        <v>9</v>
      </c>
      <c r="P23">
        <v>2</v>
      </c>
      <c r="Q23">
        <v>2</v>
      </c>
      <c r="R23">
        <v>20</v>
      </c>
      <c r="S23">
        <v>28</v>
      </c>
      <c r="T23">
        <v>21</v>
      </c>
      <c r="U23">
        <v>40</v>
      </c>
      <c r="V23">
        <v>8</v>
      </c>
      <c r="W23">
        <v>30</v>
      </c>
      <c r="X23">
        <v>33</v>
      </c>
      <c r="Y23">
        <v>21</v>
      </c>
      <c r="Z23">
        <v>15</v>
      </c>
      <c r="AA23">
        <v>35</v>
      </c>
      <c r="AB23">
        <v>39</v>
      </c>
      <c r="AC23">
        <v>33</v>
      </c>
      <c r="AD23">
        <v>19</v>
      </c>
      <c r="AE23">
        <v>39</v>
      </c>
      <c r="AF23">
        <v>3</v>
      </c>
      <c r="AG23">
        <v>5</v>
      </c>
      <c r="AH23">
        <v>12</v>
      </c>
      <c r="AI23">
        <v>7</v>
      </c>
      <c r="AJ23">
        <v>34</v>
      </c>
      <c r="AK23">
        <v>11</v>
      </c>
      <c r="AL23">
        <v>34</v>
      </c>
      <c r="AM23">
        <v>23</v>
      </c>
      <c r="AN23">
        <v>4</v>
      </c>
      <c r="AO23">
        <v>5</v>
      </c>
    </row>
    <row r="24" spans="1:41">
      <c r="A24" t="s">
        <v>351</v>
      </c>
      <c r="B24">
        <v>34</v>
      </c>
      <c r="C24">
        <v>33</v>
      </c>
      <c r="D24">
        <v>39</v>
      </c>
      <c r="E24">
        <v>15</v>
      </c>
      <c r="F24">
        <v>36</v>
      </c>
      <c r="G24">
        <v>31</v>
      </c>
      <c r="H24">
        <v>9</v>
      </c>
      <c r="I24">
        <v>31</v>
      </c>
      <c r="J24">
        <v>25</v>
      </c>
      <c r="K24">
        <v>36</v>
      </c>
      <c r="L24">
        <v>28</v>
      </c>
      <c r="M24">
        <v>31</v>
      </c>
      <c r="N24">
        <v>21</v>
      </c>
      <c r="O24">
        <v>1</v>
      </c>
      <c r="P24">
        <v>3</v>
      </c>
      <c r="Q24">
        <v>28</v>
      </c>
      <c r="R24">
        <v>9</v>
      </c>
      <c r="S24">
        <v>9</v>
      </c>
      <c r="T24">
        <v>12</v>
      </c>
      <c r="U24">
        <v>17</v>
      </c>
      <c r="V24">
        <v>24</v>
      </c>
      <c r="W24">
        <v>9</v>
      </c>
      <c r="X24">
        <v>24</v>
      </c>
      <c r="Y24">
        <v>20</v>
      </c>
      <c r="Z24">
        <v>37</v>
      </c>
      <c r="AA24">
        <v>1</v>
      </c>
      <c r="AB24">
        <v>26</v>
      </c>
      <c r="AC24">
        <v>3</v>
      </c>
      <c r="AD24">
        <v>29</v>
      </c>
      <c r="AE24">
        <v>23</v>
      </c>
      <c r="AF24">
        <v>13</v>
      </c>
      <c r="AG24">
        <v>2</v>
      </c>
      <c r="AH24">
        <v>17</v>
      </c>
      <c r="AI24">
        <v>30</v>
      </c>
      <c r="AJ24">
        <v>4</v>
      </c>
      <c r="AK24">
        <v>10</v>
      </c>
      <c r="AL24">
        <v>25</v>
      </c>
      <c r="AM24">
        <v>23</v>
      </c>
      <c r="AN24">
        <v>9</v>
      </c>
      <c r="AO24">
        <v>5</v>
      </c>
    </row>
    <row r="25" spans="1:41">
      <c r="A25" t="s">
        <v>352</v>
      </c>
      <c r="B25">
        <v>7</v>
      </c>
      <c r="C25">
        <v>31</v>
      </c>
      <c r="D25">
        <v>24</v>
      </c>
      <c r="E25">
        <v>2</v>
      </c>
      <c r="F25">
        <v>2</v>
      </c>
      <c r="G25">
        <v>36</v>
      </c>
      <c r="H25">
        <v>35</v>
      </c>
      <c r="I25">
        <v>12</v>
      </c>
      <c r="J25">
        <v>17</v>
      </c>
      <c r="K25">
        <v>29</v>
      </c>
      <c r="L25">
        <v>31</v>
      </c>
      <c r="M25">
        <v>27</v>
      </c>
      <c r="N25">
        <v>19</v>
      </c>
      <c r="O25">
        <v>9</v>
      </c>
      <c r="P25">
        <v>21</v>
      </c>
      <c r="Q25">
        <v>30</v>
      </c>
      <c r="R25">
        <v>3</v>
      </c>
      <c r="S25">
        <v>39</v>
      </c>
      <c r="T25">
        <v>35</v>
      </c>
      <c r="U25">
        <v>14</v>
      </c>
      <c r="V25">
        <v>11</v>
      </c>
      <c r="W25">
        <v>25</v>
      </c>
      <c r="X25">
        <v>16</v>
      </c>
      <c r="Y25">
        <v>17</v>
      </c>
      <c r="Z25">
        <v>9</v>
      </c>
      <c r="AA25">
        <v>7</v>
      </c>
      <c r="AB25">
        <v>28</v>
      </c>
      <c r="AC25">
        <v>24</v>
      </c>
      <c r="AD25">
        <v>22</v>
      </c>
      <c r="AE25">
        <v>4</v>
      </c>
      <c r="AF25">
        <v>9</v>
      </c>
      <c r="AG25">
        <v>37</v>
      </c>
      <c r="AH25">
        <v>30</v>
      </c>
      <c r="AI25">
        <v>20</v>
      </c>
      <c r="AJ25">
        <v>25</v>
      </c>
      <c r="AK25">
        <v>3</v>
      </c>
      <c r="AL25">
        <v>35</v>
      </c>
      <c r="AM25">
        <v>13</v>
      </c>
      <c r="AN25">
        <v>15</v>
      </c>
      <c r="AO25">
        <v>1</v>
      </c>
    </row>
    <row r="26" spans="1:41">
      <c r="A26" t="s">
        <v>353</v>
      </c>
      <c r="B26">
        <v>6</v>
      </c>
      <c r="C26">
        <v>30</v>
      </c>
      <c r="D26">
        <v>39</v>
      </c>
      <c r="E26">
        <v>22</v>
      </c>
      <c r="F26">
        <v>26</v>
      </c>
      <c r="G26">
        <v>19</v>
      </c>
      <c r="H26">
        <v>8</v>
      </c>
      <c r="I26">
        <v>19</v>
      </c>
      <c r="J26">
        <v>33</v>
      </c>
      <c r="K26">
        <v>11</v>
      </c>
      <c r="L26">
        <v>33</v>
      </c>
      <c r="M26">
        <v>4</v>
      </c>
      <c r="N26">
        <v>18</v>
      </c>
      <c r="O26">
        <v>8</v>
      </c>
      <c r="P26">
        <v>17</v>
      </c>
      <c r="Q26">
        <v>10</v>
      </c>
      <c r="R26">
        <v>15</v>
      </c>
      <c r="S26">
        <v>35</v>
      </c>
      <c r="T26">
        <v>2</v>
      </c>
      <c r="U26">
        <v>16</v>
      </c>
      <c r="V26">
        <v>12</v>
      </c>
      <c r="W26">
        <v>17</v>
      </c>
      <c r="X26">
        <v>11</v>
      </c>
      <c r="Y26">
        <v>25</v>
      </c>
      <c r="Z26">
        <v>25</v>
      </c>
      <c r="AA26">
        <v>38</v>
      </c>
      <c r="AB26">
        <v>25</v>
      </c>
      <c r="AC26">
        <v>13</v>
      </c>
      <c r="AD26">
        <v>28</v>
      </c>
      <c r="AE26">
        <v>8</v>
      </c>
      <c r="AF26">
        <v>9</v>
      </c>
      <c r="AG26">
        <v>32</v>
      </c>
      <c r="AH26">
        <v>37</v>
      </c>
      <c r="AI26">
        <v>3</v>
      </c>
      <c r="AJ26">
        <v>33</v>
      </c>
      <c r="AK26">
        <v>26</v>
      </c>
      <c r="AL26">
        <v>8</v>
      </c>
      <c r="AM26">
        <v>1</v>
      </c>
      <c r="AN26">
        <v>4</v>
      </c>
      <c r="AO26">
        <v>13</v>
      </c>
    </row>
    <row r="27" spans="1:41">
      <c r="A27" t="s">
        <v>354</v>
      </c>
      <c r="B27">
        <v>20</v>
      </c>
      <c r="C27">
        <v>8</v>
      </c>
      <c r="D27">
        <v>13</v>
      </c>
      <c r="E27">
        <v>15</v>
      </c>
      <c r="F27">
        <v>31</v>
      </c>
      <c r="G27">
        <v>22</v>
      </c>
      <c r="H27">
        <v>32</v>
      </c>
      <c r="I27">
        <v>1</v>
      </c>
      <c r="J27">
        <v>7</v>
      </c>
      <c r="K27">
        <v>39</v>
      </c>
      <c r="L27">
        <v>34</v>
      </c>
      <c r="M27">
        <v>2</v>
      </c>
      <c r="N27">
        <v>40</v>
      </c>
      <c r="O27">
        <v>37</v>
      </c>
      <c r="P27">
        <v>24</v>
      </c>
      <c r="Q27">
        <v>33</v>
      </c>
      <c r="R27">
        <v>18</v>
      </c>
      <c r="S27">
        <v>11</v>
      </c>
      <c r="T27">
        <v>1</v>
      </c>
      <c r="U27">
        <v>8</v>
      </c>
      <c r="V27">
        <v>27</v>
      </c>
      <c r="W27">
        <v>24</v>
      </c>
      <c r="X27">
        <v>16</v>
      </c>
      <c r="Y27">
        <v>31</v>
      </c>
      <c r="Z27">
        <v>1</v>
      </c>
      <c r="AA27">
        <v>32</v>
      </c>
      <c r="AB27">
        <v>15</v>
      </c>
      <c r="AC27">
        <v>37</v>
      </c>
      <c r="AD27">
        <v>32</v>
      </c>
      <c r="AE27">
        <v>10</v>
      </c>
      <c r="AF27">
        <v>37</v>
      </c>
      <c r="AG27">
        <v>28</v>
      </c>
      <c r="AH27">
        <v>25</v>
      </c>
      <c r="AI27">
        <v>2</v>
      </c>
      <c r="AJ27">
        <v>30</v>
      </c>
      <c r="AK27">
        <v>15</v>
      </c>
      <c r="AL27">
        <v>12</v>
      </c>
      <c r="AM27">
        <v>7</v>
      </c>
      <c r="AN27">
        <v>11</v>
      </c>
      <c r="AO27">
        <v>4</v>
      </c>
    </row>
    <row r="28" spans="1:41">
      <c r="A28" t="s">
        <v>355</v>
      </c>
      <c r="B28">
        <v>15</v>
      </c>
      <c r="C28">
        <v>38</v>
      </c>
      <c r="D28">
        <v>16</v>
      </c>
      <c r="E28">
        <v>33</v>
      </c>
      <c r="F28">
        <v>3</v>
      </c>
      <c r="G28">
        <v>10</v>
      </c>
      <c r="H28">
        <v>3</v>
      </c>
      <c r="I28">
        <v>11</v>
      </c>
      <c r="J28">
        <v>20</v>
      </c>
      <c r="K28">
        <v>3</v>
      </c>
      <c r="L28">
        <v>12</v>
      </c>
      <c r="M28">
        <v>31</v>
      </c>
      <c r="N28">
        <v>4</v>
      </c>
      <c r="O28">
        <v>32</v>
      </c>
      <c r="P28">
        <v>36</v>
      </c>
      <c r="Q28">
        <v>8</v>
      </c>
      <c r="R28">
        <v>30</v>
      </c>
      <c r="S28">
        <v>7</v>
      </c>
      <c r="T28">
        <v>11</v>
      </c>
      <c r="U28">
        <v>33</v>
      </c>
      <c r="V28">
        <v>11</v>
      </c>
      <c r="W28">
        <v>13</v>
      </c>
      <c r="X28">
        <v>16</v>
      </c>
      <c r="Y28">
        <v>29</v>
      </c>
      <c r="Z28">
        <v>22</v>
      </c>
      <c r="AA28">
        <v>31</v>
      </c>
      <c r="AB28">
        <v>5</v>
      </c>
      <c r="AC28">
        <v>32</v>
      </c>
      <c r="AD28">
        <v>6</v>
      </c>
      <c r="AE28">
        <v>34</v>
      </c>
      <c r="AF28">
        <v>14</v>
      </c>
      <c r="AG28">
        <v>4</v>
      </c>
      <c r="AH28">
        <v>38</v>
      </c>
      <c r="AI28">
        <v>18</v>
      </c>
      <c r="AJ28">
        <v>12</v>
      </c>
      <c r="AK28">
        <v>10</v>
      </c>
      <c r="AL28">
        <v>34</v>
      </c>
      <c r="AM28">
        <v>4</v>
      </c>
      <c r="AN28">
        <v>31</v>
      </c>
      <c r="AO28">
        <v>28</v>
      </c>
    </row>
    <row r="29" spans="1:41">
      <c r="A29" t="s">
        <v>356</v>
      </c>
      <c r="B29">
        <v>19</v>
      </c>
      <c r="C29">
        <v>20</v>
      </c>
      <c r="D29">
        <v>37</v>
      </c>
      <c r="E29">
        <v>10</v>
      </c>
      <c r="F29">
        <v>40</v>
      </c>
      <c r="G29">
        <v>32</v>
      </c>
      <c r="H29">
        <v>29</v>
      </c>
      <c r="I29">
        <v>13</v>
      </c>
      <c r="J29">
        <v>12</v>
      </c>
      <c r="K29">
        <v>32</v>
      </c>
      <c r="L29">
        <v>27</v>
      </c>
      <c r="M29">
        <v>22</v>
      </c>
      <c r="N29">
        <v>14</v>
      </c>
      <c r="O29">
        <v>26</v>
      </c>
      <c r="P29">
        <v>32</v>
      </c>
      <c r="Q29">
        <v>1</v>
      </c>
      <c r="R29">
        <v>39</v>
      </c>
      <c r="S29">
        <v>35</v>
      </c>
      <c r="T29">
        <v>16</v>
      </c>
      <c r="U29">
        <v>24</v>
      </c>
      <c r="V29">
        <v>26</v>
      </c>
      <c r="W29">
        <v>34</v>
      </c>
      <c r="X29">
        <v>6</v>
      </c>
      <c r="Y29">
        <v>15</v>
      </c>
      <c r="Z29">
        <v>37</v>
      </c>
      <c r="AA29">
        <v>36</v>
      </c>
      <c r="AB29">
        <v>1</v>
      </c>
      <c r="AC29">
        <v>37</v>
      </c>
      <c r="AD29">
        <v>31</v>
      </c>
      <c r="AE29">
        <v>11</v>
      </c>
      <c r="AF29">
        <v>26</v>
      </c>
      <c r="AG29">
        <v>36</v>
      </c>
      <c r="AH29">
        <v>17</v>
      </c>
      <c r="AI29">
        <v>17</v>
      </c>
      <c r="AJ29">
        <v>11</v>
      </c>
      <c r="AK29">
        <v>15</v>
      </c>
      <c r="AL29">
        <v>21</v>
      </c>
      <c r="AM29">
        <v>34</v>
      </c>
      <c r="AN29">
        <v>32</v>
      </c>
      <c r="AO29">
        <v>8</v>
      </c>
    </row>
    <row r="30" spans="1:41">
      <c r="A30" t="s">
        <v>514</v>
      </c>
      <c r="B30">
        <v>23</v>
      </c>
      <c r="C30">
        <v>20</v>
      </c>
      <c r="D30">
        <v>37</v>
      </c>
      <c r="E30">
        <v>16</v>
      </c>
      <c r="F30">
        <v>22</v>
      </c>
      <c r="G30">
        <v>35</v>
      </c>
      <c r="H30">
        <v>2</v>
      </c>
      <c r="I30">
        <v>34</v>
      </c>
      <c r="J30">
        <v>15</v>
      </c>
      <c r="K30">
        <v>13</v>
      </c>
      <c r="L30">
        <v>18</v>
      </c>
      <c r="M30">
        <v>1</v>
      </c>
      <c r="N30">
        <v>31</v>
      </c>
      <c r="O30">
        <v>29</v>
      </c>
      <c r="P30">
        <v>24</v>
      </c>
      <c r="Q30">
        <v>18</v>
      </c>
      <c r="R30">
        <v>36</v>
      </c>
      <c r="S30">
        <v>8</v>
      </c>
      <c r="T30">
        <v>10</v>
      </c>
      <c r="U30">
        <v>28</v>
      </c>
      <c r="V30">
        <v>8</v>
      </c>
      <c r="W30">
        <v>27</v>
      </c>
      <c r="X30">
        <v>31</v>
      </c>
      <c r="Y30">
        <v>29</v>
      </c>
      <c r="Z30">
        <v>1</v>
      </c>
      <c r="AA30">
        <v>28</v>
      </c>
      <c r="AB30">
        <v>38</v>
      </c>
      <c r="AC30">
        <v>38</v>
      </c>
      <c r="AD30">
        <v>13</v>
      </c>
      <c r="AE30">
        <v>40</v>
      </c>
      <c r="AF30">
        <v>8</v>
      </c>
      <c r="AG30">
        <v>31</v>
      </c>
      <c r="AH30">
        <v>28</v>
      </c>
      <c r="AI30">
        <v>35</v>
      </c>
      <c r="AJ30">
        <v>1</v>
      </c>
      <c r="AK30">
        <v>24</v>
      </c>
      <c r="AL30">
        <v>6</v>
      </c>
      <c r="AM30">
        <v>10</v>
      </c>
      <c r="AN30">
        <v>37</v>
      </c>
      <c r="AO30">
        <v>30</v>
      </c>
    </row>
    <row r="31" spans="1:41">
      <c r="A31" t="s">
        <v>515</v>
      </c>
      <c r="B31">
        <v>14</v>
      </c>
      <c r="C31">
        <v>27</v>
      </c>
      <c r="D31">
        <v>5</v>
      </c>
      <c r="E31">
        <v>21</v>
      </c>
      <c r="F31">
        <v>31</v>
      </c>
      <c r="G31">
        <v>24</v>
      </c>
      <c r="H31">
        <v>11</v>
      </c>
      <c r="I31">
        <v>11</v>
      </c>
      <c r="J31">
        <v>15</v>
      </c>
      <c r="K31">
        <v>30</v>
      </c>
      <c r="L31">
        <v>26</v>
      </c>
      <c r="M31">
        <v>7</v>
      </c>
      <c r="N31">
        <v>17</v>
      </c>
      <c r="O31">
        <v>10</v>
      </c>
      <c r="P31">
        <v>5</v>
      </c>
      <c r="Q31">
        <v>24</v>
      </c>
      <c r="R31">
        <v>1</v>
      </c>
      <c r="S31">
        <v>26</v>
      </c>
      <c r="T31">
        <v>27</v>
      </c>
      <c r="U31">
        <v>27</v>
      </c>
      <c r="V31">
        <v>39</v>
      </c>
      <c r="W31">
        <v>20</v>
      </c>
      <c r="X31">
        <v>18</v>
      </c>
      <c r="Y31">
        <v>16</v>
      </c>
      <c r="Z31">
        <v>28</v>
      </c>
      <c r="AA31">
        <v>14</v>
      </c>
      <c r="AB31">
        <v>17</v>
      </c>
      <c r="AC31">
        <v>25</v>
      </c>
      <c r="AD31">
        <v>7</v>
      </c>
      <c r="AE31">
        <v>18</v>
      </c>
      <c r="AF31">
        <v>24</v>
      </c>
      <c r="AG31">
        <v>29</v>
      </c>
      <c r="AH31">
        <v>2</v>
      </c>
      <c r="AI31">
        <v>30</v>
      </c>
      <c r="AJ31">
        <v>33</v>
      </c>
      <c r="AK31">
        <v>16</v>
      </c>
      <c r="AL31">
        <v>20</v>
      </c>
      <c r="AM31">
        <v>30</v>
      </c>
      <c r="AN31">
        <v>36</v>
      </c>
      <c r="AO31">
        <v>4</v>
      </c>
    </row>
    <row r="32" spans="1:41">
      <c r="A32" t="s">
        <v>516</v>
      </c>
      <c r="B32">
        <v>39</v>
      </c>
      <c r="C32">
        <v>7</v>
      </c>
      <c r="D32">
        <v>39</v>
      </c>
      <c r="E32">
        <v>6</v>
      </c>
      <c r="F32">
        <v>31</v>
      </c>
      <c r="G32">
        <v>28</v>
      </c>
      <c r="H32">
        <v>16</v>
      </c>
      <c r="I32">
        <v>35</v>
      </c>
      <c r="J32">
        <v>13</v>
      </c>
      <c r="K32">
        <v>13</v>
      </c>
      <c r="L32">
        <v>13</v>
      </c>
      <c r="M32">
        <v>27</v>
      </c>
      <c r="N32">
        <v>12</v>
      </c>
      <c r="O32">
        <v>14</v>
      </c>
      <c r="P32">
        <v>15</v>
      </c>
      <c r="Q32">
        <v>30</v>
      </c>
      <c r="R32">
        <v>29</v>
      </c>
      <c r="S32">
        <v>9</v>
      </c>
      <c r="T32">
        <v>14</v>
      </c>
      <c r="U32">
        <v>37</v>
      </c>
      <c r="V32">
        <v>8</v>
      </c>
      <c r="W32">
        <v>27</v>
      </c>
      <c r="X32">
        <v>39</v>
      </c>
      <c r="Y32">
        <v>18</v>
      </c>
      <c r="Z32">
        <v>40</v>
      </c>
      <c r="AA32">
        <v>29</v>
      </c>
      <c r="AB32">
        <v>32</v>
      </c>
      <c r="AC32">
        <v>21</v>
      </c>
      <c r="AD32">
        <v>28</v>
      </c>
      <c r="AE32">
        <v>36</v>
      </c>
      <c r="AF32">
        <v>33</v>
      </c>
      <c r="AG32">
        <v>13</v>
      </c>
      <c r="AH32">
        <v>30</v>
      </c>
      <c r="AI32">
        <v>5</v>
      </c>
      <c r="AJ32">
        <v>13</v>
      </c>
      <c r="AK32">
        <v>21</v>
      </c>
      <c r="AL32">
        <v>40</v>
      </c>
      <c r="AM32">
        <v>29</v>
      </c>
      <c r="AN32">
        <v>19</v>
      </c>
      <c r="AO32">
        <v>3</v>
      </c>
    </row>
    <row r="33" spans="1:41">
      <c r="A33" t="s">
        <v>517</v>
      </c>
      <c r="B33">
        <v>32</v>
      </c>
      <c r="C33">
        <v>40</v>
      </c>
      <c r="D33">
        <v>14</v>
      </c>
      <c r="E33">
        <v>20</v>
      </c>
      <c r="F33">
        <v>36</v>
      </c>
      <c r="G33">
        <v>24</v>
      </c>
      <c r="H33">
        <v>40</v>
      </c>
      <c r="I33">
        <v>9</v>
      </c>
      <c r="J33">
        <v>11</v>
      </c>
      <c r="K33">
        <v>29</v>
      </c>
      <c r="L33">
        <v>18</v>
      </c>
      <c r="M33">
        <v>16</v>
      </c>
      <c r="N33">
        <v>23</v>
      </c>
      <c r="O33">
        <v>3</v>
      </c>
      <c r="P33">
        <v>14</v>
      </c>
      <c r="Q33">
        <v>5</v>
      </c>
      <c r="R33">
        <v>40</v>
      </c>
      <c r="S33">
        <v>9</v>
      </c>
      <c r="T33">
        <v>24</v>
      </c>
      <c r="U33">
        <v>5</v>
      </c>
      <c r="V33">
        <v>31</v>
      </c>
      <c r="W33">
        <v>5</v>
      </c>
      <c r="X33">
        <v>22</v>
      </c>
      <c r="Y33">
        <v>7</v>
      </c>
      <c r="Z33">
        <v>4</v>
      </c>
      <c r="AA33">
        <v>37</v>
      </c>
      <c r="AB33">
        <v>4</v>
      </c>
      <c r="AC33">
        <v>29</v>
      </c>
      <c r="AD33">
        <v>28</v>
      </c>
      <c r="AE33">
        <v>14</v>
      </c>
      <c r="AF33">
        <v>11</v>
      </c>
      <c r="AG33">
        <v>10</v>
      </c>
      <c r="AH33">
        <v>16</v>
      </c>
      <c r="AI33">
        <v>21</v>
      </c>
      <c r="AJ33">
        <v>11</v>
      </c>
      <c r="AK33">
        <v>13</v>
      </c>
      <c r="AL33">
        <v>21</v>
      </c>
      <c r="AM33">
        <v>36</v>
      </c>
      <c r="AN33">
        <v>30</v>
      </c>
      <c r="AO33">
        <v>27</v>
      </c>
    </row>
    <row r="34" spans="1:41">
      <c r="A34" t="s">
        <v>518</v>
      </c>
      <c r="B34">
        <v>15</v>
      </c>
      <c r="C34">
        <v>39</v>
      </c>
      <c r="D34">
        <v>33</v>
      </c>
      <c r="E34">
        <v>2</v>
      </c>
      <c r="F34">
        <v>25</v>
      </c>
      <c r="G34">
        <v>40</v>
      </c>
      <c r="H34">
        <v>40</v>
      </c>
      <c r="I34">
        <v>39</v>
      </c>
      <c r="J34">
        <v>9</v>
      </c>
      <c r="K34">
        <v>10</v>
      </c>
      <c r="L34">
        <v>38</v>
      </c>
      <c r="M34">
        <v>32</v>
      </c>
      <c r="N34">
        <v>18</v>
      </c>
      <c r="O34">
        <v>30</v>
      </c>
      <c r="P34">
        <v>24</v>
      </c>
      <c r="Q34">
        <v>5</v>
      </c>
      <c r="R34">
        <v>38</v>
      </c>
      <c r="S34">
        <v>29</v>
      </c>
      <c r="T34">
        <v>12</v>
      </c>
      <c r="U34">
        <v>10</v>
      </c>
      <c r="V34">
        <v>18</v>
      </c>
      <c r="W34">
        <v>9</v>
      </c>
      <c r="X34">
        <v>23</v>
      </c>
      <c r="Y34">
        <v>23</v>
      </c>
      <c r="Z34">
        <v>36</v>
      </c>
      <c r="AA34">
        <v>1</v>
      </c>
      <c r="AB34">
        <v>30</v>
      </c>
      <c r="AC34">
        <v>32</v>
      </c>
      <c r="AD34">
        <v>2</v>
      </c>
      <c r="AE34">
        <v>40</v>
      </c>
      <c r="AF34">
        <v>26</v>
      </c>
      <c r="AG34">
        <v>2</v>
      </c>
      <c r="AH34">
        <v>6</v>
      </c>
      <c r="AI34">
        <v>28</v>
      </c>
      <c r="AJ34">
        <v>31</v>
      </c>
      <c r="AK34">
        <v>9</v>
      </c>
      <c r="AL34">
        <v>12</v>
      </c>
      <c r="AM34">
        <v>40</v>
      </c>
      <c r="AN34">
        <v>16</v>
      </c>
      <c r="AO34">
        <v>12</v>
      </c>
    </row>
    <row r="35" spans="1:41">
      <c r="A35" t="s">
        <v>519</v>
      </c>
      <c r="B35">
        <v>11</v>
      </c>
      <c r="C35">
        <v>35</v>
      </c>
      <c r="D35">
        <v>2</v>
      </c>
      <c r="E35">
        <v>24</v>
      </c>
      <c r="F35">
        <v>31</v>
      </c>
      <c r="G35">
        <v>9</v>
      </c>
      <c r="H35">
        <v>16</v>
      </c>
      <c r="I35">
        <v>23</v>
      </c>
      <c r="J35">
        <v>23</v>
      </c>
      <c r="K35">
        <v>12</v>
      </c>
      <c r="L35">
        <v>10</v>
      </c>
      <c r="M35">
        <v>5</v>
      </c>
      <c r="N35">
        <v>35</v>
      </c>
      <c r="O35">
        <v>38</v>
      </c>
      <c r="P35">
        <v>8</v>
      </c>
      <c r="Q35">
        <v>23</v>
      </c>
      <c r="R35">
        <v>3</v>
      </c>
      <c r="S35">
        <v>6</v>
      </c>
      <c r="T35">
        <v>36</v>
      </c>
      <c r="U35">
        <v>37</v>
      </c>
      <c r="V35">
        <v>38</v>
      </c>
      <c r="W35">
        <v>10</v>
      </c>
      <c r="X35">
        <v>30</v>
      </c>
      <c r="Y35">
        <v>8</v>
      </c>
      <c r="Z35">
        <v>39</v>
      </c>
      <c r="AA35">
        <v>12</v>
      </c>
      <c r="AB35">
        <v>31</v>
      </c>
      <c r="AC35">
        <v>17</v>
      </c>
      <c r="AD35">
        <v>1</v>
      </c>
      <c r="AE35">
        <v>21</v>
      </c>
      <c r="AF35">
        <v>17</v>
      </c>
      <c r="AG35">
        <v>32</v>
      </c>
      <c r="AH35">
        <v>9</v>
      </c>
      <c r="AI35">
        <v>8</v>
      </c>
      <c r="AJ35">
        <v>34</v>
      </c>
      <c r="AK35">
        <v>10</v>
      </c>
      <c r="AL35">
        <v>29</v>
      </c>
      <c r="AM35">
        <v>20</v>
      </c>
      <c r="AN35">
        <v>3</v>
      </c>
      <c r="AO35">
        <v>33</v>
      </c>
    </row>
    <row r="38" spans="1:41">
      <c r="A38" t="s">
        <v>346</v>
      </c>
      <c r="B38" t="s">
        <v>347</v>
      </c>
    </row>
    <row r="39" spans="1:41">
      <c r="A39" s="35">
        <v>0</v>
      </c>
      <c r="B39" s="35">
        <v>1980</v>
      </c>
    </row>
    <row r="40" spans="1:41">
      <c r="A40" s="35">
        <v>1</v>
      </c>
      <c r="B40" s="35">
        <v>1981</v>
      </c>
    </row>
    <row r="41" spans="1:41">
      <c r="A41" s="35">
        <v>2</v>
      </c>
      <c r="B41" s="35">
        <v>1982</v>
      </c>
    </row>
    <row r="42" spans="1:41">
      <c r="A42" s="35">
        <v>3</v>
      </c>
      <c r="B42" s="35">
        <v>1983</v>
      </c>
    </row>
    <row r="43" spans="1:41">
      <c r="A43" s="35">
        <v>4</v>
      </c>
      <c r="B43" s="35">
        <v>1984</v>
      </c>
    </row>
    <row r="44" spans="1:41">
      <c r="A44" s="35">
        <v>5</v>
      </c>
      <c r="B44" s="35">
        <v>1985</v>
      </c>
    </row>
    <row r="45" spans="1:41">
      <c r="A45" s="35">
        <v>6</v>
      </c>
      <c r="B45" s="35">
        <v>1986</v>
      </c>
    </row>
    <row r="46" spans="1:41">
      <c r="A46" s="35">
        <v>7</v>
      </c>
      <c r="B46" s="35">
        <v>1987</v>
      </c>
    </row>
    <row r="47" spans="1:41">
      <c r="A47" s="35">
        <v>8</v>
      </c>
      <c r="B47" s="35">
        <v>1988</v>
      </c>
    </row>
    <row r="48" spans="1:41">
      <c r="A48" s="35">
        <v>9</v>
      </c>
      <c r="B48" s="35">
        <v>1989</v>
      </c>
    </row>
    <row r="49" spans="1:2">
      <c r="A49" s="35">
        <v>10</v>
      </c>
      <c r="B49" s="35">
        <v>1990</v>
      </c>
    </row>
    <row r="50" spans="1:2">
      <c r="A50" s="35">
        <v>11</v>
      </c>
      <c r="B50" s="35">
        <v>1991</v>
      </c>
    </row>
    <row r="51" spans="1:2">
      <c r="A51" s="35">
        <v>12</v>
      </c>
      <c r="B51" s="35">
        <v>1992</v>
      </c>
    </row>
    <row r="52" spans="1:2">
      <c r="A52" s="35">
        <v>13</v>
      </c>
      <c r="B52" s="35">
        <v>1993</v>
      </c>
    </row>
    <row r="53" spans="1:2">
      <c r="A53" s="35">
        <v>14</v>
      </c>
      <c r="B53" s="35">
        <v>1994</v>
      </c>
    </row>
    <row r="54" spans="1:2">
      <c r="A54" s="35">
        <v>15</v>
      </c>
      <c r="B54" s="35">
        <v>1995</v>
      </c>
    </row>
    <row r="55" spans="1:2">
      <c r="A55" s="35">
        <v>16</v>
      </c>
      <c r="B55" s="35">
        <v>1996</v>
      </c>
    </row>
    <row r="56" spans="1:2">
      <c r="A56" s="35">
        <v>17</v>
      </c>
      <c r="B56" s="35">
        <v>1997</v>
      </c>
    </row>
    <row r="57" spans="1:2">
      <c r="A57" s="35">
        <v>18</v>
      </c>
      <c r="B57" s="35">
        <v>1998</v>
      </c>
    </row>
    <row r="58" spans="1:2">
      <c r="A58" s="35">
        <v>19</v>
      </c>
      <c r="B58" s="35">
        <v>1999</v>
      </c>
    </row>
    <row r="59" spans="1:2">
      <c r="A59" s="35">
        <v>20</v>
      </c>
      <c r="B59" s="35">
        <v>2000</v>
      </c>
    </row>
    <row r="60" spans="1:2">
      <c r="A60" s="35">
        <v>21</v>
      </c>
      <c r="B60" s="35">
        <v>2001</v>
      </c>
    </row>
    <row r="61" spans="1:2">
      <c r="A61" s="35">
        <v>22</v>
      </c>
      <c r="B61" s="35">
        <v>2002</v>
      </c>
    </row>
    <row r="62" spans="1:2">
      <c r="A62" s="35">
        <v>23</v>
      </c>
      <c r="B62" s="35">
        <v>2003</v>
      </c>
    </row>
    <row r="63" spans="1:2">
      <c r="A63" s="35">
        <v>24</v>
      </c>
      <c r="B63" s="35">
        <v>2004</v>
      </c>
    </row>
    <row r="64" spans="1:2">
      <c r="A64" s="35">
        <v>25</v>
      </c>
      <c r="B64" s="35">
        <v>2005</v>
      </c>
    </row>
    <row r="65" spans="1:41">
      <c r="A65" s="35">
        <v>26</v>
      </c>
      <c r="B65" s="35">
        <v>2006</v>
      </c>
    </row>
    <row r="66" spans="1:41">
      <c r="A66" s="35">
        <v>27</v>
      </c>
      <c r="B66" s="35">
        <v>2007</v>
      </c>
    </row>
    <row r="67" spans="1:41">
      <c r="A67" s="35">
        <v>28</v>
      </c>
      <c r="B67" s="35">
        <v>2008</v>
      </c>
    </row>
    <row r="68" spans="1:41">
      <c r="A68" s="35">
        <v>29</v>
      </c>
      <c r="B68" s="35">
        <v>2009</v>
      </c>
    </row>
    <row r="69" spans="1:41">
      <c r="A69" s="35">
        <v>30</v>
      </c>
      <c r="B69" s="35">
        <v>2010</v>
      </c>
    </row>
    <row r="70" spans="1:41">
      <c r="A70" s="35">
        <v>31</v>
      </c>
      <c r="B70" s="35">
        <v>2011</v>
      </c>
    </row>
    <row r="71" spans="1:41">
      <c r="A71" s="35">
        <v>32</v>
      </c>
      <c r="B71" s="35">
        <v>2012</v>
      </c>
    </row>
    <row r="72" spans="1:41">
      <c r="A72" s="35">
        <v>33</v>
      </c>
      <c r="B72" s="35">
        <v>2013</v>
      </c>
    </row>
    <row r="73" spans="1:41">
      <c r="A73" s="35">
        <v>34</v>
      </c>
      <c r="B73" s="35">
        <v>2014</v>
      </c>
    </row>
    <row r="74" spans="1:41">
      <c r="A74" s="35">
        <v>35</v>
      </c>
      <c r="B74" s="35">
        <v>2015</v>
      </c>
    </row>
    <row r="75" spans="1:41">
      <c r="A75" s="35">
        <v>36</v>
      </c>
      <c r="B75" s="35">
        <v>2016</v>
      </c>
    </row>
    <row r="76" spans="1:41">
      <c r="A76" s="35">
        <v>37</v>
      </c>
      <c r="B76" s="35">
        <v>2017</v>
      </c>
    </row>
    <row r="77" spans="1:41">
      <c r="A77" s="35">
        <v>38</v>
      </c>
      <c r="B77" s="35">
        <v>2018</v>
      </c>
    </row>
    <row r="78" spans="1:41">
      <c r="A78" s="35"/>
      <c r="B78" s="35"/>
    </row>
    <row r="80" spans="1:41">
      <c r="A80" t="s">
        <v>346</v>
      </c>
      <c r="B80">
        <v>1</v>
      </c>
      <c r="C80">
        <v>2</v>
      </c>
      <c r="D80">
        <v>3</v>
      </c>
      <c r="E80">
        <v>4</v>
      </c>
      <c r="F80">
        <v>5</v>
      </c>
      <c r="G80">
        <v>6</v>
      </c>
      <c r="H80">
        <v>7</v>
      </c>
      <c r="I80">
        <v>8</v>
      </c>
      <c r="J80">
        <v>9</v>
      </c>
      <c r="K80">
        <v>10</v>
      </c>
      <c r="L80">
        <v>11</v>
      </c>
      <c r="M80">
        <v>12</v>
      </c>
      <c r="N80">
        <v>13</v>
      </c>
      <c r="O80">
        <v>14</v>
      </c>
      <c r="P80">
        <v>15</v>
      </c>
      <c r="Q80">
        <v>16</v>
      </c>
      <c r="R80">
        <v>17</v>
      </c>
      <c r="S80">
        <v>18</v>
      </c>
      <c r="T80">
        <v>19</v>
      </c>
      <c r="U80">
        <v>20</v>
      </c>
      <c r="V80">
        <v>21</v>
      </c>
      <c r="W80">
        <v>22</v>
      </c>
      <c r="X80">
        <v>23</v>
      </c>
      <c r="Y80">
        <v>24</v>
      </c>
      <c r="Z80">
        <v>25</v>
      </c>
      <c r="AA80">
        <v>26</v>
      </c>
      <c r="AB80">
        <v>27</v>
      </c>
      <c r="AC80">
        <v>28</v>
      </c>
      <c r="AD80">
        <v>29</v>
      </c>
      <c r="AE80">
        <v>30</v>
      </c>
      <c r="AF80">
        <v>31</v>
      </c>
      <c r="AG80">
        <v>32</v>
      </c>
      <c r="AH80">
        <v>33</v>
      </c>
      <c r="AI80">
        <v>34</v>
      </c>
      <c r="AJ80">
        <v>35</v>
      </c>
      <c r="AK80">
        <v>36</v>
      </c>
      <c r="AL80">
        <v>37</v>
      </c>
      <c r="AM80">
        <v>38</v>
      </c>
      <c r="AN80">
        <v>39</v>
      </c>
      <c r="AO80">
        <v>40</v>
      </c>
    </row>
    <row r="81" spans="1:41">
      <c r="A81" t="s">
        <v>347</v>
      </c>
      <c r="B81">
        <v>1981</v>
      </c>
      <c r="C81">
        <v>1982</v>
      </c>
      <c r="D81">
        <v>1983</v>
      </c>
      <c r="E81">
        <v>1984</v>
      </c>
      <c r="F81">
        <v>1985</v>
      </c>
      <c r="G81">
        <v>1986</v>
      </c>
      <c r="H81">
        <v>1987</v>
      </c>
      <c r="I81">
        <v>1988</v>
      </c>
      <c r="J81">
        <v>1989</v>
      </c>
      <c r="K81">
        <v>1990</v>
      </c>
      <c r="L81">
        <v>1991</v>
      </c>
      <c r="M81">
        <v>1992</v>
      </c>
      <c r="N81">
        <v>1993</v>
      </c>
      <c r="O81">
        <v>1994</v>
      </c>
      <c r="P81">
        <v>1995</v>
      </c>
      <c r="Q81">
        <v>1996</v>
      </c>
      <c r="R81">
        <v>1997</v>
      </c>
      <c r="S81">
        <v>1998</v>
      </c>
      <c r="T81">
        <v>1999</v>
      </c>
      <c r="U81">
        <v>2000</v>
      </c>
      <c r="V81">
        <v>2001</v>
      </c>
      <c r="W81">
        <v>2002</v>
      </c>
      <c r="X81">
        <v>2003</v>
      </c>
      <c r="Y81">
        <v>2004</v>
      </c>
      <c r="Z81">
        <v>2005</v>
      </c>
      <c r="AA81">
        <v>2006</v>
      </c>
      <c r="AB81">
        <v>2007</v>
      </c>
      <c r="AC81">
        <v>2008</v>
      </c>
      <c r="AD81">
        <v>2009</v>
      </c>
      <c r="AE81">
        <v>2010</v>
      </c>
      <c r="AF81">
        <v>2011</v>
      </c>
      <c r="AG81">
        <v>2012</v>
      </c>
      <c r="AH81">
        <v>2013</v>
      </c>
      <c r="AI81">
        <v>2014</v>
      </c>
      <c r="AJ81">
        <v>2015</v>
      </c>
      <c r="AK81">
        <v>2016</v>
      </c>
      <c r="AL81">
        <v>2017</v>
      </c>
      <c r="AM81">
        <v>2018</v>
      </c>
      <c r="AN81" t="e">
        <v>#N/A</v>
      </c>
      <c r="AO81" t="e">
        <v>#N/A</v>
      </c>
    </row>
    <row r="82" spans="1:41">
      <c r="A82" t="s">
        <v>348</v>
      </c>
      <c r="B82">
        <v>1998</v>
      </c>
      <c r="C82">
        <v>2004</v>
      </c>
      <c r="D82" t="e">
        <v>#N/A</v>
      </c>
      <c r="E82">
        <v>1995</v>
      </c>
      <c r="F82">
        <v>2009</v>
      </c>
      <c r="G82">
        <v>2008</v>
      </c>
      <c r="H82">
        <v>1989</v>
      </c>
      <c r="I82">
        <v>1996</v>
      </c>
      <c r="J82">
        <v>2013</v>
      </c>
      <c r="K82">
        <v>2012</v>
      </c>
      <c r="L82" t="e">
        <v>#N/A</v>
      </c>
      <c r="M82">
        <v>1997</v>
      </c>
      <c r="N82">
        <v>1985</v>
      </c>
      <c r="O82">
        <v>1983</v>
      </c>
      <c r="P82">
        <v>1985</v>
      </c>
      <c r="Q82">
        <v>2008</v>
      </c>
      <c r="R82">
        <v>1984</v>
      </c>
      <c r="S82">
        <v>2015</v>
      </c>
      <c r="T82">
        <v>1998</v>
      </c>
      <c r="U82">
        <v>2006</v>
      </c>
      <c r="V82">
        <v>2013</v>
      </c>
      <c r="W82">
        <v>1989</v>
      </c>
      <c r="X82">
        <v>1990</v>
      </c>
      <c r="Y82">
        <v>1993</v>
      </c>
      <c r="Z82">
        <v>2012</v>
      </c>
      <c r="AA82" t="e">
        <v>#N/A</v>
      </c>
      <c r="AB82">
        <v>1989</v>
      </c>
      <c r="AC82">
        <v>2004</v>
      </c>
      <c r="AD82">
        <v>1981</v>
      </c>
      <c r="AE82">
        <v>2018</v>
      </c>
      <c r="AF82">
        <v>2009</v>
      </c>
      <c r="AG82">
        <v>2003</v>
      </c>
      <c r="AH82">
        <v>1981</v>
      </c>
      <c r="AI82">
        <v>2018</v>
      </c>
      <c r="AJ82">
        <v>1995</v>
      </c>
      <c r="AK82">
        <v>1995</v>
      </c>
      <c r="AL82">
        <v>1994</v>
      </c>
      <c r="AM82">
        <v>1986</v>
      </c>
      <c r="AN82">
        <v>2017</v>
      </c>
      <c r="AO82">
        <v>2005</v>
      </c>
    </row>
    <row r="83" spans="1:41">
      <c r="A83" t="s">
        <v>349</v>
      </c>
      <c r="B83">
        <v>1982</v>
      </c>
      <c r="C83">
        <v>2017</v>
      </c>
      <c r="D83">
        <v>2007</v>
      </c>
      <c r="E83">
        <v>2008</v>
      </c>
      <c r="F83">
        <v>1998</v>
      </c>
      <c r="G83">
        <v>1987</v>
      </c>
      <c r="H83">
        <v>2008</v>
      </c>
      <c r="I83">
        <v>2010</v>
      </c>
      <c r="J83">
        <v>1988</v>
      </c>
      <c r="K83" t="e">
        <v>#N/A</v>
      </c>
      <c r="L83">
        <v>2011</v>
      </c>
      <c r="M83">
        <v>1999</v>
      </c>
      <c r="N83">
        <v>1997</v>
      </c>
      <c r="O83">
        <v>2006</v>
      </c>
      <c r="P83">
        <v>2005</v>
      </c>
      <c r="Q83">
        <v>2000</v>
      </c>
      <c r="R83">
        <v>1990</v>
      </c>
      <c r="S83">
        <v>1985</v>
      </c>
      <c r="T83">
        <v>2012</v>
      </c>
      <c r="U83">
        <v>2006</v>
      </c>
      <c r="V83">
        <v>2000</v>
      </c>
      <c r="W83">
        <v>2014</v>
      </c>
      <c r="X83">
        <v>2018</v>
      </c>
      <c r="Y83">
        <v>1993</v>
      </c>
      <c r="Z83">
        <v>2002</v>
      </c>
      <c r="AA83">
        <v>1985</v>
      </c>
      <c r="AB83">
        <v>1992</v>
      </c>
      <c r="AC83">
        <v>2002</v>
      </c>
      <c r="AD83">
        <v>1992</v>
      </c>
      <c r="AE83">
        <v>1987</v>
      </c>
      <c r="AF83">
        <v>1990</v>
      </c>
      <c r="AG83">
        <v>2006</v>
      </c>
      <c r="AH83">
        <v>2008</v>
      </c>
      <c r="AI83">
        <v>1989</v>
      </c>
      <c r="AJ83">
        <v>1985</v>
      </c>
      <c r="AK83" t="e">
        <v>#N/A</v>
      </c>
      <c r="AL83">
        <v>2002</v>
      </c>
      <c r="AM83">
        <v>1995</v>
      </c>
      <c r="AN83">
        <v>1994</v>
      </c>
      <c r="AO83" t="e">
        <v>#N/A</v>
      </c>
    </row>
    <row r="84" spans="1:41">
      <c r="A84" t="s">
        <v>350</v>
      </c>
      <c r="B84">
        <v>1984</v>
      </c>
      <c r="C84">
        <v>1998</v>
      </c>
      <c r="D84">
        <v>2015</v>
      </c>
      <c r="E84">
        <v>2011</v>
      </c>
      <c r="F84">
        <v>1988</v>
      </c>
      <c r="G84">
        <v>1995</v>
      </c>
      <c r="H84">
        <v>1993</v>
      </c>
      <c r="I84">
        <v>2007</v>
      </c>
      <c r="J84">
        <v>1983</v>
      </c>
      <c r="K84">
        <v>1989</v>
      </c>
      <c r="L84">
        <v>1993</v>
      </c>
      <c r="M84">
        <v>1982</v>
      </c>
      <c r="N84">
        <v>1986</v>
      </c>
      <c r="O84">
        <v>1989</v>
      </c>
      <c r="P84">
        <v>1982</v>
      </c>
      <c r="Q84">
        <v>1982</v>
      </c>
      <c r="R84">
        <v>2000</v>
      </c>
      <c r="S84">
        <v>2008</v>
      </c>
      <c r="T84">
        <v>2001</v>
      </c>
      <c r="U84" t="e">
        <v>#N/A</v>
      </c>
      <c r="V84">
        <v>1988</v>
      </c>
      <c r="W84">
        <v>2010</v>
      </c>
      <c r="X84">
        <v>2013</v>
      </c>
      <c r="Y84">
        <v>2001</v>
      </c>
      <c r="Z84">
        <v>1995</v>
      </c>
      <c r="AA84">
        <v>2015</v>
      </c>
      <c r="AB84" t="e">
        <v>#N/A</v>
      </c>
      <c r="AC84">
        <v>2013</v>
      </c>
      <c r="AD84">
        <v>1999</v>
      </c>
      <c r="AE84" t="e">
        <v>#N/A</v>
      </c>
      <c r="AF84">
        <v>1983</v>
      </c>
      <c r="AG84">
        <v>1985</v>
      </c>
      <c r="AH84">
        <v>1992</v>
      </c>
      <c r="AI84">
        <v>1987</v>
      </c>
      <c r="AJ84">
        <v>2014</v>
      </c>
      <c r="AK84">
        <v>1991</v>
      </c>
      <c r="AL84">
        <v>2014</v>
      </c>
      <c r="AM84">
        <v>2003</v>
      </c>
      <c r="AN84">
        <v>1984</v>
      </c>
      <c r="AO84">
        <v>1985</v>
      </c>
    </row>
    <row r="85" spans="1:41">
      <c r="A85" t="s">
        <v>351</v>
      </c>
      <c r="B85">
        <v>2014</v>
      </c>
      <c r="C85">
        <v>2013</v>
      </c>
      <c r="D85" t="e">
        <v>#N/A</v>
      </c>
      <c r="E85">
        <v>1995</v>
      </c>
      <c r="F85">
        <v>2016</v>
      </c>
      <c r="G85">
        <v>2011</v>
      </c>
      <c r="H85">
        <v>1989</v>
      </c>
      <c r="I85">
        <v>2011</v>
      </c>
      <c r="J85">
        <v>2005</v>
      </c>
      <c r="K85">
        <v>2016</v>
      </c>
      <c r="L85">
        <v>2008</v>
      </c>
      <c r="M85">
        <v>2011</v>
      </c>
      <c r="N85">
        <v>2001</v>
      </c>
      <c r="O85">
        <v>1981</v>
      </c>
      <c r="P85">
        <v>1983</v>
      </c>
      <c r="Q85">
        <v>2008</v>
      </c>
      <c r="R85">
        <v>1989</v>
      </c>
      <c r="S85">
        <v>1989</v>
      </c>
      <c r="T85">
        <v>1992</v>
      </c>
      <c r="U85">
        <v>1997</v>
      </c>
      <c r="V85">
        <v>2004</v>
      </c>
      <c r="W85">
        <v>1989</v>
      </c>
      <c r="X85">
        <v>2004</v>
      </c>
      <c r="Y85">
        <v>2000</v>
      </c>
      <c r="Z85">
        <v>2017</v>
      </c>
      <c r="AA85">
        <v>1981</v>
      </c>
      <c r="AB85">
        <v>2006</v>
      </c>
      <c r="AC85">
        <v>1983</v>
      </c>
      <c r="AD85">
        <v>2009</v>
      </c>
      <c r="AE85">
        <v>2003</v>
      </c>
      <c r="AF85">
        <v>1993</v>
      </c>
      <c r="AG85">
        <v>1982</v>
      </c>
      <c r="AH85">
        <v>1997</v>
      </c>
      <c r="AI85">
        <v>2010</v>
      </c>
      <c r="AJ85">
        <v>1984</v>
      </c>
      <c r="AK85">
        <v>1990</v>
      </c>
      <c r="AL85">
        <v>2005</v>
      </c>
      <c r="AM85">
        <v>2003</v>
      </c>
      <c r="AN85">
        <v>1989</v>
      </c>
      <c r="AO85">
        <v>1985</v>
      </c>
    </row>
    <row r="86" spans="1:41">
      <c r="A86" t="s">
        <v>352</v>
      </c>
      <c r="B86">
        <v>1987</v>
      </c>
      <c r="C86">
        <v>2011</v>
      </c>
      <c r="D86">
        <v>2004</v>
      </c>
      <c r="E86">
        <v>1982</v>
      </c>
      <c r="F86">
        <v>1982</v>
      </c>
      <c r="G86">
        <v>2016</v>
      </c>
      <c r="H86">
        <v>2015</v>
      </c>
      <c r="I86">
        <v>1992</v>
      </c>
      <c r="J86">
        <v>1997</v>
      </c>
      <c r="K86">
        <v>2009</v>
      </c>
      <c r="L86">
        <v>2011</v>
      </c>
      <c r="M86">
        <v>2007</v>
      </c>
      <c r="N86">
        <v>1999</v>
      </c>
      <c r="O86">
        <v>1989</v>
      </c>
      <c r="P86">
        <v>2001</v>
      </c>
      <c r="Q86">
        <v>2010</v>
      </c>
      <c r="R86">
        <v>1983</v>
      </c>
      <c r="S86" t="e">
        <v>#N/A</v>
      </c>
      <c r="T86">
        <v>2015</v>
      </c>
      <c r="U86">
        <v>1994</v>
      </c>
      <c r="V86">
        <v>1991</v>
      </c>
      <c r="W86">
        <v>2005</v>
      </c>
      <c r="X86">
        <v>1996</v>
      </c>
      <c r="Y86">
        <v>1997</v>
      </c>
      <c r="Z86">
        <v>1989</v>
      </c>
      <c r="AA86">
        <v>1987</v>
      </c>
      <c r="AB86">
        <v>2008</v>
      </c>
      <c r="AC86">
        <v>2004</v>
      </c>
      <c r="AD86">
        <v>2002</v>
      </c>
      <c r="AE86">
        <v>1984</v>
      </c>
      <c r="AF86">
        <v>1989</v>
      </c>
      <c r="AG86">
        <v>2017</v>
      </c>
      <c r="AH86">
        <v>2010</v>
      </c>
      <c r="AI86">
        <v>2000</v>
      </c>
      <c r="AJ86">
        <v>2005</v>
      </c>
      <c r="AK86">
        <v>1983</v>
      </c>
      <c r="AL86">
        <v>2015</v>
      </c>
      <c r="AM86">
        <v>1993</v>
      </c>
      <c r="AN86">
        <v>1995</v>
      </c>
      <c r="AO86">
        <v>1981</v>
      </c>
    </row>
    <row r="87" spans="1:41">
      <c r="A87" t="s">
        <v>353</v>
      </c>
      <c r="B87">
        <v>1986</v>
      </c>
      <c r="C87">
        <v>2010</v>
      </c>
      <c r="D87" t="e">
        <v>#N/A</v>
      </c>
      <c r="E87">
        <v>2002</v>
      </c>
      <c r="F87">
        <v>2006</v>
      </c>
      <c r="G87">
        <v>1999</v>
      </c>
      <c r="H87">
        <v>1988</v>
      </c>
      <c r="I87">
        <v>1999</v>
      </c>
      <c r="J87">
        <v>2013</v>
      </c>
      <c r="K87">
        <v>1991</v>
      </c>
      <c r="L87">
        <v>2013</v>
      </c>
      <c r="M87">
        <v>1984</v>
      </c>
      <c r="N87">
        <v>1998</v>
      </c>
      <c r="O87">
        <v>1988</v>
      </c>
      <c r="P87">
        <v>1997</v>
      </c>
      <c r="Q87">
        <v>1990</v>
      </c>
      <c r="R87">
        <v>1995</v>
      </c>
      <c r="S87">
        <v>2015</v>
      </c>
      <c r="T87">
        <v>1982</v>
      </c>
      <c r="U87">
        <v>1996</v>
      </c>
      <c r="V87">
        <v>1992</v>
      </c>
      <c r="W87">
        <v>1997</v>
      </c>
      <c r="X87">
        <v>1991</v>
      </c>
      <c r="Y87">
        <v>2005</v>
      </c>
      <c r="Z87">
        <v>2005</v>
      </c>
      <c r="AA87">
        <v>2018</v>
      </c>
      <c r="AB87">
        <v>2005</v>
      </c>
      <c r="AC87">
        <v>1993</v>
      </c>
      <c r="AD87">
        <v>2008</v>
      </c>
      <c r="AE87">
        <v>1988</v>
      </c>
      <c r="AF87">
        <v>1989</v>
      </c>
      <c r="AG87">
        <v>2012</v>
      </c>
      <c r="AH87">
        <v>2017</v>
      </c>
      <c r="AI87">
        <v>1983</v>
      </c>
      <c r="AJ87">
        <v>2013</v>
      </c>
      <c r="AK87">
        <v>2006</v>
      </c>
      <c r="AL87">
        <v>1988</v>
      </c>
      <c r="AM87">
        <v>1981</v>
      </c>
      <c r="AN87">
        <v>1984</v>
      </c>
      <c r="AO87">
        <v>1993</v>
      </c>
    </row>
    <row r="88" spans="1:41">
      <c r="A88" t="s">
        <v>354</v>
      </c>
      <c r="B88">
        <v>2000</v>
      </c>
      <c r="C88">
        <v>1988</v>
      </c>
      <c r="D88">
        <v>1993</v>
      </c>
      <c r="E88">
        <v>1995</v>
      </c>
      <c r="F88">
        <v>2011</v>
      </c>
      <c r="G88">
        <v>2002</v>
      </c>
      <c r="H88">
        <v>2012</v>
      </c>
      <c r="I88">
        <v>1981</v>
      </c>
      <c r="J88">
        <v>1987</v>
      </c>
      <c r="K88" t="e">
        <v>#N/A</v>
      </c>
      <c r="L88">
        <v>2014</v>
      </c>
      <c r="M88">
        <v>1982</v>
      </c>
      <c r="N88" t="e">
        <v>#N/A</v>
      </c>
      <c r="O88">
        <v>2017</v>
      </c>
      <c r="P88">
        <v>2004</v>
      </c>
      <c r="Q88">
        <v>2013</v>
      </c>
      <c r="R88">
        <v>1998</v>
      </c>
      <c r="S88">
        <v>1991</v>
      </c>
      <c r="T88">
        <v>1981</v>
      </c>
      <c r="U88">
        <v>1988</v>
      </c>
      <c r="V88">
        <v>2007</v>
      </c>
      <c r="W88">
        <v>2004</v>
      </c>
      <c r="X88">
        <v>1996</v>
      </c>
      <c r="Y88">
        <v>2011</v>
      </c>
      <c r="Z88">
        <v>1981</v>
      </c>
      <c r="AA88">
        <v>2012</v>
      </c>
      <c r="AB88">
        <v>1995</v>
      </c>
      <c r="AC88">
        <v>2017</v>
      </c>
      <c r="AD88">
        <v>2012</v>
      </c>
      <c r="AE88">
        <v>1990</v>
      </c>
      <c r="AF88">
        <v>2017</v>
      </c>
      <c r="AG88">
        <v>2008</v>
      </c>
      <c r="AH88">
        <v>2005</v>
      </c>
      <c r="AI88">
        <v>1982</v>
      </c>
      <c r="AJ88">
        <v>2010</v>
      </c>
      <c r="AK88">
        <v>1995</v>
      </c>
      <c r="AL88">
        <v>1992</v>
      </c>
      <c r="AM88">
        <v>1987</v>
      </c>
      <c r="AN88">
        <v>1991</v>
      </c>
      <c r="AO88">
        <v>1984</v>
      </c>
    </row>
    <row r="89" spans="1:41">
      <c r="A89" t="s">
        <v>355</v>
      </c>
      <c r="B89">
        <v>1995</v>
      </c>
      <c r="C89">
        <v>2018</v>
      </c>
      <c r="D89">
        <v>1996</v>
      </c>
      <c r="E89">
        <v>2013</v>
      </c>
      <c r="F89">
        <v>1983</v>
      </c>
      <c r="G89">
        <v>1990</v>
      </c>
      <c r="H89">
        <v>1983</v>
      </c>
      <c r="I89">
        <v>1991</v>
      </c>
      <c r="J89">
        <v>2000</v>
      </c>
      <c r="K89">
        <v>1983</v>
      </c>
      <c r="L89">
        <v>1992</v>
      </c>
      <c r="M89">
        <v>2011</v>
      </c>
      <c r="N89">
        <v>1984</v>
      </c>
      <c r="O89">
        <v>2012</v>
      </c>
      <c r="P89">
        <v>2016</v>
      </c>
      <c r="Q89">
        <v>1988</v>
      </c>
      <c r="R89">
        <v>2010</v>
      </c>
      <c r="S89">
        <v>1987</v>
      </c>
      <c r="T89">
        <v>1991</v>
      </c>
      <c r="U89">
        <v>2013</v>
      </c>
      <c r="V89">
        <v>1991</v>
      </c>
      <c r="W89">
        <v>1993</v>
      </c>
      <c r="X89">
        <v>1996</v>
      </c>
      <c r="Y89">
        <v>2009</v>
      </c>
      <c r="Z89">
        <v>2002</v>
      </c>
      <c r="AA89">
        <v>2011</v>
      </c>
      <c r="AB89">
        <v>1985</v>
      </c>
      <c r="AC89">
        <v>2012</v>
      </c>
      <c r="AD89">
        <v>1986</v>
      </c>
      <c r="AE89">
        <v>2014</v>
      </c>
      <c r="AF89">
        <v>1994</v>
      </c>
      <c r="AG89">
        <v>1984</v>
      </c>
      <c r="AH89">
        <v>2018</v>
      </c>
      <c r="AI89">
        <v>1998</v>
      </c>
      <c r="AJ89">
        <v>1992</v>
      </c>
      <c r="AK89">
        <v>1990</v>
      </c>
      <c r="AL89">
        <v>2014</v>
      </c>
      <c r="AM89">
        <v>1984</v>
      </c>
      <c r="AN89">
        <v>2011</v>
      </c>
      <c r="AO89">
        <v>2008</v>
      </c>
    </row>
    <row r="90" spans="1:41">
      <c r="A90" t="s">
        <v>356</v>
      </c>
      <c r="B90">
        <v>1999</v>
      </c>
      <c r="C90">
        <v>2000</v>
      </c>
      <c r="D90">
        <v>2017</v>
      </c>
      <c r="E90">
        <v>1990</v>
      </c>
      <c r="F90" t="e">
        <v>#N/A</v>
      </c>
      <c r="G90">
        <v>2012</v>
      </c>
      <c r="H90">
        <v>2009</v>
      </c>
      <c r="I90">
        <v>1993</v>
      </c>
      <c r="J90">
        <v>1992</v>
      </c>
      <c r="K90">
        <v>2012</v>
      </c>
      <c r="L90">
        <v>2007</v>
      </c>
      <c r="M90">
        <v>2002</v>
      </c>
      <c r="N90">
        <v>1994</v>
      </c>
      <c r="O90">
        <v>2006</v>
      </c>
      <c r="P90">
        <v>2012</v>
      </c>
      <c r="Q90">
        <v>1981</v>
      </c>
      <c r="R90" t="e">
        <v>#N/A</v>
      </c>
      <c r="S90">
        <v>2015</v>
      </c>
      <c r="T90">
        <v>1996</v>
      </c>
      <c r="U90">
        <v>2004</v>
      </c>
      <c r="V90">
        <v>2006</v>
      </c>
      <c r="W90">
        <v>2014</v>
      </c>
      <c r="X90">
        <v>1986</v>
      </c>
      <c r="Y90">
        <v>1995</v>
      </c>
      <c r="Z90">
        <v>2017</v>
      </c>
      <c r="AA90">
        <v>2016</v>
      </c>
      <c r="AB90">
        <v>1981</v>
      </c>
      <c r="AC90">
        <v>2017</v>
      </c>
      <c r="AD90">
        <v>2011</v>
      </c>
      <c r="AE90">
        <v>1991</v>
      </c>
      <c r="AF90">
        <v>2006</v>
      </c>
      <c r="AG90">
        <v>2016</v>
      </c>
      <c r="AH90">
        <v>1997</v>
      </c>
      <c r="AI90">
        <v>1997</v>
      </c>
      <c r="AJ90">
        <v>1991</v>
      </c>
      <c r="AK90">
        <v>1995</v>
      </c>
      <c r="AL90">
        <v>2001</v>
      </c>
      <c r="AM90">
        <v>2014</v>
      </c>
      <c r="AN90">
        <v>2012</v>
      </c>
      <c r="AO90">
        <v>1988</v>
      </c>
    </row>
  </sheetData>
  <conditionalFormatting sqref="B2:AO17">
    <cfRule type="cellIs" dxfId="1" priority="1" operator="between">
      <formula>1990</formula>
      <formula>1990</formula>
    </cfRule>
    <cfRule type="cellIs" dxfId="0" priority="2" operator="between">
      <formula>2010</formula>
      <formula>2010</formula>
    </cfRule>
  </conditionalFormatting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EEAAD-8767-4DEE-9506-5F8481B22889}">
  <dimension ref="D1:T44"/>
  <sheetViews>
    <sheetView topLeftCell="A10" workbookViewId="0">
      <selection activeCell="F48" sqref="F48"/>
    </sheetView>
  </sheetViews>
  <sheetFormatPr defaultRowHeight="15"/>
  <sheetData>
    <row r="1" spans="4:14">
      <c r="D1" t="s">
        <v>520</v>
      </c>
    </row>
    <row r="4" spans="4:14">
      <c r="N4" t="s">
        <v>521</v>
      </c>
    </row>
    <row r="22" spans="17:20">
      <c r="Q22" s="64"/>
      <c r="R22" s="64">
        <v>2030</v>
      </c>
      <c r="S22" s="64">
        <v>2040</v>
      </c>
      <c r="T22" s="64">
        <v>2050</v>
      </c>
    </row>
    <row r="23" spans="17:20">
      <c r="Q23" s="63" t="s">
        <v>522</v>
      </c>
      <c r="R23" s="86">
        <v>20.63</v>
      </c>
      <c r="S23" s="86">
        <v>16.079999999999998</v>
      </c>
      <c r="T23" s="86">
        <v>12.52</v>
      </c>
    </row>
    <row r="24" spans="17:20">
      <c r="Q24" s="63" t="s">
        <v>522</v>
      </c>
      <c r="R24" s="86">
        <f>R23*3.6</f>
        <v>74.268000000000001</v>
      </c>
      <c r="S24" s="86">
        <f t="shared" ref="S24:T24" si="0">S23*3.6</f>
        <v>57.887999999999998</v>
      </c>
      <c r="T24" s="86">
        <f t="shared" si="0"/>
        <v>45.072000000000003</v>
      </c>
    </row>
    <row r="27" spans="17:20">
      <c r="Q27" t="s">
        <v>523</v>
      </c>
    </row>
    <row r="30" spans="17:20">
      <c r="Q30" t="s">
        <v>524</v>
      </c>
      <c r="R30" s="84">
        <v>2020</v>
      </c>
      <c r="S30" s="84">
        <v>2030</v>
      </c>
      <c r="T30" s="84">
        <v>2050</v>
      </c>
    </row>
    <row r="31" spans="17:20">
      <c r="Q31" t="s">
        <v>525</v>
      </c>
      <c r="R31" s="83">
        <v>21.175000000000001</v>
      </c>
      <c r="S31" s="83">
        <v>40.68</v>
      </c>
      <c r="T31">
        <v>79.69</v>
      </c>
    </row>
    <row r="32" spans="17:20">
      <c r="Q32" s="83" t="s">
        <v>141</v>
      </c>
      <c r="R32" s="83">
        <v>74.965000000000003</v>
      </c>
      <c r="S32" s="83">
        <v>65</v>
      </c>
      <c r="T32" s="83">
        <v>45.07</v>
      </c>
    </row>
    <row r="33" spans="17:20">
      <c r="Q33" s="85" t="s">
        <v>526</v>
      </c>
      <c r="R33" s="85">
        <v>46.44</v>
      </c>
      <c r="S33" s="85">
        <v>36.323999999999998</v>
      </c>
      <c r="T33" s="85">
        <v>32.832000000000001</v>
      </c>
    </row>
    <row r="34" spans="17:20">
      <c r="Q34" t="s">
        <v>134</v>
      </c>
      <c r="R34" s="85">
        <v>6.48</v>
      </c>
      <c r="S34" s="85">
        <v>6.48</v>
      </c>
      <c r="T34" s="85">
        <v>6.48</v>
      </c>
    </row>
    <row r="35" spans="17:20">
      <c r="Q35" t="s">
        <v>138</v>
      </c>
      <c r="R35" s="83">
        <v>16.716999999999999</v>
      </c>
      <c r="S35" s="83">
        <v>26.81</v>
      </c>
      <c r="T35">
        <v>46.996000000000002</v>
      </c>
    </row>
    <row r="36" spans="17:20">
      <c r="Q36" t="s">
        <v>143</v>
      </c>
      <c r="R36" s="83">
        <v>13.4</v>
      </c>
      <c r="S36" s="83">
        <v>14.65</v>
      </c>
      <c r="T36">
        <v>42.74</v>
      </c>
    </row>
    <row r="37" spans="17:20">
      <c r="Q37" t="s">
        <v>145</v>
      </c>
      <c r="R37" s="83">
        <v>1.69</v>
      </c>
      <c r="S37" s="83">
        <v>1.69</v>
      </c>
      <c r="T37">
        <v>1.69</v>
      </c>
    </row>
    <row r="38" spans="17:20">
      <c r="Q38" t="s">
        <v>527</v>
      </c>
      <c r="R38" s="85">
        <v>4.5359999999999996</v>
      </c>
      <c r="S38" s="85">
        <v>6.6959999999999997</v>
      </c>
      <c r="T38" s="85">
        <v>14.148</v>
      </c>
    </row>
    <row r="39" spans="17:20">
      <c r="Q39" t="s">
        <v>132</v>
      </c>
      <c r="R39" s="85">
        <v>10.8</v>
      </c>
      <c r="S39" s="85">
        <v>7.0919999999999996</v>
      </c>
      <c r="T39" s="85">
        <v>6.7320000000000002</v>
      </c>
    </row>
    <row r="40" spans="17:20">
      <c r="Q40" t="s">
        <v>136</v>
      </c>
      <c r="R40" s="83">
        <v>7.5</v>
      </c>
      <c r="S40" s="83">
        <v>7.5</v>
      </c>
      <c r="T40">
        <v>7.5</v>
      </c>
    </row>
    <row r="41" spans="17:20">
      <c r="Q41" s="83" t="s">
        <v>528</v>
      </c>
      <c r="R41" s="83">
        <v>45</v>
      </c>
      <c r="S41" s="83">
        <v>45</v>
      </c>
      <c r="T41" s="83">
        <v>45</v>
      </c>
    </row>
    <row r="42" spans="17:20">
      <c r="Q42" t="s">
        <v>147</v>
      </c>
      <c r="R42" s="83">
        <v>82.5</v>
      </c>
      <c r="S42" s="83">
        <v>82.5</v>
      </c>
      <c r="T42">
        <v>82.5</v>
      </c>
    </row>
    <row r="43" spans="17:20">
      <c r="Q43" s="83" t="s">
        <v>149</v>
      </c>
      <c r="R43" s="83">
        <v>86.844999999999999</v>
      </c>
      <c r="S43" s="83">
        <v>74.66</v>
      </c>
      <c r="T43" s="83">
        <v>50.29</v>
      </c>
    </row>
    <row r="44" spans="17:20">
      <c r="Q44" s="83" t="s">
        <v>529</v>
      </c>
      <c r="R44" s="83">
        <v>15</v>
      </c>
      <c r="S44" s="83">
        <v>15</v>
      </c>
      <c r="T44" s="83">
        <v>15</v>
      </c>
    </row>
  </sheetData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A3685-453F-4BB2-9B19-DD6607259109}">
  <dimension ref="A1:I13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1.140625" customWidth="1"/>
    <col min="2" max="3" width="21.85546875" customWidth="1"/>
    <col min="4" max="4" width="11.42578125" customWidth="1"/>
    <col min="5" max="5" width="7.5703125" customWidth="1"/>
    <col min="6" max="6" width="8.7109375" customWidth="1"/>
    <col min="7" max="7" width="24.42578125" customWidth="1"/>
    <col min="8" max="8" width="15.85546875" customWidth="1"/>
    <col min="9" max="9" width="13.42578125" customWidth="1"/>
    <col min="10" max="10" width="23.5703125" customWidth="1"/>
    <col min="12" max="12" width="34.140625" customWidth="1"/>
  </cols>
  <sheetData>
    <row r="1" spans="1:9" ht="30">
      <c r="A1" s="7" t="s">
        <v>270</v>
      </c>
      <c r="B1" s="7" t="s">
        <v>530</v>
      </c>
      <c r="C1" s="7" t="s">
        <v>277</v>
      </c>
      <c r="D1" s="7" t="s">
        <v>531</v>
      </c>
      <c r="E1" s="7" t="s">
        <v>532</v>
      </c>
      <c r="F1" s="7" t="s">
        <v>533</v>
      </c>
      <c r="G1" s="7" t="s">
        <v>534</v>
      </c>
      <c r="H1" s="7" t="s">
        <v>535</v>
      </c>
      <c r="I1" s="7" t="s">
        <v>536</v>
      </c>
    </row>
    <row r="2" spans="1:9" ht="30">
      <c r="A2" t="s">
        <v>500</v>
      </c>
      <c r="B2" s="2" t="s">
        <v>537</v>
      </c>
      <c r="C2" t="s">
        <v>312</v>
      </c>
      <c r="D2" t="s">
        <v>256</v>
      </c>
      <c r="E2" t="s">
        <v>538</v>
      </c>
      <c r="F2">
        <v>2030</v>
      </c>
      <c r="G2" t="str">
        <f>A2</f>
        <v>Hydropower_ROR</v>
      </c>
      <c r="H2">
        <v>80</v>
      </c>
      <c r="I2">
        <v>10</v>
      </c>
    </row>
    <row r="3" spans="1:9" ht="30">
      <c r="A3" t="s">
        <v>489</v>
      </c>
      <c r="B3" s="2" t="s">
        <v>537</v>
      </c>
      <c r="C3" t="s">
        <v>312</v>
      </c>
      <c r="D3" t="s">
        <v>256</v>
      </c>
      <c r="E3" t="s">
        <v>538</v>
      </c>
      <c r="F3">
        <v>2030</v>
      </c>
      <c r="G3" t="str">
        <f t="shared" ref="G3:G13" si="0">A3</f>
        <v>PV_utility_systems</v>
      </c>
      <c r="H3">
        <v>150</v>
      </c>
      <c r="I3">
        <v>8</v>
      </c>
    </row>
    <row r="4" spans="1:9" ht="30">
      <c r="A4" t="s">
        <v>491</v>
      </c>
      <c r="B4" s="2" t="s">
        <v>537</v>
      </c>
      <c r="C4" t="s">
        <v>312</v>
      </c>
      <c r="D4" t="s">
        <v>256</v>
      </c>
      <c r="E4" t="s">
        <v>538</v>
      </c>
      <c r="F4">
        <v>2030</v>
      </c>
      <c r="G4" t="str">
        <f t="shared" si="0"/>
        <v>WTG_onshore</v>
      </c>
      <c r="H4">
        <v>300</v>
      </c>
      <c r="I4">
        <v>5</v>
      </c>
    </row>
    <row r="5" spans="1:9" ht="45">
      <c r="A5" t="s">
        <v>472</v>
      </c>
      <c r="B5" s="2" t="s">
        <v>539</v>
      </c>
      <c r="C5" t="s">
        <v>312</v>
      </c>
      <c r="D5" t="s">
        <v>256</v>
      </c>
      <c r="E5" t="s">
        <v>538</v>
      </c>
      <c r="F5">
        <v>2030</v>
      </c>
      <c r="G5" t="str">
        <f t="shared" si="0"/>
        <v>Biomass_CHP_wood_pellets_DH</v>
      </c>
      <c r="H5">
        <v>50</v>
      </c>
      <c r="I5">
        <v>24.7</v>
      </c>
    </row>
    <row r="6" spans="1:9" ht="30">
      <c r="A6" t="s">
        <v>502</v>
      </c>
      <c r="B6" s="2" t="s">
        <v>537</v>
      </c>
      <c r="C6" t="s">
        <v>312</v>
      </c>
      <c r="D6" t="s">
        <v>256</v>
      </c>
      <c r="E6" t="s">
        <v>538</v>
      </c>
      <c r="F6">
        <v>2030</v>
      </c>
      <c r="G6" t="str">
        <f t="shared" si="0"/>
        <v>Hydropower_reservoir_medium</v>
      </c>
      <c r="H6">
        <v>100</v>
      </c>
      <c r="I6">
        <v>60</v>
      </c>
    </row>
    <row r="7" spans="1:9" ht="30">
      <c r="A7" s="2" t="s">
        <v>115</v>
      </c>
      <c r="B7" s="2" t="s">
        <v>537</v>
      </c>
      <c r="C7" t="s">
        <v>300</v>
      </c>
      <c r="D7" t="s">
        <v>256</v>
      </c>
      <c r="E7" t="s">
        <v>538</v>
      </c>
      <c r="F7">
        <v>2030</v>
      </c>
      <c r="G7" t="str">
        <f t="shared" si="0"/>
        <v>OCGT</v>
      </c>
      <c r="H7">
        <v>100</v>
      </c>
      <c r="I7">
        <v>100</v>
      </c>
    </row>
    <row r="8" spans="1:9" ht="45">
      <c r="A8" s="2" t="s">
        <v>540</v>
      </c>
      <c r="B8" s="2" t="s">
        <v>539</v>
      </c>
      <c r="C8" t="s">
        <v>300</v>
      </c>
      <c r="D8" t="s">
        <v>256</v>
      </c>
      <c r="E8" t="s">
        <v>538</v>
      </c>
      <c r="F8">
        <v>2030</v>
      </c>
      <c r="G8" t="str">
        <f t="shared" si="0"/>
        <v>CCGT CHP backpressure</v>
      </c>
      <c r="H8">
        <v>100</v>
      </c>
      <c r="I8">
        <f>AVERAGE(10,100)</f>
        <v>55</v>
      </c>
    </row>
    <row r="9" spans="1:9" ht="30">
      <c r="A9" t="s">
        <v>490</v>
      </c>
      <c r="B9" s="2" t="s">
        <v>537</v>
      </c>
      <c r="C9" t="s">
        <v>312</v>
      </c>
      <c r="D9" t="s">
        <v>256</v>
      </c>
      <c r="E9" t="s">
        <v>538</v>
      </c>
      <c r="F9">
        <v>2030</v>
      </c>
      <c r="G9" t="str">
        <f t="shared" si="0"/>
        <v>WTG_offshore</v>
      </c>
      <c r="H9">
        <v>200</v>
      </c>
      <c r="I9">
        <v>15</v>
      </c>
    </row>
    <row r="10" spans="1:9" ht="30">
      <c r="A10" t="s">
        <v>501</v>
      </c>
      <c r="B10" s="2" t="s">
        <v>537</v>
      </c>
      <c r="C10" t="s">
        <v>300</v>
      </c>
      <c r="D10" t="s">
        <v>256</v>
      </c>
      <c r="E10" t="s">
        <v>538</v>
      </c>
      <c r="F10">
        <v>2030</v>
      </c>
      <c r="G10" t="str">
        <f t="shared" si="0"/>
        <v>Hydropower_reservoir_large</v>
      </c>
      <c r="H10">
        <v>200</v>
      </c>
      <c r="I10">
        <v>200</v>
      </c>
    </row>
    <row r="11" spans="1:9" ht="30">
      <c r="A11" s="2" t="s">
        <v>102</v>
      </c>
      <c r="B11" s="2" t="s">
        <v>537</v>
      </c>
      <c r="C11" t="s">
        <v>300</v>
      </c>
      <c r="D11" t="s">
        <v>256</v>
      </c>
      <c r="E11" t="s">
        <v>538</v>
      </c>
      <c r="F11">
        <v>2030</v>
      </c>
      <c r="G11" t="str">
        <f t="shared" si="0"/>
        <v>CCGT</v>
      </c>
      <c r="H11">
        <v>300</v>
      </c>
      <c r="I11">
        <f>AVERAGE(100,500)</f>
        <v>300</v>
      </c>
    </row>
    <row r="12" spans="1:9">
      <c r="A12" s="2" t="s">
        <v>511</v>
      </c>
      <c r="B12" s="2" t="s">
        <v>541</v>
      </c>
      <c r="C12" t="s">
        <v>311</v>
      </c>
      <c r="D12" t="s">
        <v>256</v>
      </c>
      <c r="E12" t="s">
        <v>542</v>
      </c>
      <c r="F12">
        <v>2030</v>
      </c>
      <c r="G12" t="str">
        <f t="shared" si="0"/>
        <v>Pumped_hydro</v>
      </c>
      <c r="H12">
        <v>200</v>
      </c>
    </row>
    <row r="13" spans="1:9">
      <c r="A13" s="2" t="s">
        <v>510</v>
      </c>
      <c r="B13" s="2" t="s">
        <v>541</v>
      </c>
      <c r="C13" t="s">
        <v>311</v>
      </c>
      <c r="D13" t="s">
        <v>256</v>
      </c>
      <c r="E13" t="s">
        <v>538</v>
      </c>
      <c r="F13">
        <v>2030</v>
      </c>
      <c r="G13" t="str">
        <f t="shared" si="0"/>
        <v>Lithium_ion_battery</v>
      </c>
      <c r="H13">
        <v>50</v>
      </c>
      <c r="I13">
        <v>21</v>
      </c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ADE95F9E30AF40AC3F95BC0A89D8ED" ma:contentTypeVersion="9" ma:contentTypeDescription="Create a new document." ma:contentTypeScope="" ma:versionID="f25705462aec933ad7f6da55dc6c0133">
  <xsd:schema xmlns:xsd="http://www.w3.org/2001/XMLSchema" xmlns:xs="http://www.w3.org/2001/XMLSchema" xmlns:p="http://schemas.microsoft.com/office/2006/metadata/properties" xmlns:ns2="e896a54c-912b-4874-b3b9-f7a6b0d2b6d1" targetNamespace="http://schemas.microsoft.com/office/2006/metadata/properties" ma:root="true" ma:fieldsID="65a75715ea19477bbcfb58a2bf3118e6" ns2:_="">
    <xsd:import namespace="e896a54c-912b-4874-b3b9-f7a6b0d2b6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96a54c-912b-4874-b3b9-f7a6b0d2b6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D4D88B6-7CE8-426F-A3BD-A9E7790DFB9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7A7777F-CB70-4C96-BD0A-E42D4CE1CD6F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A58D25B1-442F-4ED2-B24A-9F8966026F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96a54c-912b-4874-b3b9-f7a6b0d2b6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B7FD1AC9-A790-43E6-B511-E9A5FC004A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explanation</vt:lpstr>
      <vt:lpstr>dictTech</vt:lpstr>
      <vt:lpstr>dictFuel</vt:lpstr>
      <vt:lpstr>TechnologyTargets</vt:lpstr>
      <vt:lpstr>CapacityMarketCO2Limit</vt:lpstr>
      <vt:lpstr>CapacityMarkets</vt:lpstr>
      <vt:lpstr>StrategicReserveOperator</vt:lpstr>
      <vt:lpstr>ElectricitySpotMarkets</vt:lpstr>
      <vt:lpstr>CapacitySubscriptionConsumer</vt:lpstr>
      <vt:lpstr>CS_subscribed</vt:lpstr>
      <vt:lpstr>LoadShedders</vt:lpstr>
      <vt:lpstr>yearlyLoadShifterCap</vt:lpstr>
      <vt:lpstr>yearlyHydrogen</vt:lpstr>
      <vt:lpstr>dynamicDF</vt:lpstr>
      <vt:lpstr>LoadShifterCap</vt:lpstr>
      <vt:lpstr>LSyearly</vt:lpstr>
      <vt:lpstr>peakLoad</vt:lpstr>
      <vt:lpstr>Fuels</vt:lpstr>
      <vt:lpstr>FuelPriceTrends</vt:lpstr>
      <vt:lpstr>CandidatePowerPlants</vt:lpstr>
      <vt:lpstr>TechnologiesEmlab</vt:lpstr>
      <vt:lpstr>TechnologyTrends</vt:lpstr>
      <vt:lpstr>EnergyProducers</vt:lpstr>
      <vt:lpstr>weatherYears40</vt:lpstr>
      <vt:lpstr>Dismantled</vt:lpstr>
      <vt:lpstr>Sheet1</vt:lpstr>
      <vt:lpstr>derating</vt:lpstr>
      <vt:lpstr>VOLLs</vt:lpstr>
      <vt:lpstr>LoadShedders_feb24</vt:lpstr>
      <vt:lpstr>LoadShedders (2)</vt:lpstr>
      <vt:lpstr>LoadShedders2</vt:lpstr>
      <vt:lpstr>LoadShedders_copy</vt:lpstr>
      <vt:lpstr>dictvariables</vt:lpstr>
      <vt:lpstr>StepTrends</vt:lpstr>
      <vt:lpstr>EnergyConsumers</vt:lpstr>
      <vt:lpstr>yearlytechnologyPotentials2</vt:lpstr>
      <vt:lpstr>graphs</vt:lpstr>
      <vt:lpstr>CO2DE</vt:lpstr>
      <vt:lpstr>backup</vt:lpstr>
      <vt:lpstr>weatherYearsOLD</vt:lpstr>
      <vt:lpstr>sources</vt:lpstr>
      <vt:lpstr>NewTechnologies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Hommes</dc:creator>
  <cp:keywords/>
  <dc:description/>
  <cp:lastModifiedBy>Ingrid Sanchez Jimenez</cp:lastModifiedBy>
  <cp:revision/>
  <dcterms:created xsi:type="dcterms:W3CDTF">2015-06-05T18:17:20Z</dcterms:created>
  <dcterms:modified xsi:type="dcterms:W3CDTF">2025-01-13T19:49:25Z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0x01010014ADE95F9E30AF40AC3F95BC0A89D8ED</vt:lpwstr>
  </property>
</Properties>
</file>