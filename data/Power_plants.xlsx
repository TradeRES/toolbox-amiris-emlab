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toolbox-amiris-emlab\data\"/>
    </mc:Choice>
  </mc:AlternateContent>
  <xr:revisionPtr revIDLastSave="0" documentId="13_ncr:1_{42720F19-51E2-4AF0-9647-606B06F93BBE}" xr6:coauthVersionLast="47" xr6:coauthVersionMax="47" xr10:uidLastSave="{00000000-0000-0000-0000-000000000000}"/>
  <bookViews>
    <workbookView xWindow="-120" yWindow="-120" windowWidth="29040" windowHeight="17640" tabRatio="971" firstSheet="3" activeTab="3" xr2:uid="{00000000-000D-0000-FFFF-FFFF00000000}"/>
  </bookViews>
  <sheets>
    <sheet name="groupedNLGAS" sheetId="20" r:id="rId1"/>
    <sheet name="Readme" sheetId="32" r:id="rId2"/>
    <sheet name="extendedNL" sheetId="22" r:id="rId3"/>
    <sheet name="extendedNL (lowH2)" sheetId="47" r:id="rId4"/>
    <sheet name="Sheet2" sheetId="48" r:id="rId5"/>
    <sheet name="extendedNL (July2024)" sheetId="45" r:id="rId6"/>
    <sheet name="NL2030" sheetId="46" r:id="rId7"/>
    <sheet name="NL_withplanneddecommissions" sheetId="26" r:id="rId8"/>
    <sheet name="AnalysisforNiPlants" sheetId="21" r:id="rId9"/>
    <sheet name="groupedDecarbonizedNLwithGas" sheetId="31" r:id="rId10"/>
    <sheet name="groupedDecarbonizedNL_notechlim" sheetId="34" r:id="rId11"/>
    <sheet name="groupedDecarbNL_equilib2009" sheetId="36" r:id="rId12"/>
    <sheet name="S2_2015_50retro" sheetId="38" r:id="rId13"/>
    <sheet name="S1_2015_50retro" sheetId="37" r:id="rId14"/>
    <sheet name="groupedDecarbonizedNLCRMs" sheetId="42" r:id="rId15"/>
    <sheet name="superGroupedNL (2)" sheetId="41" r:id="rId16"/>
    <sheet name="groupedDecarbonizedNLCRMs ( (3)" sheetId="44" r:id="rId17"/>
    <sheet name="groupedDecarbonizedNLCRMs (2)" sheetId="43" r:id="rId18"/>
    <sheet name="superGroupedNL(distH2)" sheetId="15" r:id="rId19"/>
    <sheet name="groupedDecarbonizedNL_S1" sheetId="40" r:id="rId20"/>
    <sheet name="groupedDecarbonizedNL2" sheetId="39" r:id="rId21"/>
    <sheet name="groupedDecarbonizedNL" sheetId="29" r:id="rId22"/>
    <sheet name="futureDecarbonizedNL" sheetId="33" r:id="rId23"/>
    <sheet name="DecarbonizedNL" sheetId="28" r:id="rId24"/>
    <sheet name="groupedNLRES" sheetId="23" r:id="rId25"/>
    <sheet name="NL2010RES" sheetId="25" r:id="rId26"/>
    <sheet name="Sheet1" sheetId="27" r:id="rId27"/>
    <sheet name="groupedDecarbonizedFLEXNET" sheetId="24" r:id="rId28"/>
    <sheet name="groupedNL" sheetId="16" r:id="rId29"/>
    <sheet name="extendedDEmoreoptimal" sheetId="12" r:id="rId30"/>
    <sheet name="extendedDE" sheetId="1" r:id="rId31"/>
    <sheet name="powerplants_grouped_DE" sheetId="3" r:id="rId32"/>
    <sheet name="germany2019" sheetId="5" r:id="rId33"/>
    <sheet name="dutchGermanPlants2015_from_emla" sheetId="13" r:id="rId34"/>
  </sheets>
  <externalReferences>
    <externalReference r:id="rId35"/>
  </externalReferences>
  <definedNames>
    <definedName name="_xlnm._FilterDatabase" localSheetId="8" hidden="1">AnalysisforNiPlants!$B$1:$D$1</definedName>
    <definedName name="_xlnm._FilterDatabase" localSheetId="23" hidden="1">DecarbonizedNL!$A$1:$H$1</definedName>
    <definedName name="_xlnm._FilterDatabase" localSheetId="33" hidden="1">dutchGermanPlants2015_from_emla!$A$1:$H$440</definedName>
    <definedName name="_xlnm._FilterDatabase" localSheetId="30" hidden="1">extendedDE!$B$1:$J$272</definedName>
    <definedName name="_xlnm._FilterDatabase" localSheetId="29" hidden="1">extendedDEmoreoptimal!$B$1:$J$193</definedName>
    <definedName name="_xlnm._FilterDatabase" localSheetId="2" hidden="1">extendedNL!$A$1:$J$51</definedName>
    <definedName name="_xlnm._FilterDatabase" localSheetId="5" hidden="1">'extendedNL (July2024)'!$A$1:$I$67</definedName>
    <definedName name="_xlnm._FilterDatabase" localSheetId="3" hidden="1">'extendedNL (lowH2)'!$A$1:$I$68</definedName>
    <definedName name="_xlnm._FilterDatabase" localSheetId="27" hidden="1">groupedDecarbonizedFLEXNET!$A$1:$I$1</definedName>
    <definedName name="_xlnm._FilterDatabase" localSheetId="14" hidden="1">groupedDecarbonizedNLCRMs!$A$1:$G$75</definedName>
    <definedName name="_xlnm._FilterDatabase" localSheetId="16" hidden="1">'groupedDecarbonizedNLCRMs ( (3)'!$A$1:$G$75</definedName>
    <definedName name="_xlnm._FilterDatabase" localSheetId="17" hidden="1">'groupedDecarbonizedNLCRMs (2)'!$A$1:$G$51</definedName>
    <definedName name="_xlnm._FilterDatabase" localSheetId="28" hidden="1">groupedNL!$A$1:$J$1</definedName>
    <definedName name="_xlnm._FilterDatabase" localSheetId="0" hidden="1">groupedNLGAS!$A$1:$J$1</definedName>
    <definedName name="_xlnm._FilterDatabase" localSheetId="24" hidden="1">groupedNLRES!$A$1:$J$1</definedName>
    <definedName name="_xlnm._FilterDatabase" localSheetId="7" hidden="1">NL_withplanneddecommissions!$A$1:$K$190</definedName>
    <definedName name="_xlnm._FilterDatabase" localSheetId="15" hidden="1">'superGroupedNL (2)'!$A$1:$H$1</definedName>
    <definedName name="_xlnm._FilterDatabase" localSheetId="18" hidden="1">'superGroupedNL(distH2)'!$A$1:$H$1</definedName>
  </definedNames>
  <calcPr calcId="191028"/>
  <pivotCaches>
    <pivotCache cacheId="0" r:id="rId36"/>
    <pivotCache cacheId="1" r:id="rId37"/>
    <pivotCache cacheId="2" r:id="rId38"/>
    <pivotCache cacheId="3" r:id="rId39"/>
    <pivotCache cacheId="4" r:id="rId40"/>
    <pivotCache cacheId="5" r:id="rId41"/>
    <pivotCache cacheId="6" r:id="rId42"/>
    <pivotCache cacheId="7" r:id="rId43"/>
    <pivotCache cacheId="8" r:id="rId44"/>
    <pivotCache cacheId="9" r:id="rId45"/>
    <pivotCache cacheId="10" r:id="rId46"/>
    <pivotCache cacheId="11" r:id="rId47"/>
    <pivotCache cacheId="12" r:id="rId48"/>
    <pivotCache cacheId="13" r:id="rId49"/>
    <pivotCache cacheId="17" r:id="rId5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48" l="1"/>
  <c r="J11" i="48"/>
  <c r="J9" i="48"/>
  <c r="M63" i="26"/>
  <c r="N73" i="26"/>
  <c r="N74" i="26"/>
  <c r="M189" i="26"/>
  <c r="M74" i="26"/>
  <c r="M73" i="26"/>
  <c r="M72" i="26"/>
  <c r="N72" i="26" s="1"/>
  <c r="M71" i="26"/>
  <c r="M70" i="26"/>
  <c r="N70" i="26" s="1"/>
  <c r="M69" i="26"/>
  <c r="M68" i="26"/>
  <c r="N68" i="26" s="1"/>
  <c r="M67" i="26"/>
  <c r="N67" i="26" s="1"/>
  <c r="M66" i="26"/>
  <c r="N66" i="26" s="1"/>
  <c r="M65" i="26"/>
  <c r="N65" i="26" s="1"/>
  <c r="N63" i="26"/>
  <c r="M60" i="26"/>
  <c r="N60" i="26" s="1"/>
  <c r="M59" i="26"/>
  <c r="N59" i="26" s="1"/>
  <c r="M58" i="26"/>
  <c r="N58" i="26" s="1"/>
  <c r="M57" i="26"/>
  <c r="N57" i="26" s="1"/>
  <c r="M56" i="26"/>
  <c r="M55" i="26"/>
  <c r="N55" i="26" s="1"/>
  <c r="M54" i="26"/>
  <c r="M53" i="26"/>
  <c r="N53" i="26" s="1"/>
  <c r="M52" i="26"/>
  <c r="M50" i="26"/>
  <c r="N50" i="26" s="1"/>
  <c r="M47" i="26"/>
  <c r="N47" i="26" s="1"/>
  <c r="M46" i="26"/>
  <c r="N46" i="26" s="1"/>
  <c r="M44" i="26"/>
  <c r="N44" i="26" s="1"/>
  <c r="N52" i="26"/>
  <c r="N71" i="26"/>
  <c r="N69" i="26"/>
  <c r="N56" i="26"/>
  <c r="N54" i="26"/>
  <c r="C14" i="46" l="1"/>
  <c r="D3" i="46"/>
  <c r="D4" i="46"/>
  <c r="D5" i="46"/>
  <c r="D6" i="46"/>
  <c r="D7" i="46"/>
  <c r="D8" i="46"/>
  <c r="D9" i="46"/>
  <c r="D10" i="46"/>
  <c r="D11" i="46"/>
  <c r="D12" i="46"/>
  <c r="D13" i="46"/>
  <c r="D2" i="46"/>
  <c r="B14" i="46"/>
  <c r="B5" i="46"/>
  <c r="C26" i="44" l="1"/>
  <c r="C27" i="44" s="1"/>
  <c r="C28" i="44" s="1"/>
  <c r="C29" i="44" s="1"/>
  <c r="C30" i="44" s="1"/>
  <c r="C31" i="44" s="1"/>
  <c r="L25" i="44"/>
  <c r="L24" i="44"/>
  <c r="L23" i="44"/>
  <c r="L22" i="44"/>
  <c r="C22" i="44"/>
  <c r="L21" i="44"/>
  <c r="C21" i="44"/>
  <c r="L20" i="44"/>
  <c r="C20" i="44"/>
  <c r="L19" i="44"/>
  <c r="C19" i="44"/>
  <c r="L18" i="44"/>
  <c r="C18" i="44"/>
  <c r="L17" i="44"/>
  <c r="C17" i="44"/>
  <c r="L16" i="44"/>
  <c r="C16" i="44"/>
  <c r="L15" i="44"/>
  <c r="C15" i="44"/>
  <c r="C4" i="44"/>
  <c r="C14" i="44" s="1"/>
  <c r="C4" i="42"/>
  <c r="C14" i="42" s="1"/>
  <c r="C26" i="42"/>
  <c r="C27" i="42" s="1"/>
  <c r="C28" i="42" s="1"/>
  <c r="C29" i="42" s="1"/>
  <c r="C30" i="42" s="1"/>
  <c r="C31" i="42" s="1"/>
  <c r="C15" i="42"/>
  <c r="C16" i="42"/>
  <c r="C17" i="42"/>
  <c r="C18" i="42"/>
  <c r="C19" i="42"/>
  <c r="C20" i="42"/>
  <c r="C21" i="42"/>
  <c r="C22" i="42"/>
  <c r="L25" i="43"/>
  <c r="L24" i="43"/>
  <c r="L23" i="43"/>
  <c r="L22" i="43"/>
  <c r="L21" i="43"/>
  <c r="L20" i="43"/>
  <c r="L19" i="43"/>
  <c r="L18" i="43"/>
  <c r="L17" i="43"/>
  <c r="L16" i="43"/>
  <c r="L15" i="43"/>
  <c r="L16" i="42"/>
  <c r="L17" i="42"/>
  <c r="L18" i="42"/>
  <c r="L19" i="42"/>
  <c r="L20" i="42"/>
  <c r="L21" i="42"/>
  <c r="L22" i="42"/>
  <c r="L23" i="42"/>
  <c r="L24" i="42"/>
  <c r="L25" i="42"/>
  <c r="L15" i="42"/>
  <c r="N26" i="37"/>
  <c r="M26" i="37"/>
  <c r="K5" i="36"/>
  <c r="K5" i="34"/>
  <c r="I8" i="31"/>
  <c r="K10" i="31"/>
  <c r="K9" i="31"/>
  <c r="K8" i="31"/>
  <c r="K7" i="31"/>
  <c r="K6" i="31"/>
  <c r="K5" i="31"/>
  <c r="C7" i="24"/>
  <c r="C9" i="24"/>
  <c r="C11" i="24"/>
  <c r="C21" i="24"/>
  <c r="C16" i="24"/>
  <c r="C13" i="24"/>
  <c r="B4" i="21"/>
  <c r="D4" i="21"/>
  <c r="D11" i="21"/>
  <c r="E3" i="27"/>
  <c r="E4" i="27"/>
  <c r="D7" i="21"/>
  <c r="D2" i="21"/>
  <c r="D3" i="21"/>
  <c r="D6" i="21"/>
  <c r="D9" i="21"/>
  <c r="D5" i="21"/>
  <c r="D8" i="21"/>
  <c r="C10" i="21"/>
  <c r="D10" i="21"/>
  <c r="B12" i="21"/>
  <c r="C380" i="13"/>
  <c r="C379" i="13"/>
  <c r="C378" i="13"/>
  <c r="C377" i="13"/>
  <c r="C376" i="13"/>
  <c r="C375" i="13"/>
  <c r="C374" i="13"/>
  <c r="C373" i="13"/>
  <c r="C372" i="13"/>
  <c r="C371" i="13"/>
  <c r="C370" i="13"/>
  <c r="C369" i="13"/>
  <c r="C368" i="13"/>
  <c r="C367" i="13"/>
  <c r="C366" i="13"/>
  <c r="C365" i="13"/>
  <c r="C364" i="13"/>
  <c r="C363" i="13"/>
  <c r="C362" i="13"/>
  <c r="C361" i="13"/>
  <c r="C360" i="13"/>
  <c r="C359" i="13"/>
  <c r="C358" i="13"/>
  <c r="C357" i="13"/>
  <c r="C356" i="13"/>
  <c r="C355" i="13"/>
  <c r="C354" i="13"/>
  <c r="C353" i="13"/>
  <c r="C352" i="13"/>
  <c r="C351" i="13"/>
  <c r="C350" i="13"/>
  <c r="C349" i="13"/>
  <c r="C348" i="13"/>
  <c r="C347" i="13"/>
  <c r="C346" i="13"/>
  <c r="C345" i="13"/>
  <c r="C344" i="13"/>
  <c r="C343" i="13"/>
  <c r="C342" i="13"/>
  <c r="C341" i="13"/>
  <c r="C340" i="13"/>
  <c r="C339" i="13"/>
  <c r="C338" i="13"/>
  <c r="C337" i="13"/>
  <c r="C336" i="13"/>
  <c r="C335" i="13"/>
  <c r="C334" i="13"/>
  <c r="C333" i="13"/>
  <c r="C332" i="13"/>
  <c r="C331" i="13"/>
  <c r="C330" i="13"/>
  <c r="C329" i="13"/>
  <c r="C328" i="13"/>
  <c r="C327" i="13"/>
  <c r="C326" i="13"/>
  <c r="C325" i="13"/>
  <c r="C324" i="13"/>
  <c r="C323" i="13"/>
  <c r="C322" i="13"/>
  <c r="C321" i="13"/>
  <c r="C320" i="13"/>
  <c r="C319" i="13"/>
  <c r="C318" i="13"/>
  <c r="C317" i="13"/>
  <c r="C316" i="13"/>
  <c r="C315" i="13"/>
  <c r="C314" i="13"/>
  <c r="C313" i="13"/>
  <c r="C312" i="13"/>
  <c r="C311" i="13"/>
  <c r="C310" i="13"/>
  <c r="C309" i="13"/>
  <c r="C308" i="13"/>
  <c r="C307" i="13"/>
  <c r="C306" i="13"/>
  <c r="C305" i="13"/>
  <c r="C304" i="13"/>
  <c r="C303" i="13"/>
  <c r="C302" i="13"/>
  <c r="C301" i="13"/>
  <c r="C300" i="13"/>
  <c r="C299" i="13"/>
  <c r="C298" i="13"/>
  <c r="C297" i="13"/>
  <c r="C296" i="13"/>
  <c r="C295" i="13"/>
  <c r="C294" i="13"/>
  <c r="C293" i="13"/>
  <c r="C292" i="13"/>
  <c r="C291" i="13"/>
  <c r="C290" i="13"/>
  <c r="C289" i="13"/>
  <c r="C288" i="13"/>
  <c r="C287" i="13"/>
  <c r="C286" i="13"/>
  <c r="C285" i="13"/>
  <c r="C284" i="13"/>
  <c r="C283" i="13"/>
  <c r="C282" i="13"/>
  <c r="C281" i="13"/>
  <c r="C280" i="13"/>
  <c r="C279" i="13"/>
  <c r="C278" i="13"/>
  <c r="C277" i="13"/>
  <c r="C276" i="13"/>
  <c r="C275" i="13"/>
  <c r="C274" i="13"/>
  <c r="C273" i="13"/>
  <c r="C272" i="13"/>
  <c r="C271" i="13"/>
  <c r="C270" i="13"/>
  <c r="C269" i="13"/>
  <c r="C268" i="13"/>
  <c r="C267" i="13"/>
  <c r="C266" i="13"/>
  <c r="C265" i="13"/>
  <c r="C264" i="13"/>
  <c r="C263" i="13"/>
  <c r="C262" i="13"/>
  <c r="C261" i="13"/>
  <c r="C260" i="13"/>
  <c r="C259" i="13"/>
  <c r="C258" i="13"/>
  <c r="C257" i="13"/>
  <c r="C256" i="13"/>
  <c r="C255" i="13"/>
  <c r="C254" i="13"/>
  <c r="C253" i="13"/>
  <c r="C252" i="13"/>
  <c r="C251" i="13"/>
  <c r="C250" i="13"/>
  <c r="C249" i="13"/>
  <c r="C248" i="13"/>
  <c r="C247" i="13"/>
  <c r="C246" i="13"/>
  <c r="C245" i="13"/>
  <c r="C244" i="13"/>
  <c r="C243" i="13"/>
  <c r="C242" i="13"/>
  <c r="C241" i="13"/>
  <c r="C240" i="13"/>
  <c r="C239" i="13"/>
  <c r="C238" i="13"/>
  <c r="C237" i="13"/>
  <c r="C236" i="13"/>
  <c r="C235" i="13"/>
  <c r="C234" i="13"/>
  <c r="C233" i="13"/>
  <c r="C232" i="13"/>
  <c r="C231" i="13"/>
  <c r="C230" i="13"/>
  <c r="C229" i="13"/>
  <c r="C228" i="13"/>
  <c r="C227" i="13"/>
  <c r="C226" i="13"/>
  <c r="C225" i="13"/>
  <c r="C224" i="13"/>
  <c r="C223" i="13"/>
  <c r="C222" i="13"/>
  <c r="C221" i="13"/>
  <c r="C220" i="13"/>
  <c r="C219" i="13"/>
  <c r="C218" i="13"/>
  <c r="C217" i="13"/>
  <c r="C216" i="13"/>
  <c r="C215" i="13"/>
  <c r="C214" i="13"/>
  <c r="C213" i="13"/>
  <c r="C212" i="13"/>
  <c r="C211" i="13"/>
  <c r="C210" i="13"/>
  <c r="C209" i="13"/>
  <c r="C208" i="13"/>
  <c r="C207" i="13"/>
  <c r="C206" i="13"/>
  <c r="C205" i="13"/>
  <c r="C204" i="13"/>
  <c r="C203" i="13"/>
  <c r="C202" i="13"/>
  <c r="C201" i="13"/>
  <c r="C200" i="13"/>
  <c r="C199" i="13"/>
  <c r="C198" i="13"/>
  <c r="C197" i="13"/>
  <c r="C196" i="13"/>
  <c r="C195" i="13"/>
  <c r="C194" i="13"/>
  <c r="C193" i="13"/>
  <c r="C192" i="13"/>
  <c r="C191" i="13"/>
  <c r="C190" i="13"/>
  <c r="C189" i="13"/>
  <c r="C188" i="13"/>
  <c r="C187" i="13"/>
  <c r="C186" i="13"/>
  <c r="C185" i="13"/>
  <c r="C184" i="13"/>
  <c r="C183" i="13"/>
  <c r="C182" i="13"/>
  <c r="C181" i="13"/>
  <c r="C180" i="13"/>
  <c r="C179" i="13"/>
  <c r="C178" i="13"/>
  <c r="C177" i="13"/>
  <c r="C176" i="13"/>
  <c r="C175" i="13"/>
  <c r="C174" i="13"/>
  <c r="C173" i="13"/>
  <c r="C172" i="13"/>
  <c r="C171" i="13"/>
  <c r="C170" i="13"/>
  <c r="C169" i="13"/>
  <c r="C168" i="13"/>
  <c r="C167" i="13"/>
  <c r="C166" i="13"/>
  <c r="C165" i="13"/>
  <c r="C164" i="13"/>
  <c r="C163" i="13"/>
  <c r="C162" i="13"/>
  <c r="C161" i="13"/>
  <c r="C160" i="13"/>
  <c r="C159" i="13"/>
  <c r="C158" i="13"/>
  <c r="C157" i="13"/>
  <c r="C156" i="13"/>
  <c r="C155" i="13"/>
  <c r="C154" i="13"/>
  <c r="C153" i="13"/>
  <c r="C152" i="13"/>
  <c r="C151" i="13"/>
  <c r="C150" i="13"/>
  <c r="C149" i="13"/>
  <c r="C148" i="13"/>
  <c r="C147" i="13"/>
  <c r="C146" i="13"/>
  <c r="C145" i="13"/>
  <c r="C144" i="13"/>
  <c r="C143" i="13"/>
  <c r="C142" i="13"/>
  <c r="C141" i="13"/>
  <c r="C140" i="13"/>
  <c r="C139" i="13"/>
  <c r="C138" i="13"/>
  <c r="C137" i="13"/>
  <c r="C136" i="13"/>
  <c r="C135" i="13"/>
  <c r="C134" i="13"/>
  <c r="C133" i="13"/>
  <c r="C132" i="13"/>
  <c r="C131" i="13"/>
  <c r="C130" i="13"/>
  <c r="C129" i="13"/>
  <c r="C128" i="13"/>
  <c r="C127" i="13"/>
  <c r="C126" i="13"/>
  <c r="C125" i="13"/>
  <c r="C124" i="13"/>
  <c r="C123" i="13"/>
  <c r="C122" i="13"/>
  <c r="C121" i="13"/>
  <c r="C120" i="13"/>
  <c r="C119" i="13"/>
  <c r="C118" i="13"/>
  <c r="C117" i="13"/>
  <c r="C116" i="13"/>
  <c r="C115" i="13"/>
  <c r="C114" i="13"/>
  <c r="C113" i="13"/>
  <c r="C112" i="13"/>
  <c r="C111" i="13"/>
  <c r="C110" i="13"/>
  <c r="C109" i="13"/>
  <c r="C108" i="13"/>
  <c r="C107" i="13"/>
  <c r="C106" i="13"/>
  <c r="C105" i="13"/>
  <c r="C104" i="13"/>
  <c r="C103" i="13"/>
  <c r="C102" i="13"/>
  <c r="C101" i="13"/>
  <c r="C100" i="13"/>
  <c r="C99" i="13"/>
  <c r="C98" i="13"/>
  <c r="C97" i="13"/>
  <c r="C96" i="13"/>
  <c r="C95" i="13"/>
  <c r="C94" i="13"/>
  <c r="C93" i="13"/>
  <c r="C92" i="13"/>
  <c r="C91" i="13"/>
  <c r="C90" i="13"/>
  <c r="C89" i="13"/>
  <c r="C88" i="13"/>
  <c r="C87" i="13"/>
  <c r="C86" i="13"/>
  <c r="C85" i="13"/>
  <c r="C84" i="13"/>
  <c r="C83" i="13"/>
  <c r="C82" i="13"/>
  <c r="C81" i="13"/>
  <c r="C80" i="13"/>
  <c r="C79" i="13"/>
  <c r="C78" i="13"/>
  <c r="C77" i="13"/>
  <c r="C76" i="13"/>
  <c r="C75" i="13"/>
  <c r="C74" i="13"/>
  <c r="C73" i="13"/>
  <c r="C72" i="13"/>
  <c r="C71" i="13"/>
  <c r="C70" i="13"/>
  <c r="C69" i="13"/>
  <c r="C68" i="13"/>
  <c r="C67" i="13"/>
  <c r="C66" i="13"/>
  <c r="C65" i="13"/>
  <c r="C64" i="1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C4" i="13"/>
  <c r="C3" i="13"/>
  <c r="C2" i="13"/>
  <c r="M1" i="1" a="1"/>
  <c r="M1" i="1"/>
  <c r="C12" i="21"/>
  <c r="D12" i="21"/>
  <c r="C25" i="3"/>
  <c r="C26" i="3"/>
  <c r="C27" i="3"/>
  <c r="C28" i="3"/>
  <c r="C29" i="3"/>
  <c r="C30" i="3"/>
  <c r="C31" i="3"/>
  <c r="C32" i="3"/>
  <c r="C33" i="3"/>
  <c r="C34" i="3"/>
  <c r="C24" i="3"/>
  <c r="C14" i="3"/>
  <c r="C15" i="3"/>
  <c r="C16" i="3"/>
  <c r="C17" i="3"/>
  <c r="C18" i="3"/>
  <c r="C19" i="3"/>
  <c r="C20" i="3"/>
  <c r="C21" i="3"/>
  <c r="C22" i="3"/>
  <c r="C23" i="3"/>
  <c r="C13" i="3"/>
  <c r="D10" i="5"/>
  <c r="D13" i="5"/>
  <c r="D14" i="5"/>
  <c r="M20" i="43"/>
  <c r="M21" i="43"/>
  <c r="M17" i="43"/>
  <c r="M16" i="43"/>
  <c r="M17" i="42"/>
  <c r="M16" i="42"/>
  <c r="M21" i="42"/>
  <c r="M20" i="42"/>
  <c r="N4" i="41"/>
  <c r="N7" i="41"/>
  <c r="N5" i="41"/>
  <c r="N6" i="41"/>
  <c r="N3" i="41"/>
  <c r="M17" i="44"/>
  <c r="M20" i="44"/>
  <c r="M16" i="44"/>
  <c r="M21" i="44"/>
  <c r="N9" i="4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tc={574280A0-A272-47A3-9DC8-5600895E43AD}</author>
  </authors>
  <commentList>
    <comment ref="G1" authorId="0" shapeId="0" xr:uid="{574280A0-A272-47A3-9DC8-5600895E43AD}">
      <text>
        <t>[Threaded comment]
Your version of Excel allows you to read this threaded comment; however, any edits to it will get removed if the file is opened in a newer version of Excel. Learn more: https://go.microsoft.com/fwlink/?linkid=870924
Comment:
    name as in amiris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<sst xmlns="http://schemas.openxmlformats.org/spreadsheetml/2006/main" count="6556" uniqueCount="528">
  <si>
    <t>number</t>
  </si>
  <si>
    <t>Technology</t>
  </si>
  <si>
    <t>Age</t>
  </si>
  <si>
    <t>Capacity</t>
  </si>
  <si>
    <t>Efficiency</t>
  </si>
  <si>
    <t>Availability</t>
  </si>
  <si>
    <t>Location</t>
  </si>
  <si>
    <t>Owner</t>
  </si>
  <si>
    <t>cash</t>
  </si>
  <si>
    <t>DischarginEfficiency</t>
  </si>
  <si>
    <t>InitialEnergyLevelInMWH</t>
  </si>
  <si>
    <t>OCGT</t>
  </si>
  <si>
    <t>NL</t>
  </si>
  <si>
    <t>ProducerNL</t>
  </si>
  <si>
    <t>WTG_offshore</t>
  </si>
  <si>
    <t>If assigning age of 0 the plots don’t distinguish between initial power plants and the ones invested in initialization</t>
  </si>
  <si>
    <t>start numberation from 20, numbers before are assigned to candidate power plants</t>
  </si>
  <si>
    <t>pp</t>
  </si>
  <si>
    <t>availability_weighted_mean</t>
  </si>
  <si>
    <t>DecommissionInYear</t>
  </si>
  <si>
    <t>Row Labels</t>
  </si>
  <si>
    <t>Sum of Capacity</t>
  </si>
  <si>
    <t>Biomass_CHP_wood_pellets_DH</t>
  </si>
  <si>
    <t>Coal PSC</t>
  </si>
  <si>
    <t>&lt; this years are dummy, only to test</t>
  </si>
  <si>
    <t>Biomass_CHP_wood_pellets_PH</t>
  </si>
  <si>
    <t>CCGT</t>
  </si>
  <si>
    <t>CCGT_CHP_backpressure_DH</t>
  </si>
  <si>
    <t>Hydropower_reservoir_medium</t>
  </si>
  <si>
    <t>Nuclear</t>
  </si>
  <si>
    <t>PV_utility_systems</t>
  </si>
  <si>
    <t>WTG_onshore</t>
  </si>
  <si>
    <t>Grand Total</t>
  </si>
  <si>
    <t>Biomass_CHP_wood_pellets_DH were coforing mostly biomass</t>
  </si>
  <si>
    <t>from Ni Wang</t>
  </si>
  <si>
    <t>Biofuel</t>
  </si>
  <si>
    <t>Hard Coal</t>
  </si>
  <si>
    <t>Hydropower ROR</t>
  </si>
  <si>
    <t>Solar PV large</t>
  </si>
  <si>
    <t>Wind Offshore</t>
  </si>
  <si>
    <t>Wind Onshore</t>
  </si>
  <si>
    <t>I took a deep dive into the DBs (ENTSO-E DB and ours) and noticed/did the following:
-	The coal capacity was too low, and the biomass capacity was too high. After desk-researching every biomass plant we had, it turned out that the biomass plants were co-firing plants, where many of them use coal as primary fuel and biomass as secondary fuel. So I reallocated the biomass and coal capacities based on the main fuel.
-	I also modified the gas CHP capacities.
-	Our DB has better quality than ENTSO-E DB, but there are no major deviations.
-	I also added fuel in addition to the technologies.</t>
  </si>
  <si>
    <t>&lt; older power plant, but the lifetime extension was decided from politics</t>
  </si>
  <si>
    <t>plants installed in 2020</t>
  </si>
  <si>
    <t>&lt; changed age from 33 to 29</t>
  </si>
  <si>
    <t>&lt; changed age from 45 to 35</t>
  </si>
  <si>
    <t>&lt; changed age from 32 to 28</t>
  </si>
  <si>
    <t>this ones added to make faster</t>
  </si>
  <si>
    <t>2030 from traderes</t>
  </si>
  <si>
    <t>WindOn</t>
  </si>
  <si>
    <t>WindOff</t>
  </si>
  <si>
    <t>SunPV</t>
  </si>
  <si>
    <t xml:space="preserve">Gas </t>
  </si>
  <si>
    <t>H2 STEG new</t>
  </si>
  <si>
    <t>Li-ion battery</t>
  </si>
  <si>
    <t>Biomass</t>
  </si>
  <si>
    <t>Biogas</t>
  </si>
  <si>
    <t>Hydro conventional</t>
  </si>
  <si>
    <t>RESE others</t>
  </si>
  <si>
    <t>Other non-renewable (lignite/coal)</t>
  </si>
  <si>
    <t>index</t>
  </si>
  <si>
    <t>plants installed by 2020</t>
  </si>
  <si>
    <t>with planned decommissions</t>
  </si>
  <si>
    <t>Prepared with script</t>
  </si>
  <si>
    <t>without decommissions</t>
  </si>
  <si>
    <t>without installed in year 0</t>
  </si>
  <si>
    <t>(All)</t>
  </si>
  <si>
    <t>(blank)</t>
  </si>
  <si>
    <t>Ni new plants</t>
  </si>
  <si>
    <t>ENTSOE</t>
  </si>
  <si>
    <t>difference</t>
  </si>
  <si>
    <t>how is the hydropower?</t>
  </si>
  <si>
    <t>total</t>
  </si>
  <si>
    <t>with old amiris</t>
  </si>
  <si>
    <t>Lithium_ion_battery</t>
  </si>
  <si>
    <t>Hydropower_ROR</t>
  </si>
  <si>
    <t>From Ni, 2050 scenario with gas, replaced gas for gas turbines</t>
  </si>
  <si>
    <t>found equilibrium</t>
  </si>
  <si>
    <t xml:space="preserve">rows in yellow were added </t>
  </si>
  <si>
    <t>hydrogen_turbine</t>
  </si>
  <si>
    <t>From TNO, 2050 S2</t>
  </si>
  <si>
    <t>S1</t>
  </si>
  <si>
    <t>S2</t>
  </si>
  <si>
    <t>hydrogen CCGT</t>
  </si>
  <si>
    <t>hydrogen OCGT</t>
  </si>
  <si>
    <t>power plants for second paper</t>
  </si>
  <si>
    <t>Lithium ion battery 4</t>
  </si>
  <si>
    <t>no nuclear</t>
  </si>
  <si>
    <t>Gas</t>
  </si>
  <si>
    <t>0,00</t>
  </si>
  <si>
    <t>Lithium ion battery</t>
  </si>
  <si>
    <t>hydrogen turbine</t>
  </si>
  <si>
    <t>power plants fore second paper</t>
  </si>
  <si>
    <t>Less nuclear and more realistic ages</t>
  </si>
  <si>
    <t>hydrogen combined cycle</t>
  </si>
  <si>
    <t>this are the plants for the second paper with less nuclear</t>
  </si>
  <si>
    <t>TEMPORARY DELETING NUCLEAR</t>
  </si>
  <si>
    <t>NUCLEAR BEING DECOMMISSIONED</t>
  </si>
  <si>
    <t>This were the power plants used for first paper</t>
  </si>
  <si>
    <t>found equilibrium with year 2004</t>
  </si>
  <si>
    <t>starting from equilibrium</t>
  </si>
  <si>
    <t>hydrogen_combined_cycle</t>
  </si>
  <si>
    <t>targets from TNO and hydrogen just random</t>
  </si>
  <si>
    <t>biomass from yearly technology potentials</t>
  </si>
  <si>
    <t>hydrogen from ENTSOE</t>
  </si>
  <si>
    <t>hydrogen_CHP</t>
  </si>
  <si>
    <t>pps</t>
  </si>
  <si>
    <t>from script</t>
  </si>
  <si>
    <t>Age from year 2010</t>
  </si>
  <si>
    <t>conv</t>
  </si>
  <si>
    <t>vre</t>
  </si>
  <si>
    <t>data from TNO FLEXNET</t>
  </si>
  <si>
    <t>then added results from first simulation in year 2050</t>
  </si>
  <si>
    <t>DischargingEfficiency</t>
  </si>
  <si>
    <t>Id</t>
  </si>
  <si>
    <t>DE</t>
  </si>
  <si>
    <t>ProducerDE</t>
  </si>
  <si>
    <t>Fuel oil PGT</t>
  </si>
  <si>
    <t>Lignite PSC</t>
  </si>
  <si>
    <t>Number</t>
  </si>
  <si>
    <t>This are powerplants from the Amiris scenario</t>
  </si>
  <si>
    <t>opex</t>
  </si>
  <si>
    <t>comments</t>
  </si>
  <si>
    <t>biogas</t>
  </si>
  <si>
    <t>HARD_COAL</t>
  </si>
  <si>
    <t># oil, other fossil fuels, mixed fossil fuels</t>
  </si>
  <si>
    <t>Pumped_hydro</t>
  </si>
  <si>
    <t>natural gas</t>
  </si>
  <si>
    <t>fit</t>
  </si>
  <si>
    <t>other res</t>
  </si>
  <si>
    <t>Name</t>
  </si>
  <si>
    <t>Technology Emlab</t>
  </si>
  <si>
    <t>ADS-Anlage</t>
  </si>
  <si>
    <t>deNode</t>
  </si>
  <si>
    <t>Producer1</t>
  </si>
  <si>
    <t>Audorf</t>
  </si>
  <si>
    <t>Bergkamen</t>
  </si>
  <si>
    <t>BigBiomassDE1</t>
  </si>
  <si>
    <t>Biomass CHP</t>
  </si>
  <si>
    <t>BigBiomassDE10</t>
  </si>
  <si>
    <t>BigBiomassDE11</t>
  </si>
  <si>
    <t>BigBiomassDE12</t>
  </si>
  <si>
    <t>BigBiomassDE2</t>
  </si>
  <si>
    <t>BigBiomassDE3</t>
  </si>
  <si>
    <t>BigBiomassDE4</t>
  </si>
  <si>
    <t>BigBiomassDE5</t>
  </si>
  <si>
    <t>BigBiomassDE6</t>
  </si>
  <si>
    <t>BigBiomassDE7</t>
  </si>
  <si>
    <t>BigBiomassDE8</t>
  </si>
  <si>
    <t>BigBiomassDE9</t>
  </si>
  <si>
    <t>BigCCGTDE1</t>
  </si>
  <si>
    <t>BigCCGTDE2</t>
  </si>
  <si>
    <t>BigCCGTDE3</t>
  </si>
  <si>
    <t>BigCCGTDE4</t>
  </si>
  <si>
    <t>BigCCGTDE5</t>
  </si>
  <si>
    <t>BigCCGTDE6</t>
  </si>
  <si>
    <t>BigCCGTDE7</t>
  </si>
  <si>
    <t>BigCoalDE1</t>
  </si>
  <si>
    <t>BigCoalDE2</t>
  </si>
  <si>
    <t>BigFuelOilDE2</t>
  </si>
  <si>
    <t>BigFuelOilDE3</t>
  </si>
  <si>
    <t>BigLigniteDE1</t>
  </si>
  <si>
    <t>BigLigniteDE2</t>
  </si>
  <si>
    <t>Bleiloch</t>
  </si>
  <si>
    <t>Hydroelectric</t>
  </si>
  <si>
    <t>BoA 2</t>
  </si>
  <si>
    <t>BoA 3</t>
  </si>
  <si>
    <t>Boxberg</t>
  </si>
  <si>
    <t>Boxberg2</t>
  </si>
  <si>
    <t>Boxberg3</t>
  </si>
  <si>
    <t>Boxberg4</t>
  </si>
  <si>
    <t>BP Werk Lingen</t>
  </si>
  <si>
    <t>Average of Capacity</t>
  </si>
  <si>
    <t>Braunau-Simbach</t>
  </si>
  <si>
    <t>Braunkohlekraftwerk Lippendorf</t>
  </si>
  <si>
    <t>Brokdorf</t>
  </si>
  <si>
    <t>Nuclear PGT</t>
  </si>
  <si>
    <t>Buschhaus</t>
  </si>
  <si>
    <t>Centrale Bergum (CB20)</t>
  </si>
  <si>
    <t>nlNode</t>
  </si>
  <si>
    <t>Charlottenburg</t>
  </si>
  <si>
    <t>Cuno Heizkraftwerk Herdecke</t>
  </si>
  <si>
    <t>Dampfkraftwerk BGH - O1</t>
  </si>
  <si>
    <t>Dampfkraftwerk Marbach am Neckar</t>
  </si>
  <si>
    <t>Dampfkraftwerk Marbach am Neckar2</t>
  </si>
  <si>
    <t>Offshore wind PGT</t>
  </si>
  <si>
    <t>Dormagen</t>
  </si>
  <si>
    <t>Onshore wind PGT</t>
  </si>
  <si>
    <t>Dow Stade</t>
  </si>
  <si>
    <t>Photovoltaic PGT</t>
  </si>
  <si>
    <t>DT</t>
  </si>
  <si>
    <t>Duisburg Hamborn 4</t>
  </si>
  <si>
    <t>Duisburg Hamborn 5</t>
  </si>
  <si>
    <t>Duisburg Ruhrort 4</t>
  </si>
  <si>
    <t>Emden Gas</t>
  </si>
  <si>
    <t>Emsland</t>
  </si>
  <si>
    <t>Emsland2</t>
  </si>
  <si>
    <t>Emsland3</t>
  </si>
  <si>
    <t>Emsland4</t>
  </si>
  <si>
    <t>Emsland5</t>
  </si>
  <si>
    <t>Erzhausen</t>
  </si>
  <si>
    <t>Farge</t>
  </si>
  <si>
    <t>Franken 1</t>
  </si>
  <si>
    <t>Franken 12</t>
  </si>
  <si>
    <t>Frechen/Wachtberg</t>
  </si>
  <si>
    <t>Frimmersdorf</t>
  </si>
  <si>
    <t>Frimmersdorf2</t>
  </si>
  <si>
    <t>Gasblock</t>
  </si>
  <si>
    <t>Geesthacht</t>
  </si>
  <si>
    <t>Gemeinschaftskernkraftwerk Neckarwestheim II</t>
  </si>
  <si>
    <t xml:space="preserve">Gemeinschaftskraftwerk Irsching </t>
  </si>
  <si>
    <t>Gemeinschaftskraftwerk Kiel</t>
  </si>
  <si>
    <t>Gersteinwerk</t>
  </si>
  <si>
    <t>Gersteinwerk2</t>
  </si>
  <si>
    <t>Gersteinwerk3</t>
  </si>
  <si>
    <t>Gersteinwerk4</t>
  </si>
  <si>
    <t>Gersteinwerk5</t>
  </si>
  <si>
    <t>Gersteinwerk6</t>
  </si>
  <si>
    <t>GKH</t>
  </si>
  <si>
    <t>GKH2</t>
  </si>
  <si>
    <t>GKL</t>
  </si>
  <si>
    <t xml:space="preserve">GKM </t>
  </si>
  <si>
    <t>GKM 2</t>
  </si>
  <si>
    <t>GKM 3</t>
  </si>
  <si>
    <t>GKM 4</t>
  </si>
  <si>
    <t>G-Kraftwerk</t>
  </si>
  <si>
    <t>Goldisthal</t>
  </si>
  <si>
    <t>Grohnde</t>
  </si>
  <si>
    <t>GT</t>
  </si>
  <si>
    <t>GT2</t>
  </si>
  <si>
    <t>GT3</t>
  </si>
  <si>
    <t>GTKW Darmstadt</t>
  </si>
  <si>
    <t>GuD</t>
  </si>
  <si>
    <t>GuD Anlage WVK</t>
  </si>
  <si>
    <t>GuD Bitterfeld</t>
  </si>
  <si>
    <t>GuD Marienehe</t>
  </si>
  <si>
    <t>GuD Schwarzheide</t>
  </si>
  <si>
    <t>GuD Tiefstack</t>
  </si>
  <si>
    <t>GuD-Anlage Rï¿½sselsheim</t>
  </si>
  <si>
    <t>GuD-HKW Neubrandenburg</t>
  </si>
  <si>
    <t>GuD-Ikw Staï¿½furt</t>
  </si>
  <si>
    <t>Happurg</t>
  </si>
  <si>
    <t>Heizkraftwerk</t>
  </si>
  <si>
    <t>Heizkraftwerk Altbach/Deizisau</t>
  </si>
  <si>
    <t>Heizkraftwerk Altbach/Deizisau2</t>
  </si>
  <si>
    <t>Heizkraftwerk Altbach/Deizisau3</t>
  </si>
  <si>
    <t>Heizkraftwerk Altbach/Deizisau4</t>
  </si>
  <si>
    <t>Heizkraftwerk Altbach/Deizisau5</t>
  </si>
  <si>
    <t>Heizkraftwerk Gera-Nord</t>
  </si>
  <si>
    <t>Heizkraftwerk Hafen</t>
  </si>
  <si>
    <t>Heizkraftwerk Hagen-Kabel</t>
  </si>
  <si>
    <t>Heizkraftwerk Heilbronn</t>
  </si>
  <si>
    <t>Heizkraftwerk Heilbronn2</t>
  </si>
  <si>
    <t>Heizkraftwerk Heilbronn3</t>
  </si>
  <si>
    <t>Heizkraftwerk Karlstraï¿½e2</t>
  </si>
  <si>
    <t>Heizkraftwerk Leipzig-Nord</t>
  </si>
  <si>
    <t>Heizkraftwerk Sindelfingen</t>
  </si>
  <si>
    <t>Heizkraftwerk3</t>
  </si>
  <si>
    <t>Heyden</t>
  </si>
  <si>
    <t>Hï¿½usern</t>
  </si>
  <si>
    <t>HKW Barmen</t>
  </si>
  <si>
    <t>HKW Chemnitz  Nord II3</t>
  </si>
  <si>
    <t>HKW Dresden-Nossener Brï¿½cke</t>
  </si>
  <si>
    <t xml:space="preserve">HKW Elberfeld </t>
  </si>
  <si>
    <t>HKW Eltmann</t>
  </si>
  <si>
    <t>HKW Erfurt-Ost</t>
  </si>
  <si>
    <t>HKW Halle Trotha</t>
  </si>
  <si>
    <t>HKW Halle Trotha2</t>
  </si>
  <si>
    <t>HKW I</t>
  </si>
  <si>
    <t>HKW III/B</t>
  </si>
  <si>
    <t>HKW Jena</t>
  </si>
  <si>
    <t>HKW Merkenich2</t>
  </si>
  <si>
    <t>HKW Niederrad</t>
  </si>
  <si>
    <t>HKW Niehl 2</t>
  </si>
  <si>
    <t>HKW Potsdam-Sï¿½d</t>
  </si>
  <si>
    <t>HKW Rï¿½merbrï¿½cke2</t>
  </si>
  <si>
    <t>HKW Sandreuth2</t>
  </si>
  <si>
    <t>HKW Sandreuth3</t>
  </si>
  <si>
    <t>HKW West</t>
  </si>
  <si>
    <t>HKW West2</t>
  </si>
  <si>
    <t>HKW West5</t>
  </si>
  <si>
    <t>HKW Wï¿½rth</t>
  </si>
  <si>
    <t>HKW3 UPM Schongau</t>
  </si>
  <si>
    <t>HKW-Mitte2</t>
  </si>
  <si>
    <t>Hohenwarte 1</t>
  </si>
  <si>
    <t>Hohenwarte 2</t>
  </si>
  <si>
    <t>Holthausen</t>
  </si>
  <si>
    <t>Huckingen</t>
  </si>
  <si>
    <t>Huckingen2</t>
  </si>
  <si>
    <t>Huntorf</t>
  </si>
  <si>
    <t>Ibbenbï¿½ren</t>
  </si>
  <si>
    <t>IKS PCK Schwedt</t>
  </si>
  <si>
    <t>IKS PCK Schwedt2</t>
  </si>
  <si>
    <t>Industriekraftwerk Bernburg (IKB)</t>
  </si>
  <si>
    <t>Ingolstadt</t>
  </si>
  <si>
    <t>Ingolstadt2</t>
  </si>
  <si>
    <t>Irsching</t>
  </si>
  <si>
    <t>Isar 2</t>
  </si>
  <si>
    <t>Itzehoe</t>
  </si>
  <si>
    <t>Jochenstein</t>
  </si>
  <si>
    <t>Kachlet</t>
  </si>
  <si>
    <t xml:space="preserve">Kernkraft Gundremmingen </t>
  </si>
  <si>
    <t>Kernkraft Gundremmingen2</t>
  </si>
  <si>
    <t>Kernkraftwerk Emsland</t>
  </si>
  <si>
    <t>Kernkraftwerk Philippsburg 2</t>
  </si>
  <si>
    <t>Kirchmï¿½ser</t>
  </si>
  <si>
    <t>Klingenberg</t>
  </si>
  <si>
    <t>Knapsack Gas I</t>
  </si>
  <si>
    <t>Knapsack Gas II</t>
  </si>
  <si>
    <t>KNG Kraftwerk Rostock</t>
  </si>
  <si>
    <t>Koepchenwerk</t>
  </si>
  <si>
    <t>Kraftwerk Bexbach</t>
  </si>
  <si>
    <t>Kraftwerk Ensdorf</t>
  </si>
  <si>
    <t>Kraftwerk Ensdorf2</t>
  </si>
  <si>
    <t>Kraftwerk I</t>
  </si>
  <si>
    <t>Kraftwerk III</t>
  </si>
  <si>
    <t>Kraftwerk III2</t>
  </si>
  <si>
    <t>Kraftwerk IV</t>
  </si>
  <si>
    <t>Kraftwerk Mainz</t>
  </si>
  <si>
    <t>Kraftwerk Mainz2</t>
  </si>
  <si>
    <t>Kraftwerk Mitte</t>
  </si>
  <si>
    <t>Kraftwerk N 230</t>
  </si>
  <si>
    <t>Kraftwerk Plattling</t>
  </si>
  <si>
    <t>Kraftwerk Salzgitter</t>
  </si>
  <si>
    <t>Kraftwerk Salzgitter2</t>
  </si>
  <si>
    <t>Kraftwerk Sï¿½d</t>
  </si>
  <si>
    <t>Kraftwerk Waldshut</t>
  </si>
  <si>
    <t>Kraftwerk Walheim</t>
  </si>
  <si>
    <t>Kraftwerk Walheim2</t>
  </si>
  <si>
    <t>Kraftwerk Walheim3</t>
  </si>
  <si>
    <t>Kraftwerk Werdohl-Elverlingsen</t>
  </si>
  <si>
    <t>Kraftwerk Werdohl-Elverlingsen2</t>
  </si>
  <si>
    <t>Kraftwerk Wilhelmshaven</t>
  </si>
  <si>
    <t>Kraftwerksgruppe Pfreimd</t>
  </si>
  <si>
    <t>KW Hafen2</t>
  </si>
  <si>
    <t>KW Hafen3</t>
  </si>
  <si>
    <t>KW Hastedt</t>
  </si>
  <si>
    <t>KW Hastedt2</t>
  </si>
  <si>
    <t>KW Herne</t>
  </si>
  <si>
    <t>KW Herne2</t>
  </si>
  <si>
    <t>KW Jï¿½nschwalde</t>
  </si>
  <si>
    <t>KW Jï¿½nschwalde2</t>
  </si>
  <si>
    <t>KW Jï¿½nschwalde3</t>
  </si>
  <si>
    <t>KW Jï¿½nschwalde4</t>
  </si>
  <si>
    <t>KW Jï¿½nschwalde5</t>
  </si>
  <si>
    <t>KW Jï¿½nschwalde6</t>
  </si>
  <si>
    <t>KW Kirchlengern</t>
  </si>
  <si>
    <t>KW Lï¿½nen</t>
  </si>
  <si>
    <t>KW Lï¿½nen2</t>
  </si>
  <si>
    <t>KW Mittelsbï¿½ren</t>
  </si>
  <si>
    <t>KW Mittelsbï¿½ren2</t>
  </si>
  <si>
    <t>KW Voerde</t>
  </si>
  <si>
    <t>KW Voerde2</t>
  </si>
  <si>
    <t>KW Walsum</t>
  </si>
  <si>
    <t>KW Walsum2</t>
  </si>
  <si>
    <t>KW West</t>
  </si>
  <si>
    <t>KW West2</t>
  </si>
  <si>
    <t>KWH</t>
  </si>
  <si>
    <t>KWM</t>
  </si>
  <si>
    <t>Landesbergen Gas</t>
  </si>
  <si>
    <t>Lichterfelde</t>
  </si>
  <si>
    <t>Lichterfelde2</t>
  </si>
  <si>
    <t>Lichterfelde3</t>
  </si>
  <si>
    <t>Lippendorf</t>
  </si>
  <si>
    <t>Markersbach</t>
  </si>
  <si>
    <t>Mï¿½llkraftwerk Schwandorf</t>
  </si>
  <si>
    <t>Mitte</t>
  </si>
  <si>
    <t>Moabit2</t>
  </si>
  <si>
    <t>Modellkraftwerk</t>
  </si>
  <si>
    <t>Moorburg A</t>
  </si>
  <si>
    <t>Moorburg B</t>
  </si>
  <si>
    <t>Neurath</t>
  </si>
  <si>
    <t>Neurath2</t>
  </si>
  <si>
    <t>Neurath3</t>
  </si>
  <si>
    <t>Neurath4</t>
  </si>
  <si>
    <t>Neurath5</t>
  </si>
  <si>
    <t>Niederauï¿½em</t>
  </si>
  <si>
    <t>Niederauï¿½em2</t>
  </si>
  <si>
    <t>Niederauï¿½em3</t>
  </si>
  <si>
    <t>Niederauï¿½em4</t>
  </si>
  <si>
    <t>Niederauï¿½em5</t>
  </si>
  <si>
    <t>Niederauï¿½em6</t>
  </si>
  <si>
    <t>Niederauï¿½em7</t>
  </si>
  <si>
    <t>Niederauï¿½em8</t>
  </si>
  <si>
    <t>Niederauï¿½em9</t>
  </si>
  <si>
    <t>Nord 2</t>
  </si>
  <si>
    <t>Obernburg</t>
  </si>
  <si>
    <t>OffshoreDE1</t>
  </si>
  <si>
    <t>OffshoreDE2</t>
  </si>
  <si>
    <t>OffshoreDE3</t>
  </si>
  <si>
    <t>OffshoreDE4</t>
  </si>
  <si>
    <t>OffshoreDE5</t>
  </si>
  <si>
    <t>OffshoreDE6</t>
  </si>
  <si>
    <t>OnshoreDE1</t>
  </si>
  <si>
    <t>OnshoreDE10</t>
  </si>
  <si>
    <t>OnshoreDE11</t>
  </si>
  <si>
    <t>OnshoreDE12</t>
  </si>
  <si>
    <t>OnshoreDE13</t>
  </si>
  <si>
    <t>OnshoreDE14</t>
  </si>
  <si>
    <t>OnshoreDE15</t>
  </si>
  <si>
    <t>OnshoreDE16</t>
  </si>
  <si>
    <t>OnshoreDE17</t>
  </si>
  <si>
    <t>OnshoreDE18</t>
  </si>
  <si>
    <t>OnshoreDE19</t>
  </si>
  <si>
    <t>OnshoreDE2</t>
  </si>
  <si>
    <t>OnshoreDE20</t>
  </si>
  <si>
    <t>OnshoreDE21</t>
  </si>
  <si>
    <t>OnshoreDE22</t>
  </si>
  <si>
    <t>OnshoreDE23</t>
  </si>
  <si>
    <t>OnshoreDE24</t>
  </si>
  <si>
    <t>OnshoreDE25</t>
  </si>
  <si>
    <t>OnshoreDE3</t>
  </si>
  <si>
    <t>OnshoreDE4</t>
  </si>
  <si>
    <t>OnshoreDE5</t>
  </si>
  <si>
    <t>OnshoreDE6</t>
  </si>
  <si>
    <t>OnshoreDE7</t>
  </si>
  <si>
    <t>OnshoreDE8</t>
  </si>
  <si>
    <t>OnshoreDE9</t>
  </si>
  <si>
    <t>PKV Kraftwerk2</t>
  </si>
  <si>
    <t>PSW Langenprozelten</t>
  </si>
  <si>
    <t>PSW Vianden</t>
  </si>
  <si>
    <t>PSW Vianden10</t>
  </si>
  <si>
    <t>PSW Vianden11</t>
  </si>
  <si>
    <t>PSW Vianden2</t>
  </si>
  <si>
    <t>PSW Vianden3</t>
  </si>
  <si>
    <t>PSW Vianden4</t>
  </si>
  <si>
    <t>PSW Vianden5</t>
  </si>
  <si>
    <t>PSW Vianden6</t>
  </si>
  <si>
    <t>PSW Vianden7</t>
  </si>
  <si>
    <t>PSW Vianden8</t>
  </si>
  <si>
    <t>PSW Vianden9</t>
  </si>
  <si>
    <t>Pumpspeicherkraftwerk Glems</t>
  </si>
  <si>
    <t>Pumpspeicherwerk Rï¿½nkhausen</t>
  </si>
  <si>
    <t>RADAG</t>
  </si>
  <si>
    <t>Raffineriekraftwerk</t>
  </si>
  <si>
    <t>Raffineriekraftwerk Kï¿½ln Godorf</t>
  </si>
  <si>
    <t>Reuter West</t>
  </si>
  <si>
    <t>Reuter West2</t>
  </si>
  <si>
    <t>Reuter2</t>
  </si>
  <si>
    <t>Rheinhafen-Dampfkraftwerk</t>
  </si>
  <si>
    <t>Rheinhafen-Dampfkraftwerk2</t>
  </si>
  <si>
    <t>Rheinhafen-Dampfkraftwerk3</t>
  </si>
  <si>
    <t>Rheinkraftwerk Iffezheim</t>
  </si>
  <si>
    <t>Schkopau</t>
  </si>
  <si>
    <t>Schkopau2</t>
  </si>
  <si>
    <t>Scholven</t>
  </si>
  <si>
    <t>Scholven2</t>
  </si>
  <si>
    <t>Schwarze Pumpe</t>
  </si>
  <si>
    <t>Schwarze Pumpe2</t>
  </si>
  <si>
    <t>Sï¿½ckingen</t>
  </si>
  <si>
    <t>Sï¿½d DT1</t>
  </si>
  <si>
    <t>Sï¿½d DT60</t>
  </si>
  <si>
    <t>Sï¿½d GT 61</t>
  </si>
  <si>
    <t>Sï¿½d GT 62</t>
  </si>
  <si>
    <t>Sï¿½d GT2</t>
  </si>
  <si>
    <t>Sï¿½d GT3</t>
  </si>
  <si>
    <t>SmallBiomassDE</t>
  </si>
  <si>
    <t>SmallBiomassDE2</t>
  </si>
  <si>
    <t>SmallCoalDE</t>
  </si>
  <si>
    <t>SmallFuelOilDE1</t>
  </si>
  <si>
    <t>SmallFuelOilDE2</t>
  </si>
  <si>
    <t>SmallFuelOilDE3</t>
  </si>
  <si>
    <t>SmallHydroDE</t>
  </si>
  <si>
    <t>SmallOCGTde1</t>
  </si>
  <si>
    <t>SmallOCGTde2</t>
  </si>
  <si>
    <t>SmallOCGTde3</t>
  </si>
  <si>
    <t>SmallOCGTde4</t>
  </si>
  <si>
    <t>SmallOCGTde5</t>
  </si>
  <si>
    <t>SmallOCGTde6</t>
  </si>
  <si>
    <t>SmallOCGTde7</t>
  </si>
  <si>
    <t>SolarDE1</t>
  </si>
  <si>
    <t>SolarDE10</t>
  </si>
  <si>
    <t>SolarDE11</t>
  </si>
  <si>
    <t>SolarDE12</t>
  </si>
  <si>
    <t>SolarDE13</t>
  </si>
  <si>
    <t>SolarDE14</t>
  </si>
  <si>
    <t>SolarDE15</t>
  </si>
  <si>
    <t>SolarDE16</t>
  </si>
  <si>
    <t>SolarDE17</t>
  </si>
  <si>
    <t>SolarDE18</t>
  </si>
  <si>
    <t>SolarDE19</t>
  </si>
  <si>
    <t>SolarDE2</t>
  </si>
  <si>
    <t>SolarDE20</t>
  </si>
  <si>
    <t>SolarDE3</t>
  </si>
  <si>
    <t>SolarDE4</t>
  </si>
  <si>
    <t>SolarDE5</t>
  </si>
  <si>
    <t>SolarDE6</t>
  </si>
  <si>
    <t>SolarDE7</t>
  </si>
  <si>
    <t>SolarDE8</t>
  </si>
  <si>
    <t>SolarDE9</t>
  </si>
  <si>
    <t>Spitzenlastkraftwerk Groï¿½kayna</t>
  </si>
  <si>
    <t>Staudinger</t>
  </si>
  <si>
    <t>Staudinger2</t>
  </si>
  <si>
    <t>Tï¿½ging</t>
  </si>
  <si>
    <t>Tiefstack</t>
  </si>
  <si>
    <t xml:space="preserve">Trianel Gaskraftwerk </t>
  </si>
  <si>
    <t>Trianel Gaskraftwerk 2</t>
  </si>
  <si>
    <t>Trianel Kohlekraftwerk Lï¿½nen</t>
  </si>
  <si>
    <t>Ulrich Hartmann (Irsching)</t>
  </si>
  <si>
    <t>UPM Schongau3</t>
  </si>
  <si>
    <t>Walchensee</t>
  </si>
  <si>
    <t>Waldeck 2</t>
  </si>
  <si>
    <t>Waldeck1/Bringhausen</t>
  </si>
  <si>
    <t>Wedel3</t>
  </si>
  <si>
    <t>Wedel4</t>
  </si>
  <si>
    <t>Wehr</t>
  </si>
  <si>
    <t>Weiher</t>
  </si>
  <si>
    <t>Weisweiler</t>
  </si>
  <si>
    <t>Weisweiler2</t>
  </si>
  <si>
    <t>Weisweiler3</t>
  </si>
  <si>
    <t>Weisweiler4</t>
  </si>
  <si>
    <t>Weisweiler5</t>
  </si>
  <si>
    <t>Weisweiler6</t>
  </si>
  <si>
    <t>Wendefurth</t>
  </si>
  <si>
    <t>Westfalen</t>
  </si>
  <si>
    <t>Westfalen2</t>
  </si>
  <si>
    <t>Wilhelmshaven2</t>
  </si>
  <si>
    <t>Wilmersdorf</t>
  </si>
  <si>
    <t>Wintershall</t>
  </si>
  <si>
    <t>Witznau</t>
  </si>
  <si>
    <t>Zolling3</t>
  </si>
  <si>
    <t>EnergyStorageTest</t>
  </si>
  <si>
    <t>Producer2</t>
  </si>
  <si>
    <t>forward looking CO2 expectation</t>
  </si>
  <si>
    <t>lowH2</t>
  </si>
  <si>
    <t>highH2</t>
  </si>
  <si>
    <t>(Multiple Items)</t>
  </si>
  <si>
    <t>lowH2 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</si>
</sst>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i/>
      <sz val="10"/>
      <color rgb="FF629755"/>
      <name val="JetBrains Mono"/>
      <family val="3"/>
    </font>
    <font>
      <sz val="10"/>
      <color rgb="FF6A8759"/>
      <name val="JetBrains Mono"/>
      <family val="3"/>
    </font>
    <font>
      <b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8"/>
      <color rgb="FFFF0000"/>
      <name val="Segoe UI"/>
      <family val="2"/>
    </font>
    <font>
      <sz val="11"/>
      <color rgb="FF000000"/>
      <name val="Consolas"/>
      <family val="3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6" fillId="2" borderId="0" applyNumberFormat="0" applyBorder="0" applyAlignment="0" applyProtection="0"/>
    <xf numFmtId="0" fontId="7" fillId="3" borderId="4" applyNumberFormat="0" applyAlignment="0" applyProtection="0"/>
    <xf numFmtId="0" fontId="12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1" fillId="0" borderId="2" xfId="0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2" fontId="0" fillId="0" borderId="0" xfId="0" applyNumberFormat="1"/>
    <xf numFmtId="0" fontId="1" fillId="0" borderId="3" xfId="0" applyFont="1" applyBorder="1" applyAlignment="1">
      <alignment horizontal="center" vertical="top"/>
    </xf>
    <xf numFmtId="0" fontId="5" fillId="0" borderId="0" xfId="0" applyFont="1" applyAlignment="1">
      <alignment wrapText="1"/>
    </xf>
    <xf numFmtId="0" fontId="6" fillId="2" borderId="0" xfId="1"/>
    <xf numFmtId="0" fontId="0" fillId="0" borderId="1" xfId="0" applyBorder="1"/>
    <xf numFmtId="1" fontId="0" fillId="0" borderId="1" xfId="0" applyNumberFormat="1" applyBorder="1"/>
    <xf numFmtId="0" fontId="7" fillId="3" borderId="0" xfId="2" applyBorder="1"/>
    <xf numFmtId="0" fontId="6" fillId="2" borderId="4" xfId="1" applyBorder="1"/>
    <xf numFmtId="0" fontId="8" fillId="0" borderId="0" xfId="0" applyFont="1"/>
    <xf numFmtId="1" fontId="0" fillId="0" borderId="0" xfId="0" applyNumberFormat="1" applyAlignment="1">
      <alignment horizontal="right" indent="1"/>
    </xf>
    <xf numFmtId="0" fontId="5" fillId="0" borderId="0" xfId="0" applyFont="1"/>
    <xf numFmtId="0" fontId="0" fillId="4" borderId="0" xfId="0" applyFill="1"/>
    <xf numFmtId="0" fontId="5" fillId="0" borderId="0" xfId="0" applyFont="1" applyAlignment="1">
      <alignment horizontal="left"/>
    </xf>
    <xf numFmtId="1" fontId="5" fillId="0" borderId="0" xfId="0" applyNumberFormat="1" applyFont="1"/>
    <xf numFmtId="0" fontId="0" fillId="5" borderId="0" xfId="0" applyFill="1"/>
    <xf numFmtId="0" fontId="9" fillId="0" borderId="0" xfId="0" applyFont="1"/>
    <xf numFmtId="1" fontId="9" fillId="0" borderId="0" xfId="0" applyNumberFormat="1" applyFont="1"/>
    <xf numFmtId="0" fontId="0" fillId="4" borderId="1" xfId="0" applyFill="1" applyBorder="1"/>
    <xf numFmtId="1" fontId="10" fillId="0" borderId="0" xfId="0" applyNumberFormat="1" applyFont="1"/>
    <xf numFmtId="1" fontId="11" fillId="0" borderId="0" xfId="0" applyNumberFormat="1" applyFont="1"/>
    <xf numFmtId="0" fontId="11" fillId="0" borderId="0" xfId="0" applyFont="1"/>
    <xf numFmtId="0" fontId="0" fillId="4" borderId="0" xfId="0" applyFill="1" applyAlignment="1">
      <alignment horizontal="left"/>
    </xf>
    <xf numFmtId="1" fontId="11" fillId="4" borderId="0" xfId="0" applyNumberFormat="1" applyFont="1" applyFill="1"/>
    <xf numFmtId="1" fontId="0" fillId="4" borderId="0" xfId="0" applyNumberFormat="1" applyFill="1"/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top"/>
    </xf>
    <xf numFmtId="0" fontId="8" fillId="0" borderId="0" xfId="0" applyFont="1" applyAlignment="1">
      <alignment horizontal="center" wrapText="1"/>
    </xf>
    <xf numFmtId="0" fontId="0" fillId="0" borderId="0" xfId="0" applyNumberFormat="1"/>
  </cellXfs>
  <cellStyles count="4">
    <cellStyle name="Calculation" xfId="2" builtinId="22"/>
    <cellStyle name="Neutral" xfId="1" builtinId="28"/>
    <cellStyle name="Normal" xfId="0" builtinId="0"/>
    <cellStyle name="Normal 2" xfId="3" xr:uid="{B26AC978-7F94-4B84-963F-1C7EF8520FC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ivotCacheDefinition" Target="pivotCache/pivotCacheDefinition4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pivotCacheDefinition" Target="pivotCache/pivotCacheDefinition7.xml"/><Relationship Id="rId47" Type="http://schemas.openxmlformats.org/officeDocument/2006/relationships/pivotCacheDefinition" Target="pivotCache/pivotCacheDefinition12.xml"/><Relationship Id="rId50" Type="http://schemas.openxmlformats.org/officeDocument/2006/relationships/pivotCacheDefinition" Target="pivotCache/pivotCacheDefinition15.xml"/><Relationship Id="rId55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pivotCacheDefinition" Target="pivotCache/pivotCacheDefinition2.xml"/><Relationship Id="rId40" Type="http://schemas.openxmlformats.org/officeDocument/2006/relationships/pivotCacheDefinition" Target="pivotCache/pivotCacheDefinition5.xml"/><Relationship Id="rId45" Type="http://schemas.openxmlformats.org/officeDocument/2006/relationships/pivotCacheDefinition" Target="pivotCache/pivotCacheDefinition10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9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43" Type="http://schemas.openxmlformats.org/officeDocument/2006/relationships/pivotCacheDefinition" Target="pivotCache/pivotCacheDefinition8.xml"/><Relationship Id="rId48" Type="http://schemas.openxmlformats.org/officeDocument/2006/relationships/pivotCacheDefinition" Target="pivotCache/pivotCacheDefinition13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pivotCacheDefinition" Target="pivotCache/pivotCacheDefinition3.xml"/><Relationship Id="rId46" Type="http://schemas.openxmlformats.org/officeDocument/2006/relationships/pivotCacheDefinition" Target="pivotCache/pivotCacheDefinition11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6.xml"/><Relationship Id="rId54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1.xml"/><Relationship Id="rId49" Type="http://schemas.openxmlformats.org/officeDocument/2006/relationships/pivotCacheDefinition" Target="pivotCache/pivotCacheDefinition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S1_2015_50retro!$M$18</c:f>
              <c:strCache>
                <c:ptCount val="1"/>
                <c:pt idx="0">
                  <c:v>S1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S1_2015_50retro!$L$19:$L$25</c:f>
              <c:strCache>
                <c:ptCount val="7"/>
                <c:pt idx="0">
                  <c:v>Biomass_CHP_wood_pellets_DH</c:v>
                </c:pt>
                <c:pt idx="1">
                  <c:v>hydrogen_turbine</c:v>
                </c:pt>
                <c:pt idx="2">
                  <c:v>Nuclear</c:v>
                </c:pt>
                <c:pt idx="3">
                  <c:v>OCGT</c:v>
                </c:pt>
                <c:pt idx="4">
                  <c:v>PV_utility_systems</c:v>
                </c:pt>
                <c:pt idx="5">
                  <c:v>WTG_offshore</c:v>
                </c:pt>
                <c:pt idx="6">
                  <c:v>WTG_onshore</c:v>
                </c:pt>
              </c:strCache>
            </c:strRef>
          </c:cat>
          <c:val>
            <c:numRef>
              <c:f>S1_2015_50retro!$M$19:$M$25</c:f>
              <c:numCache>
                <c:formatCode>General</c:formatCode>
                <c:ptCount val="7"/>
                <c:pt idx="1">
                  <c:v>15000</c:v>
                </c:pt>
                <c:pt idx="2">
                  <c:v>3684</c:v>
                </c:pt>
                <c:pt idx="3">
                  <c:v>2700</c:v>
                </c:pt>
                <c:pt idx="4">
                  <c:v>42500</c:v>
                </c:pt>
                <c:pt idx="5">
                  <c:v>67000</c:v>
                </c:pt>
                <c:pt idx="6">
                  <c:v>7180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A7-4833-8EC6-AB7BCF31F06B}"/>
            </c:ext>
          </c:extLst>
        </c:ser>
        <c:ser>
          <c:idx val="1"/>
          <c:order val="1"/>
          <c:tx>
            <c:strRef>
              <c:f>S1_2015_50retro!$N$18</c:f>
              <c:strCache>
                <c:ptCount val="1"/>
                <c:pt idx="0">
                  <c:v>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S1_2015_50retro!$L$19:$L$25</c:f>
              <c:strCache>
                <c:ptCount val="7"/>
                <c:pt idx="0">
                  <c:v>Biomass_CHP_wood_pellets_DH</c:v>
                </c:pt>
                <c:pt idx="1">
                  <c:v>hydrogen_turbine</c:v>
                </c:pt>
                <c:pt idx="2">
                  <c:v>Nuclear</c:v>
                </c:pt>
                <c:pt idx="3">
                  <c:v>OCGT</c:v>
                </c:pt>
                <c:pt idx="4">
                  <c:v>PV_utility_systems</c:v>
                </c:pt>
                <c:pt idx="5">
                  <c:v>WTG_offshore</c:v>
                </c:pt>
                <c:pt idx="6">
                  <c:v>WTG_onshore</c:v>
                </c:pt>
              </c:strCache>
            </c:strRef>
          </c:cat>
          <c:val>
            <c:numRef>
              <c:f>S1_2015_50retro!$N$19:$N$25</c:f>
              <c:numCache>
                <c:formatCode>General</c:formatCode>
                <c:ptCount val="7"/>
                <c:pt idx="0">
                  <c:v>0.5</c:v>
                </c:pt>
                <c:pt idx="1">
                  <c:v>12000</c:v>
                </c:pt>
                <c:pt idx="2">
                  <c:v>3684</c:v>
                </c:pt>
                <c:pt idx="3">
                  <c:v>2700</c:v>
                </c:pt>
                <c:pt idx="4">
                  <c:v>42500</c:v>
                </c:pt>
                <c:pt idx="5">
                  <c:v>69000</c:v>
                </c:pt>
                <c:pt idx="6">
                  <c:v>7180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A7-4833-8EC6-AB7BCF31F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2870447"/>
        <c:axId val="115485743"/>
      </c:barChart>
      <c:catAx>
        <c:axId val="2122870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5485743"/>
        <c:crosses val="autoZero"/>
        <c:auto val="1"/>
        <c:lblAlgn val="ctr"/>
        <c:lblOffset val="100"/>
        <c:noMultiLvlLbl val="0"/>
      </c:catAx>
      <c:valAx>
        <c:axId val="11548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122870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58221</xdr:colOff>
      <xdr:row>16</xdr:row>
      <xdr:rowOff>0</xdr:rowOff>
    </xdr:from>
    <xdr:to>
      <xdr:col>17</xdr:col>
      <xdr:colOff>321469</xdr:colOff>
      <xdr:row>40</xdr:row>
      <xdr:rowOff>145671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BEEFA4-268A-E445-1975-59605878C6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toolbox-amiris-emlab\data\EMLABparameters.xlsx" TargetMode="External"/><Relationship Id="rId1" Type="http://schemas.openxmlformats.org/officeDocument/2006/relationships/externalLinkPath" Target="EMLABparamet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lanation"/>
      <sheetName val="dictTech"/>
      <sheetName val="dictFuel"/>
      <sheetName val="TechnologyTargets"/>
      <sheetName val="CapacityMarketCO2Limit"/>
      <sheetName val="CapacityMarkets"/>
      <sheetName val="StrategicReserveOperator"/>
      <sheetName val="ElectricitySpotMarkets"/>
      <sheetName val="CapacitySubscriptionConsumer"/>
      <sheetName val="CS_subscribed"/>
      <sheetName val="LoadShedders"/>
      <sheetName val="yearlyLoadShifterCap"/>
      <sheetName val="yearlyHydrogen"/>
      <sheetName val="dynamicDF"/>
      <sheetName val="LoadShifterCap"/>
      <sheetName val="LSyearly"/>
      <sheetName val="peakLoad"/>
      <sheetName val="Fuels"/>
      <sheetName val="FuelPriceTrends"/>
      <sheetName val="CandidatePowerPlants"/>
      <sheetName val="TechnologiesEmlab"/>
      <sheetName val="TechnologyTrends"/>
      <sheetName val="EnergyProducers"/>
      <sheetName val="weatherYears40"/>
      <sheetName val="Dismantled"/>
      <sheetName val="Sheet1"/>
      <sheetName val="derating"/>
      <sheetName val="VOLLs"/>
      <sheetName val="LoadShedders_feb24"/>
      <sheetName val="LoadShedders (2)"/>
      <sheetName val="LoadShedders2"/>
      <sheetName val="LoadShedders_copy"/>
      <sheetName val="dictvariables"/>
      <sheetName val="StepTrends"/>
      <sheetName val="EnergyConsumers"/>
      <sheetName val="yearlytechnologyPotentials2"/>
      <sheetName val="graphs"/>
      <sheetName val="CO2DE"/>
      <sheetName val="backup"/>
      <sheetName val="weatherYearsOLD"/>
      <sheetName val="sources"/>
      <sheetName val="NewTechnologies"/>
    </sheetNames>
    <sheetDataSet>
      <sheetData sheetId="0"/>
      <sheetData sheetId="1">
        <row r="2">
          <cell r="A2" t="str">
            <v>Biofuel</v>
          </cell>
          <cell r="B2" t="str">
            <v>Undefined</v>
          </cell>
        </row>
        <row r="3">
          <cell r="A3" t="str">
            <v>CCGT</v>
          </cell>
          <cell r="B3" t="str">
            <v>Undefined</v>
          </cell>
        </row>
        <row r="4">
          <cell r="A4" t="str">
            <v>CCS gas</v>
          </cell>
          <cell r="B4" t="str">
            <v>Undefined</v>
          </cell>
        </row>
        <row r="5">
          <cell r="A5" t="str">
            <v>Hard Coal</v>
          </cell>
          <cell r="B5" t="str">
            <v>Undefined</v>
          </cell>
        </row>
        <row r="6">
          <cell r="A6" t="str">
            <v>Hydro Reservoir</v>
          </cell>
          <cell r="B6" t="str">
            <v>RunOfRiver</v>
          </cell>
        </row>
        <row r="7">
          <cell r="A7" t="str">
            <v>hydrogen CHP</v>
          </cell>
          <cell r="B7" t="str">
            <v>Undefined</v>
          </cell>
        </row>
        <row r="8">
          <cell r="A8" t="str">
            <v>hydrogen OCGT</v>
          </cell>
          <cell r="B8" t="str">
            <v>Undefined</v>
          </cell>
        </row>
        <row r="9">
          <cell r="A9" t="str">
            <v>hydrogen CCGT</v>
          </cell>
          <cell r="B9" t="str">
            <v>Undefined</v>
          </cell>
        </row>
        <row r="10">
          <cell r="A10" t="str">
            <v>Hydropower ROR</v>
          </cell>
          <cell r="B10" t="str">
            <v>RunOfRiver</v>
          </cell>
        </row>
        <row r="11">
          <cell r="A11" t="str">
            <v>Lignite</v>
          </cell>
          <cell r="B11" t="str">
            <v>Undefined</v>
          </cell>
        </row>
        <row r="12">
          <cell r="A12" t="str">
            <v>Lithium ion battery</v>
          </cell>
          <cell r="B12" t="str">
            <v>Undefined</v>
          </cell>
        </row>
        <row r="13">
          <cell r="A13" t="str">
            <v>Nuclear</v>
          </cell>
          <cell r="B13" t="str">
            <v>Undefined</v>
          </cell>
        </row>
        <row r="14">
          <cell r="A14" t="str">
            <v>OCGT</v>
          </cell>
          <cell r="B14" t="str">
            <v>Undefined</v>
          </cell>
        </row>
        <row r="15">
          <cell r="A15" t="str">
            <v>Oil</v>
          </cell>
          <cell r="B15" t="str">
            <v>Undefined</v>
          </cell>
        </row>
        <row r="16">
          <cell r="A16" t="str">
            <v>PHS Discharge</v>
          </cell>
          <cell r="B16" t="str">
            <v>Undefined</v>
          </cell>
        </row>
        <row r="17">
          <cell r="A17" t="str">
            <v>Solar PV large</v>
          </cell>
          <cell r="B17" t="str">
            <v>OtherPV</v>
          </cell>
        </row>
        <row r="18">
          <cell r="A18" t="str">
            <v>Solar PV rooftop</v>
          </cell>
          <cell r="B18" t="str">
            <v>PVRooftop</v>
          </cell>
        </row>
        <row r="19">
          <cell r="A19" t="str">
            <v>Wind Offshore</v>
          </cell>
          <cell r="B19" t="str">
            <v>WindOff</v>
          </cell>
        </row>
        <row r="20">
          <cell r="A20" t="str">
            <v>Wind Onshore</v>
          </cell>
          <cell r="B20" t="str">
            <v>WindOn</v>
          </cell>
        </row>
        <row r="21">
          <cell r="A21" t="str">
            <v>electrolyzer</v>
          </cell>
          <cell r="B21" t="str">
            <v>Undefined</v>
          </cell>
        </row>
        <row r="22">
          <cell r="A22" t="str">
            <v>Lithium ion battery 4</v>
          </cell>
          <cell r="B22" t="str">
            <v>Undefined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Ingrid Sanchez Jimenez" id="{C0CD9C9B-24FD-4251-A7B4-F89F5A89869D}" userId="S::isanchezjimene@tudelft.nl::cc90341c-89c3-4988-92a9-0175758ccb6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grid Sanchez Jimenez" refreshedDate="44950.985725810184" createdVersion="8" refreshedVersion="8" minRefreshableVersion="3" recordCount="50" xr:uid="{D8190F52-DAAC-4ADB-B65E-128A91A3A910}">
  <cacheSource type="worksheet">
    <worksheetSource ref="A1:I51" sheet="extendedNL"/>
  </cacheSource>
  <cacheFields count="10">
    <cacheField name="pp" numFmtId="0">
      <sharedItems containsSemiMixedTypes="0" containsString="0" containsNumber="1" containsInteger="1" minValue="20" maxValue="69"/>
    </cacheField>
    <cacheField name="Technology" numFmtId="0">
      <sharedItems count="11">
        <s v="Biomass_CHP_wood_pellets_DH"/>
        <s v="Coal PSC"/>
        <s v="CCGT"/>
        <s v="Hydropower_reservoir_medium"/>
        <s v="Nuclear"/>
        <s v="PV_utility_systems"/>
        <s v="WTG_offshore"/>
        <s v="WTG_onshore"/>
        <s v="OCGT"/>
        <s v="Biomass_CHP_wood_pellets_PH"/>
        <s v="CCGT_CHP_backpressure_DH"/>
      </sharedItems>
    </cacheField>
    <cacheField name="Age" numFmtId="0">
      <sharedItems containsSemiMixedTypes="0" containsString="0" containsNumber="1" containsInteger="1" minValue="0" maxValue="45"/>
    </cacheField>
    <cacheField name="Capacity" numFmtId="0">
      <sharedItems containsSemiMixedTypes="0" containsString="0" containsNumber="1" minValue="1.7679999999999969" maxValue="2640"/>
    </cacheField>
    <cacheField name="Efficiency" numFmtId="0">
      <sharedItems containsSemiMixedTypes="0" containsString="0" containsNumber="1" minValue="0.29418898900706492" maxValue="1"/>
    </cacheField>
    <cacheField name="availability_weighted_mean" numFmtId="0">
      <sharedItems containsSemiMixedTypes="0" containsString="0" containsNumber="1" minValue="0.74200913242009103" maxValue="1"/>
    </cacheField>
    <cacheField name="Location" numFmtId="0">
      <sharedItems/>
    </cacheField>
    <cacheField name="Owner" numFmtId="0">
      <sharedItems/>
    </cacheField>
    <cacheField name="cash" numFmtId="0">
      <sharedItems containsSemiMixedTypes="0" containsString="0" containsNumber="1" containsInteger="1" minValue="0" maxValue="0"/>
    </cacheField>
    <cacheField name="DischarginEfficiency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grid Sanchez Jimenez" refreshedDate="45318.719476273145" createdVersion="8" refreshedVersion="8" minRefreshableVersion="3" recordCount="59" xr:uid="{1CCFBD34-A5AD-4CA7-963B-26251C250310}">
  <cacheSource type="worksheet">
    <worksheetSource ref="A1:G61" sheet="groupedDecarbonizedNL2"/>
  </cacheSource>
  <cacheFields count="7">
    <cacheField name="pp" numFmtId="0">
      <sharedItems containsSemiMixedTypes="0" containsString="0" containsNumber="1" containsInteger="1" minValue="19" maxValue="77"/>
    </cacheField>
    <cacheField name="Technology" numFmtId="0">
      <sharedItems count="6">
        <s v="Nuclear"/>
        <s v="Wind Onshore"/>
        <s v="Solar PV large"/>
        <s v="Wind Offshore"/>
        <s v="hydrogen turbine"/>
        <s v="OCGT"/>
      </sharedItems>
    </cacheField>
    <cacheField name="Age" numFmtId="0">
      <sharedItems containsSemiMixedTypes="0" containsString="0" containsNumber="1" containsInteger="1" minValue="1" maxValue="28"/>
    </cacheField>
    <cacheField name="Capacity" numFmtId="0">
      <sharedItems containsSemiMixedTypes="0" containsString="0" containsNumber="1" containsInteger="1" minValue="700" maxValue="4000"/>
    </cacheField>
    <cacheField name="Location" numFmtId="0">
      <sharedItems/>
    </cacheField>
    <cacheField name="cash" numFmtId="0">
      <sharedItems containsSemiMixedTypes="0" containsString="0" containsNumber="1" containsInteger="1" minValue="0" maxValue="0"/>
    </cacheField>
    <cacheField name="DischarginEfficiency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grid Sanchez Jimenez" refreshedDate="45318.719568518522" createdVersion="8" refreshedVersion="8" minRefreshableVersion="3" recordCount="63" xr:uid="{FF1D84FE-16F3-420B-87E3-E67E75754D9B}">
  <cacheSource type="worksheet">
    <worksheetSource ref="B1:D1048576" sheet="groupedDecarbonizedNL_S1"/>
  </cacheSource>
  <cacheFields count="3">
    <cacheField name="Technology" numFmtId="0">
      <sharedItems containsBlank="1" count="9">
        <s v="Nuclear"/>
        <s v="Wind Onshore"/>
        <s v="Solar PV large"/>
        <s v="Wind Offshore"/>
        <s v="hydrogen turbine"/>
        <s v="OCGT"/>
        <m/>
        <s v="Lithium ion battery"/>
        <s v="Biofuel"/>
      </sharedItems>
    </cacheField>
    <cacheField name="Age" numFmtId="0">
      <sharedItems containsString="0" containsBlank="1" containsNumber="1" containsInteger="1" minValue="1" maxValue="28"/>
    </cacheField>
    <cacheField name="Capacity" numFmtId="0">
      <sharedItems containsString="0" containsBlank="1" containsNumber="1" minValue="0.5" maxValue="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grid Sanchez Jimenez" refreshedDate="45322.503121527778" createdVersion="8" refreshedVersion="8" minRefreshableVersion="3" recordCount="60" xr:uid="{E243E9F4-3D8D-4812-81C1-BE69EFFB3BE4}">
  <cacheSource type="worksheet">
    <worksheetSource ref="B1:D1048576" sheet="groupedDecarbonizedNL"/>
  </cacheSource>
  <cacheFields count="3">
    <cacheField name="Technology" numFmtId="0">
      <sharedItems containsBlank="1" count="8">
        <s v="Nuclear"/>
        <s v="Wind Onshore"/>
        <s v="Solar PV large"/>
        <s v="Wind Offshore"/>
        <s v="hydrogen turbine"/>
        <m/>
        <s v="Lithium_ion_battery"/>
        <s v="Biomass_CHP_wood_pellets_DH"/>
      </sharedItems>
    </cacheField>
    <cacheField name="Age" numFmtId="0">
      <sharedItems containsString="0" containsBlank="1" containsNumber="1" containsInteger="1" minValue="1" maxValue="40"/>
    </cacheField>
    <cacheField name="Capacity" numFmtId="0">
      <sharedItems containsString="0" containsBlank="1" containsNumber="1" minValue="0.5" maxValue="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grid Sanchez Jimenez" refreshedDate="45455.624811689813" createdVersion="8" refreshedVersion="8" minRefreshableVersion="3" recordCount="76" xr:uid="{884F8BB3-C46E-4B47-9F1C-DF0C002AFF80}">
  <cacheSource type="worksheet">
    <worksheetSource ref="B1:D1048576" sheet="groupedDecarbonizedNLCRMs"/>
  </cacheSource>
  <cacheFields count="3">
    <cacheField name="Technology" numFmtId="0">
      <sharedItems containsBlank="1" count="12">
        <s v="Biofuel"/>
        <s v="hydrogen CCGT"/>
        <s v="hydrogen OCGT"/>
        <s v="Lithium ion battery 4"/>
        <s v="Nuclear"/>
        <s v="Solar PV large"/>
        <s v="Wind Offshore"/>
        <s v="Wind Onshore"/>
        <m/>
        <s v="Lithium ion battery" u="1"/>
        <s v="Biomass_CHP_wood_pellets_DH" u="1"/>
        <s v="Lithium_ion_battery" u="1"/>
      </sharedItems>
    </cacheField>
    <cacheField name="Age" numFmtId="0">
      <sharedItems containsString="0" containsBlank="1" containsNumber="1" containsInteger="1" minValue="0" maxValue="29"/>
    </cacheField>
    <cacheField name="Capacity" numFmtId="0">
      <sharedItems containsString="0" containsBlank="1" containsNumber="1" containsInteger="1" minValue="1" maxValue="3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grid Sanchez Jimenez" refreshedDate="45456.510716435187" createdVersion="8" refreshedVersion="8" minRefreshableVersion="3" recordCount="190" xr:uid="{6BFB761D-12A5-4903-9A1B-0BCCF54DBC99}">
  <cacheSource type="worksheet">
    <worksheetSource ref="A1:K1048576" sheet="NL_withplanneddecommissions"/>
  </cacheSource>
  <cacheFields count="11">
    <cacheField name="index" numFmtId="0">
      <sharedItems containsString="0" containsBlank="1" containsNumber="1" containsInteger="1" minValue="20" maxValue="208"/>
    </cacheField>
    <cacheField name="Technology" numFmtId="0">
      <sharedItems containsBlank="1" count="12">
        <s v="Biomass_CHP_wood_pellets_DH"/>
        <s v="Biomass_CHP_wood_pellets_PH"/>
        <s v="CCGT"/>
        <s v="CCGT_CHP_backpressure_DH"/>
        <s v="Coal PSC"/>
        <s v="Hydropower_reservoir_medium"/>
        <s v="Nuclear"/>
        <s v="OCGT"/>
        <s v="PV_utility_systems"/>
        <s v="WTG_offshore"/>
        <s v="WTG_onshore"/>
        <m/>
      </sharedItems>
    </cacheField>
    <cacheField name="Age" numFmtId="0">
      <sharedItems containsString="0" containsBlank="1" containsNumber="1" containsInteger="1" minValue="-20" maxValue="58" count="64">
        <n v="26"/>
        <n v="-6"/>
        <n v="11"/>
        <n v="10"/>
        <n v="9"/>
        <n v="24"/>
        <n v="23"/>
        <n v="2"/>
        <n v="0"/>
        <n v="20"/>
        <n v="7"/>
        <n v="8"/>
        <n v="5"/>
        <n v="4"/>
        <n v="3"/>
        <n v="-1"/>
        <n v="-20"/>
        <n v="16"/>
        <n v="14"/>
        <n v="15"/>
        <n v="21"/>
        <n v="22"/>
        <n v="25"/>
        <n v="27"/>
        <n v="19"/>
        <n v="17"/>
        <n v="39"/>
        <n v="34"/>
        <n v="18"/>
        <n v="44"/>
        <n v="54"/>
        <n v="58"/>
        <n v="13"/>
        <n v="12"/>
        <n v="37"/>
        <n v="33"/>
        <n v="36"/>
        <n v="30"/>
        <n v="29"/>
        <n v="35"/>
        <n v="40"/>
        <n v="43"/>
        <n v="31"/>
        <n v="6"/>
        <n v="46"/>
        <n v="-13"/>
        <n v="-3"/>
        <n v="-4"/>
        <n v="1"/>
        <n v="-2"/>
        <n v="-11"/>
        <n v="-12"/>
        <n v="-14"/>
        <n v="-15"/>
        <n v="-19"/>
        <n v="-18"/>
        <n v="-16"/>
        <n v="-17"/>
        <n v="-5"/>
        <n v="-9"/>
        <n v="-10"/>
        <n v="-8"/>
        <n v="-7"/>
        <m/>
      </sharedItems>
    </cacheField>
    <cacheField name="Capacity" numFmtId="0">
      <sharedItems containsString="0" containsBlank="1" containsNumber="1" minValue="1.488" maxValue="6000.0010000000002"/>
    </cacheField>
    <cacheField name="Efficiency" numFmtId="0">
      <sharedItems containsString="0" containsBlank="1" containsNumber="1" minValue="0.1" maxValue="1"/>
    </cacheField>
    <cacheField name="Availability" numFmtId="0">
      <sharedItems containsString="0" containsBlank="1" containsNumber="1" minValue="0.25" maxValue="1"/>
    </cacheField>
    <cacheField name="Location" numFmtId="0">
      <sharedItems containsBlank="1"/>
    </cacheField>
    <cacheField name="Owner" numFmtId="0">
      <sharedItems containsBlank="1"/>
    </cacheField>
    <cacheField name="cash" numFmtId="0">
      <sharedItems containsString="0" containsBlank="1" containsNumber="1" containsInteger="1" minValue="0" maxValue="0"/>
    </cacheField>
    <cacheField name="DischarginEfficiency" numFmtId="0">
      <sharedItems containsString="0" containsBlank="1" containsNumber="1" containsInteger="1" minValue="0" maxValue="0"/>
    </cacheField>
    <cacheField name="DecommissionInYear" numFmtId="0">
      <sharedItems containsString="0" containsBlank="1" containsNumber="1" containsInteger="1" minValue="2020" maxValue="20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grid Sanchez Jimenez" refreshedDate="45456.512453587966" createdVersion="8" refreshedVersion="8" minRefreshableVersion="3" recordCount="381" xr:uid="{90999D91-76D7-4EA7-8C14-237FEB926174}">
  <cacheSource type="worksheet">
    <worksheetSource ref="A1:G1048576" sheet="dutchGermanPlants2015_from_emla"/>
  </cacheSource>
  <cacheFields count="7">
    <cacheField name="Name" numFmtId="0">
      <sharedItems containsBlank="1"/>
    </cacheField>
    <cacheField name="Technology Emlab" numFmtId="0">
      <sharedItems containsBlank="1" count="13">
        <s v="OCGT"/>
        <s v="Fuel oil PGT"/>
        <s v="Coal PSC"/>
        <s v="Biomass CHP"/>
        <s v="CCGT"/>
        <s v="Lignite PSC"/>
        <s v="Hydroelectric"/>
        <s v="Nuclear PGT"/>
        <s v="Offshore wind PGT"/>
        <s v="Onshore wind PGT"/>
        <s v="Photovoltaic PGT"/>
        <s v="Lithium_ion_battery"/>
        <m/>
      </sharedItems>
    </cacheField>
    <cacheField name="Technology" numFmtId="0">
      <sharedItems containsBlank="1" count="4">
        <s v="Undefined"/>
        <e v="#N/A"/>
        <s v="Lithium_ion_battery"/>
        <m/>
      </sharedItems>
    </cacheField>
    <cacheField name="Location" numFmtId="0">
      <sharedItems containsBlank="1"/>
    </cacheField>
    <cacheField name="Age" numFmtId="0">
      <sharedItems containsString="0" containsBlank="1" containsNumber="1" containsInteger="1" minValue="1" maxValue="49"/>
    </cacheField>
    <cacheField name="Owner" numFmtId="0">
      <sharedItems containsBlank="1"/>
    </cacheField>
    <cacheField name="Capacity" numFmtId="0">
      <sharedItems containsString="0" containsBlank="1" containsNumber="1" minValue="1" maxValue="19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grid Sanchez Jimenez" refreshedDate="45476.564233101853" createdVersion="8" refreshedVersion="8" minRefreshableVersion="3" recordCount="15" xr:uid="{3DAADDF0-D4A0-4A0E-BC91-0115A55A44C6}">
  <cacheSource type="worksheet">
    <worksheetSource ref="B1:D16" sheet="superGroupedNL (2)"/>
  </cacheSource>
  <cacheFields count="3">
    <cacheField name="Technology" numFmtId="0">
      <sharedItems containsBlank="1" count="9">
        <s v="hydrogen OCGT"/>
        <s v="Lithium ion battery 4"/>
        <s v="Solar PV large"/>
        <s v="Wind Offshore"/>
        <s v="Wind Onshore"/>
        <s v="Nuclear"/>
        <s v="hydrogen CCGT"/>
        <m/>
        <s v="Lithium ion battery" u="1"/>
      </sharedItems>
    </cacheField>
    <cacheField name="Age" numFmtId="0">
      <sharedItems containsString="0" containsBlank="1" containsNumber="1" containsInteger="1" minValue="1" maxValue="8"/>
    </cacheField>
    <cacheField name="Capacity" numFmtId="0">
      <sharedItems containsString="0" containsBlank="1" containsNumber="1" containsInteger="1" minValue="400" maxValue="6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grid Sanchez Jimenez" refreshedDate="45520.491673032404" createdVersion="8" refreshedVersion="8" minRefreshableVersion="3" recordCount="50" xr:uid="{4CA6E6A2-6BF0-4F90-915B-5517DA227AED}">
  <cacheSource type="worksheet">
    <worksheetSource ref="B1:I51" sheet="extendedNL"/>
  </cacheSource>
  <cacheFields count="8">
    <cacheField name="Technology" numFmtId="0">
      <sharedItems count="11">
        <s v="Biomass_CHP_wood_pellets_DH"/>
        <s v="Coal PSC"/>
        <s v="CCGT"/>
        <s v="Hydropower_reservoir_medium"/>
        <s v="Nuclear"/>
        <s v="PV_utility_systems"/>
        <s v="WTG_offshore"/>
        <s v="WTG_onshore"/>
        <s v="OCGT"/>
        <s v="Biomass_CHP_wood_pellets_PH"/>
        <s v="CCGT_CHP_backpressure_DH"/>
      </sharedItems>
    </cacheField>
    <cacheField name="Age" numFmtId="0">
      <sharedItems containsSemiMixedTypes="0" containsString="0" containsNumber="1" containsInteger="1" minValue="0" maxValue="45"/>
    </cacheField>
    <cacheField name="Capacity" numFmtId="0">
      <sharedItems containsSemiMixedTypes="0" containsString="0" containsNumber="1" minValue="1.7679999999999969" maxValue="2640"/>
    </cacheField>
    <cacheField name="Efficiency" numFmtId="0">
      <sharedItems containsSemiMixedTypes="0" containsString="0" containsNumber="1" minValue="0.29418898900706492" maxValue="1"/>
    </cacheField>
    <cacheField name="availability_weighted_mean" numFmtId="0">
      <sharedItems containsSemiMixedTypes="0" containsString="0" containsNumber="1" minValue="0.74200913242009103" maxValue="1"/>
    </cacheField>
    <cacheField name="Location" numFmtId="0">
      <sharedItems/>
    </cacheField>
    <cacheField name="cash" numFmtId="0">
      <sharedItems containsSemiMixedTypes="0" containsString="0" containsNumber="1" containsInteger="1" minValue="0" maxValue="0"/>
    </cacheField>
    <cacheField name="DischarginEfficiency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grid Sanchez Jimenez" refreshedDate="45538.528577083336" createdVersion="8" refreshedVersion="8" minRefreshableVersion="3" recordCount="145" xr:uid="{7D5C3888-58A9-482A-BDA9-E1108678F8FF}">
  <cacheSource type="worksheet">
    <worksheetSource ref="A1:J146" sheet="NL_withplanneddecommissions"/>
  </cacheSource>
  <cacheFields count="10">
    <cacheField name="index" numFmtId="0">
      <sharedItems containsSemiMixedTypes="0" containsString="0" containsNumber="1" containsInteger="1" minValue="20" maxValue="208"/>
    </cacheField>
    <cacheField name="Technology" numFmtId="0">
      <sharedItems count="10">
        <s v="CCGT_CHP_backpressure_DH"/>
        <s v="OCGT"/>
        <s v="Biomass_CHP_wood_pellets_DH"/>
        <s v="Coal PSC"/>
        <s v="CCGT"/>
        <s v="WTG_onshore"/>
        <s v="Hydropower_reservoir_medium"/>
        <s v="Nuclear"/>
        <s v="WTG_offshore"/>
        <s v="PV_utility_systems"/>
      </sharedItems>
    </cacheField>
    <cacheField name="Age" numFmtId="0">
      <sharedItems containsSemiMixedTypes="0" containsString="0" containsNumber="1" containsInteger="1" minValue="0" maxValue="58" count="43">
        <n v="58"/>
        <n v="54"/>
        <n v="46"/>
        <n v="44"/>
        <n v="43"/>
        <n v="40"/>
        <n v="39"/>
        <n v="37"/>
        <n v="36"/>
        <n v="35"/>
        <n v="34"/>
        <n v="33"/>
        <n v="31"/>
        <n v="30"/>
        <n v="29"/>
        <n v="27"/>
        <n v="26"/>
        <n v="25"/>
        <n v="24"/>
        <n v="23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  <n v="3"/>
        <n v="2"/>
        <n v="1"/>
        <n v="0"/>
      </sharedItems>
    </cacheField>
    <cacheField name="Capacity" numFmtId="0">
      <sharedItems containsSemiMixedTypes="0" containsString="0" containsNumber="1" minValue="3.04" maxValue="3095.0839999999998"/>
    </cacheField>
    <cacheField name="Efficiency" numFmtId="0">
      <sharedItems containsSemiMixedTypes="0" containsString="0" containsNumber="1" minValue="0.1" maxValue="1"/>
    </cacheField>
    <cacheField name="Availability" numFmtId="0">
      <sharedItems containsSemiMixedTypes="0" containsString="0" containsNumber="1" minValue="0.25" maxValue="1"/>
    </cacheField>
    <cacheField name="Location" numFmtId="0">
      <sharedItems/>
    </cacheField>
    <cacheField name="Owner" numFmtId="0">
      <sharedItems/>
    </cacheField>
    <cacheField name="cash" numFmtId="0">
      <sharedItems containsSemiMixedTypes="0" containsString="0" containsNumber="1" containsInteger="1" minValue="0" maxValue="0"/>
    </cacheField>
    <cacheField name="DischarginEfficiency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grid Sanchez Jimenez" refreshedDate="45538.530241666667" createdVersion="8" refreshedVersion="8" minRefreshableVersion="3" recordCount="139" xr:uid="{77C2246E-9D29-4980-875C-5FAAE1E115E7}">
  <cacheSource type="worksheet">
    <worksheetSource ref="B1:E140" sheet="NL_withplanneddecommissions"/>
  </cacheSource>
  <cacheFields count="4">
    <cacheField name="Technology" numFmtId="0">
      <sharedItems count="10">
        <s v="CCGT_CHP_backpressure_DH"/>
        <s v="OCGT"/>
        <s v="Biomass_CHP_wood_pellets_DH"/>
        <s v="Coal PSC"/>
        <s v="CCGT"/>
        <s v="WTG_onshore"/>
        <s v="Hydropower_reservoir_medium"/>
        <s v="Nuclear"/>
        <s v="WTG_offshore"/>
        <s v="PV_utility_systems"/>
      </sharedItems>
    </cacheField>
    <cacheField name="Age" numFmtId="0">
      <sharedItems containsSemiMixedTypes="0" containsString="0" containsNumber="1" containsInteger="1" minValue="1" maxValue="58"/>
    </cacheField>
    <cacheField name="Capacity" numFmtId="0">
      <sharedItems containsSemiMixedTypes="0" containsString="0" containsNumber="1" minValue="3.04" maxValue="2400.5369999999998"/>
    </cacheField>
    <cacheField name="Efficiency" numFmtId="0">
      <sharedItems containsSemiMixedTypes="0" containsString="0" containsNumber="1" minValue="0.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grid Sanchez Jimenez" refreshedDate="45622.633466666666" createdVersion="8" refreshedVersion="8" minRefreshableVersion="3" recordCount="50" xr:uid="{9780D1DE-2A36-4BA9-8D88-1D0120EB4FC9}">
  <cacheSource type="worksheet">
    <worksheetSource ref="B1:D51" sheet="extendedNL (July2024)"/>
  </cacheSource>
  <cacheFields count="3">
    <cacheField name="Technology" numFmtId="0">
      <sharedItems count="9">
        <s v="Biofuel"/>
        <s v="Hard Coal"/>
        <s v="CCGT"/>
        <s v="Nuclear"/>
        <s v="Solar PV large"/>
        <s v="Wind Offshore"/>
        <s v="Wind Onshore"/>
        <s v="OCGT"/>
        <s v="Hydropower ROR" u="1"/>
      </sharedItems>
    </cacheField>
    <cacheField name="Age" numFmtId="0">
      <sharedItems containsSemiMixedTypes="0" containsString="0" containsNumber="1" containsInteger="1" minValue="-2" maxValue="35"/>
    </cacheField>
    <cacheField name="Capacity" numFmtId="1">
      <sharedItems containsSemiMixedTypes="0" containsString="0" containsNumber="1" minValue="203.696" maxValue="3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grid Sanchez Jimenez" refreshedDate="45622.634161458336" createdVersion="8" refreshedVersion="8" minRefreshableVersion="3" recordCount="67" xr:uid="{056D33FB-7542-49F1-BBB3-CBDF07BEC894}">
  <cacheSource type="worksheet">
    <worksheetSource ref="B1:D68" sheet="extendedNL (July2024)"/>
  </cacheSource>
  <cacheFields count="3">
    <cacheField name="Technology" numFmtId="0">
      <sharedItems count="9">
        <s v="Biofuel"/>
        <s v="Hard Coal"/>
        <s v="CCGT"/>
        <s v="Nuclear"/>
        <s v="Solar PV large"/>
        <s v="Wind Offshore"/>
        <s v="Wind Onshore"/>
        <s v="OCGT"/>
        <s v="Lithium ion battery 4"/>
      </sharedItems>
    </cacheField>
    <cacheField name="Age" numFmtId="0">
      <sharedItems containsSemiMixedTypes="0" containsString="0" containsNumber="1" containsInteger="1" minValue="-2" maxValue="35" count="27">
        <n v="25"/>
        <n v="4"/>
        <n v="5"/>
        <n v="24"/>
        <n v="1"/>
        <n v="2"/>
        <n v="3"/>
        <n v="6"/>
        <n v="7"/>
        <n v="8"/>
        <n v="9"/>
        <n v="10"/>
        <n v="19"/>
        <n v="22"/>
        <n v="23"/>
        <n v="27"/>
        <n v="0"/>
        <n v="11"/>
        <n v="12"/>
        <n v="13"/>
        <n v="14"/>
        <n v="29"/>
        <n v="35"/>
        <n v="20"/>
        <n v="28"/>
        <n v="-1"/>
        <n v="-2"/>
      </sharedItems>
    </cacheField>
    <cacheField name="Capacity" numFmtId="0">
      <sharedItems containsSemiMixedTypes="0" containsString="0" containsNumber="1" minValue="10" maxValue="3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grid Sanchez Jimenez" refreshedDate="45622.635144560183" createdVersion="8" refreshedVersion="8" minRefreshableVersion="3" recordCount="54" xr:uid="{C795FBC4-C7E2-4284-AC22-D09D81E080B6}">
  <cacheSource type="worksheet">
    <worksheetSource ref="B1:D55" sheet="extendedNL (lowH2)"/>
  </cacheSource>
  <cacheFields count="3">
    <cacheField name="Technology" numFmtId="0">
      <sharedItems count="8">
        <s v="Biofuel"/>
        <s v="Hard Coal"/>
        <s v="CCGT"/>
        <s v="Nuclear"/>
        <s v="Solar PV large"/>
        <s v="Wind Offshore"/>
        <s v="Wind Onshore"/>
        <s v="OCGT"/>
      </sharedItems>
    </cacheField>
    <cacheField name="Age" numFmtId="0">
      <sharedItems containsSemiMixedTypes="0" containsString="0" containsNumber="1" containsInteger="1" minValue="-2" maxValue="35"/>
    </cacheField>
    <cacheField name="Capacity" numFmtId="0">
      <sharedItems containsSemiMixedTypes="0" containsString="0" containsNumber="1" minValue="203.696" maxValue="3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grid Sanchez Jimenez" refreshedDate="45622.657150694446" createdVersion="8" refreshedVersion="8" minRefreshableVersion="3" recordCount="61" xr:uid="{285D0097-8648-4CA9-B38F-6642172B2FBF}">
  <cacheSource type="worksheet">
    <worksheetSource ref="B1:D62" sheet="extendedNL (lowH2)"/>
  </cacheSource>
  <cacheFields count="3">
    <cacheField name="Technology" numFmtId="0">
      <sharedItems count="9">
        <s v="OCGT"/>
        <s v="CCGT"/>
        <s v="Nuclear"/>
        <s v="Biofuel"/>
        <s v="Hard Coal"/>
        <s v="Wind Onshore"/>
        <s v="Wind Offshore"/>
        <s v="Solar PV large"/>
        <s v="Lithium ion battery 4"/>
      </sharedItems>
    </cacheField>
    <cacheField name="Age" numFmtId="0">
      <sharedItems containsSemiMixedTypes="0" containsString="0" containsNumber="1" containsInteger="1" minValue="0" maxValue="35"/>
    </cacheField>
    <cacheField name="Capacity" numFmtId="0">
      <sharedItems containsSemiMixedTypes="0" containsString="0" containsNumber="1" minValue="10" maxValue="3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20"/>
    <x v="0"/>
    <n v="25"/>
    <n v="631"/>
    <n v="0.42"/>
    <n v="0.80000000000000016"/>
    <s v="NL"/>
    <s v="ProducerNL"/>
    <n v="0"/>
    <n v="0"/>
  </r>
  <r>
    <n v="21"/>
    <x v="1"/>
    <n v="4"/>
    <n v="790"/>
    <n v="0.46"/>
    <n v="0.9"/>
    <s v="NL"/>
    <s v="ProducerNL"/>
    <n v="0"/>
    <n v="0"/>
  </r>
  <r>
    <n v="22"/>
    <x v="1"/>
    <n v="5"/>
    <n v="2640"/>
    <n v="0.46"/>
    <n v="0.9"/>
    <s v="NL"/>
    <s v="ProducerNL"/>
    <n v="0"/>
    <n v="0"/>
  </r>
  <r>
    <n v="23"/>
    <x v="1"/>
    <n v="24"/>
    <n v="630"/>
    <n v="0.41"/>
    <n v="0.9"/>
    <s v="NL"/>
    <s v="ProducerNL"/>
    <n v="0"/>
    <n v="0"/>
  </r>
  <r>
    <n v="24"/>
    <x v="2"/>
    <n v="1"/>
    <n v="341"/>
    <n v="0.52"/>
    <n v="0.9"/>
    <s v="NL"/>
    <s v="ProducerNL"/>
    <n v="0"/>
    <n v="0"/>
  </r>
  <r>
    <n v="25"/>
    <x v="2"/>
    <n v="2"/>
    <n v="800"/>
    <n v="0.56000000000000005"/>
    <n v="0.9"/>
    <s v="NL"/>
    <s v="ProducerNL"/>
    <n v="0"/>
    <n v="0"/>
  </r>
  <r>
    <n v="26"/>
    <x v="2"/>
    <n v="3"/>
    <n v="874"/>
    <n v="0.57999999999999996"/>
    <n v="0.9"/>
    <s v="NL"/>
    <s v="ProducerNL"/>
    <n v="0"/>
    <n v="0"/>
  </r>
  <r>
    <n v="27"/>
    <x v="2"/>
    <n v="4"/>
    <n v="420"/>
    <n v="0.59"/>
    <n v="0.9"/>
    <s v="NL"/>
    <s v="ProducerNL"/>
    <n v="0"/>
    <n v="0"/>
  </r>
  <r>
    <n v="28"/>
    <x v="2"/>
    <n v="6"/>
    <n v="872"/>
    <n v="0.58498853211009172"/>
    <n v="0.9"/>
    <s v="NL"/>
    <s v="ProducerNL"/>
    <n v="0"/>
    <n v="0"/>
  </r>
  <r>
    <n v="29"/>
    <x v="2"/>
    <n v="7"/>
    <n v="420"/>
    <n v="0.59"/>
    <n v="0.9"/>
    <s v="NL"/>
    <s v="ProducerNL"/>
    <n v="0"/>
    <n v="0"/>
  </r>
  <r>
    <n v="30"/>
    <x v="2"/>
    <n v="8"/>
    <n v="426"/>
    <n v="0.57999999999999996"/>
    <n v="0.9"/>
    <s v="NL"/>
    <s v="ProducerNL"/>
    <n v="0"/>
    <n v="0"/>
  </r>
  <r>
    <n v="31"/>
    <x v="2"/>
    <n v="9"/>
    <n v="1295"/>
    <n v="0.58798455598455601"/>
    <n v="0.9"/>
    <s v="NL"/>
    <s v="ProducerNL"/>
    <n v="0"/>
    <n v="0"/>
  </r>
  <r>
    <n v="32"/>
    <x v="2"/>
    <n v="10"/>
    <n v="870"/>
    <n v="0.59"/>
    <n v="0.9"/>
    <s v="NL"/>
    <s v="ProducerNL"/>
    <n v="0"/>
    <n v="0"/>
  </r>
  <r>
    <n v="33"/>
    <x v="2"/>
    <n v="19"/>
    <n v="245"/>
    <n v="0.51"/>
    <n v="0.9"/>
    <s v="NL"/>
    <s v="ProducerNL"/>
    <n v="0"/>
    <n v="0"/>
  </r>
  <r>
    <n v="34"/>
    <x v="2"/>
    <n v="22"/>
    <n v="682"/>
    <n v="0.52"/>
    <n v="0.9"/>
    <s v="NL"/>
    <s v="ProducerNL"/>
    <n v="0"/>
    <n v="0"/>
  </r>
  <r>
    <n v="35"/>
    <x v="2"/>
    <n v="23"/>
    <n v="341"/>
    <n v="0.52"/>
    <n v="0.9"/>
    <s v="NL"/>
    <s v="ProducerNL"/>
    <n v="0"/>
    <n v="0"/>
  </r>
  <r>
    <n v="36"/>
    <x v="3"/>
    <n v="14"/>
    <n v="40.207000000000001"/>
    <n v="1"/>
    <n v="1"/>
    <s v="NL"/>
    <s v="ProducerNL"/>
    <n v="0"/>
    <n v="0"/>
  </r>
  <r>
    <n v="37"/>
    <x v="4"/>
    <n v="13"/>
    <n v="484"/>
    <n v="0.34"/>
    <n v="0.94999999975000005"/>
    <s v="NL"/>
    <s v="ProducerNL"/>
    <n v="0"/>
    <n v="0"/>
  </r>
  <r>
    <n v="38"/>
    <x v="5"/>
    <n v="0"/>
    <n v="2400.5369999999998"/>
    <n v="1"/>
    <n v="1"/>
    <s v="NL"/>
    <s v="ProducerNL"/>
    <n v="0"/>
    <n v="0"/>
  </r>
  <r>
    <n v="39"/>
    <x v="5"/>
    <n v="1"/>
    <n v="1527.3040000000001"/>
    <n v="1"/>
    <n v="1"/>
    <s v="NL"/>
    <s v="ProducerNL"/>
    <n v="0"/>
    <n v="0"/>
  </r>
  <r>
    <n v="40"/>
    <x v="5"/>
    <n v="2"/>
    <n v="588.56900000000007"/>
    <n v="1"/>
    <n v="1"/>
    <s v="NL"/>
    <s v="ProducerNL"/>
    <n v="0"/>
    <n v="0"/>
  </r>
  <r>
    <n v="41"/>
    <x v="5"/>
    <n v="3"/>
    <n v="633.91399999999999"/>
    <n v="1"/>
    <n v="1"/>
    <s v="NL"/>
    <s v="ProducerNL"/>
    <n v="0"/>
    <n v="0"/>
  </r>
  <r>
    <n v="42"/>
    <x v="5"/>
    <n v="4"/>
    <n v="498.2"/>
    <n v="1"/>
    <n v="1"/>
    <s v="NL"/>
    <s v="ProducerNL"/>
    <n v="0"/>
    <n v="0"/>
  </r>
  <r>
    <n v="43"/>
    <x v="5"/>
    <n v="5"/>
    <n v="492.642"/>
    <n v="1"/>
    <n v="1"/>
    <s v="NL"/>
    <s v="ProducerNL"/>
    <n v="0"/>
    <n v="0"/>
  </r>
  <r>
    <n v="44"/>
    <x v="5"/>
    <n v="6"/>
    <n v="648.74400000000003"/>
    <n v="1"/>
    <n v="1"/>
    <s v="NL"/>
    <s v="ProducerNL"/>
    <n v="0"/>
    <n v="0"/>
  </r>
  <r>
    <n v="45"/>
    <x v="6"/>
    <n v="2"/>
    <n v="203.696"/>
    <n v="1"/>
    <n v="1"/>
    <s v="NL"/>
    <s v="ProducerNL"/>
    <n v="0"/>
    <n v="0"/>
  </r>
  <r>
    <n v="46"/>
    <x v="6"/>
    <n v="3"/>
    <n v="758.99400000000003"/>
    <n v="1"/>
    <n v="1"/>
    <s v="NL"/>
    <s v="ProducerNL"/>
    <n v="0"/>
    <n v="0"/>
  </r>
  <r>
    <n v="47"/>
    <x v="7"/>
    <n v="0"/>
    <n v="341.774"/>
    <n v="1"/>
    <n v="1"/>
    <s v="NL"/>
    <s v="ProducerNL"/>
    <n v="0"/>
    <n v="0"/>
  </r>
  <r>
    <n v="48"/>
    <x v="7"/>
    <n v="1"/>
    <n v="425.90300000000002"/>
    <n v="1"/>
    <n v="1"/>
    <s v="NL"/>
    <s v="ProducerNL"/>
    <n v="0"/>
    <n v="0"/>
  </r>
  <r>
    <n v="49"/>
    <x v="7"/>
    <n v="2"/>
    <n v="551.90700000000004"/>
    <n v="1"/>
    <n v="1"/>
    <s v="NL"/>
    <s v="ProducerNL"/>
    <n v="0"/>
    <n v="0"/>
  </r>
  <r>
    <n v="50"/>
    <x v="7"/>
    <n v="3"/>
    <n v="659.47300000000007"/>
    <n v="1"/>
    <n v="1"/>
    <s v="NL"/>
    <s v="ProducerNL"/>
    <n v="0"/>
    <n v="0"/>
  </r>
  <r>
    <n v="51"/>
    <x v="7"/>
    <n v="11"/>
    <n v="638.66199999999992"/>
    <n v="1"/>
    <n v="1"/>
    <s v="NL"/>
    <s v="ProducerNL"/>
    <n v="0"/>
    <n v="0"/>
  </r>
  <r>
    <n v="52"/>
    <x v="7"/>
    <n v="12"/>
    <n v="317.36399999999998"/>
    <n v="1"/>
    <n v="1"/>
    <s v="NL"/>
    <s v="ProducerNL"/>
    <n v="0"/>
    <n v="0"/>
  </r>
  <r>
    <n v="53"/>
    <x v="7"/>
    <n v="13"/>
    <n v="285.59800000000001"/>
    <n v="1"/>
    <n v="1"/>
    <s v="NL"/>
    <s v="ProducerNL"/>
    <n v="0"/>
    <n v="0"/>
  </r>
  <r>
    <n v="54"/>
    <x v="7"/>
    <n v="14"/>
    <n v="1016.313"/>
    <n v="1"/>
    <n v="1"/>
    <s v="NL"/>
    <s v="ProducerNL"/>
    <n v="0"/>
    <n v="0"/>
  </r>
  <r>
    <n v="55"/>
    <x v="8"/>
    <n v="33"/>
    <n v="643"/>
    <n v="0.38765163297045102"/>
    <n v="0.9"/>
    <s v="NL"/>
    <s v="ProducerNL"/>
    <n v="0"/>
    <n v="0"/>
  </r>
  <r>
    <n v="56"/>
    <x v="8"/>
    <n v="45"/>
    <n v="460"/>
    <n v="0.36299999999999999"/>
    <n v="0.9"/>
    <s v="NL"/>
    <s v="ProducerNL"/>
    <n v="0"/>
    <n v="0"/>
  </r>
  <r>
    <n v="57"/>
    <x v="9"/>
    <n v="14"/>
    <n v="1.7679999999999969"/>
    <n v="0.3"/>
    <n v="0.74200913242009103"/>
    <s v="NL"/>
    <s v="ProducerNL"/>
    <n v="0"/>
    <n v="0"/>
  </r>
  <r>
    <n v="58"/>
    <x v="10"/>
    <n v="6"/>
    <n v="444.2"/>
    <n v="0.58440792435839717"/>
    <n v="0.89171544349392173"/>
    <s v="NL"/>
    <s v="ProducerNL"/>
    <n v="0"/>
    <n v="0"/>
  </r>
  <r>
    <n v="59"/>
    <x v="10"/>
    <n v="11"/>
    <n v="862.64"/>
    <n v="0.40999999999999992"/>
    <n v="0.9"/>
    <s v="NL"/>
    <s v="ProducerNL"/>
    <n v="0"/>
    <n v="0"/>
  </r>
  <r>
    <n v="60"/>
    <x v="10"/>
    <n v="12"/>
    <n v="721"/>
    <n v="0.40999999999999992"/>
    <n v="0.9"/>
    <s v="NL"/>
    <s v="ProducerNL"/>
    <n v="0"/>
    <n v="0"/>
  </r>
  <r>
    <n v="61"/>
    <x v="10"/>
    <n v="13"/>
    <n v="641"/>
    <n v="0.41"/>
    <n v="0.9"/>
    <s v="NL"/>
    <s v="ProducerNL"/>
    <n v="0"/>
    <n v="0"/>
  </r>
  <r>
    <n v="62"/>
    <x v="10"/>
    <n v="14"/>
    <n v="739.29300000000001"/>
    <n v="0.29418898900706492"/>
    <n v="0.85153338326238082"/>
    <s v="NL"/>
    <s v="ProducerNL"/>
    <n v="0"/>
    <n v="0"/>
  </r>
  <r>
    <n v="63"/>
    <x v="10"/>
    <n v="19"/>
    <n v="541.81700000000001"/>
    <n v="0.40885261998054689"/>
    <n v="0.80465495256227204"/>
    <s v="NL"/>
    <s v="ProducerNL"/>
    <n v="0"/>
    <n v="0"/>
  </r>
  <r>
    <n v="64"/>
    <x v="10"/>
    <n v="20"/>
    <n v="557.93399999999997"/>
    <n v="0.41587463750192682"/>
    <n v="0.90357265448136415"/>
    <s v="NL"/>
    <s v="ProducerNL"/>
    <n v="0"/>
    <n v="0"/>
  </r>
  <r>
    <n v="65"/>
    <x v="10"/>
    <n v="22"/>
    <n v="1040.24"/>
    <n v="0.35755348765669459"/>
    <n v="0.90748031496062997"/>
    <s v="NL"/>
    <s v="ProducerNL"/>
    <n v="0"/>
    <n v="0"/>
  </r>
  <r>
    <n v="66"/>
    <x v="10"/>
    <n v="23"/>
    <n v="1101.962"/>
    <n v="0.4374676880872479"/>
    <n v="0.86452184587633829"/>
    <s v="NL"/>
    <s v="ProducerNL"/>
    <n v="0"/>
    <n v="0"/>
  </r>
  <r>
    <n v="67"/>
    <x v="10"/>
    <n v="28"/>
    <n v="655.18101000000001"/>
    <n v="0.35211968384126402"/>
    <n v="0.83900354082941675"/>
    <s v="NL"/>
    <s v="ProducerNL"/>
    <n v="0"/>
    <n v="0"/>
  </r>
  <r>
    <n v="68"/>
    <x v="10"/>
    <n v="29"/>
    <n v="385.096"/>
    <n v="0.37457672891954208"/>
    <n v="0.84204432141595875"/>
    <s v="NL"/>
    <s v="ProducerNL"/>
    <n v="0"/>
    <n v="0"/>
  </r>
  <r>
    <n v="69"/>
    <x v="10"/>
    <n v="32"/>
    <n v="811.6"/>
    <n v="0.3692304313085264"/>
    <n v="0.88620009857072435"/>
    <s v="NL"/>
    <s v="ProducerNL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n v="19"/>
    <x v="0"/>
    <n v="4"/>
    <n v="1000"/>
    <s v="NL"/>
    <n v="0"/>
    <n v="0"/>
  </r>
  <r>
    <n v="20"/>
    <x v="0"/>
    <n v="4"/>
    <n v="1000"/>
    <s v="NL"/>
    <n v="0"/>
    <n v="0"/>
  </r>
  <r>
    <n v="21"/>
    <x v="0"/>
    <n v="4"/>
    <n v="1000"/>
    <s v="NL"/>
    <n v="0"/>
    <n v="0"/>
  </r>
  <r>
    <n v="22"/>
    <x v="0"/>
    <n v="4"/>
    <n v="700"/>
    <s v="NL"/>
    <n v="0"/>
    <n v="0"/>
  </r>
  <r>
    <n v="23"/>
    <x v="1"/>
    <n v="20"/>
    <n v="2400"/>
    <s v="NL"/>
    <n v="0"/>
    <n v="0"/>
  </r>
  <r>
    <n v="24"/>
    <x v="1"/>
    <n v="16"/>
    <n v="2400"/>
    <s v="NL"/>
    <n v="0"/>
    <n v="0"/>
  </r>
  <r>
    <n v="25"/>
    <x v="1"/>
    <n v="12"/>
    <n v="2400"/>
    <s v="NL"/>
    <n v="0"/>
    <n v="0"/>
  </r>
  <r>
    <n v="26"/>
    <x v="1"/>
    <n v="7"/>
    <n v="2400"/>
    <s v="NL"/>
    <n v="0"/>
    <n v="0"/>
  </r>
  <r>
    <n v="27"/>
    <x v="1"/>
    <n v="2"/>
    <n v="2400"/>
    <s v="NL"/>
    <n v="0"/>
    <n v="0"/>
  </r>
  <r>
    <n v="28"/>
    <x v="2"/>
    <n v="24"/>
    <n v="1000"/>
    <s v="NL"/>
    <n v="0"/>
    <n v="0"/>
  </r>
  <r>
    <n v="29"/>
    <x v="2"/>
    <n v="23"/>
    <n v="2500"/>
    <s v="NL"/>
    <n v="0"/>
    <n v="0"/>
  </r>
  <r>
    <n v="30"/>
    <x v="2"/>
    <n v="21"/>
    <n v="2500"/>
    <s v="NL"/>
    <n v="0"/>
    <n v="0"/>
  </r>
  <r>
    <n v="31"/>
    <x v="2"/>
    <n v="19"/>
    <n v="2500"/>
    <s v="NL"/>
    <n v="0"/>
    <n v="0"/>
  </r>
  <r>
    <n v="32"/>
    <x v="2"/>
    <n v="18"/>
    <n v="2500"/>
    <s v="NL"/>
    <n v="0"/>
    <n v="0"/>
  </r>
  <r>
    <n v="33"/>
    <x v="2"/>
    <n v="17"/>
    <n v="2500"/>
    <s v="NL"/>
    <n v="0"/>
    <n v="0"/>
  </r>
  <r>
    <n v="34"/>
    <x v="2"/>
    <n v="16"/>
    <n v="2500"/>
    <s v="NL"/>
    <n v="0"/>
    <n v="0"/>
  </r>
  <r>
    <n v="35"/>
    <x v="2"/>
    <n v="15"/>
    <n v="2500"/>
    <s v="NL"/>
    <n v="0"/>
    <n v="0"/>
  </r>
  <r>
    <n v="36"/>
    <x v="2"/>
    <n v="14"/>
    <n v="2500"/>
    <s v="NL"/>
    <n v="0"/>
    <n v="0"/>
  </r>
  <r>
    <n v="37"/>
    <x v="2"/>
    <n v="13"/>
    <n v="3000"/>
    <s v="NL"/>
    <n v="0"/>
    <n v="0"/>
  </r>
  <r>
    <n v="38"/>
    <x v="2"/>
    <n v="12"/>
    <n v="3000"/>
    <s v="NL"/>
    <n v="0"/>
    <n v="0"/>
  </r>
  <r>
    <n v="39"/>
    <x v="2"/>
    <n v="11"/>
    <n v="3000"/>
    <s v="NL"/>
    <n v="0"/>
    <n v="0"/>
  </r>
  <r>
    <n v="40"/>
    <x v="2"/>
    <n v="10"/>
    <n v="3000"/>
    <s v="NL"/>
    <n v="0"/>
    <n v="0"/>
  </r>
  <r>
    <n v="41"/>
    <x v="2"/>
    <n v="9"/>
    <n v="3000"/>
    <s v="NL"/>
    <n v="0"/>
    <n v="0"/>
  </r>
  <r>
    <n v="42"/>
    <x v="2"/>
    <n v="8"/>
    <n v="3000"/>
    <s v="NL"/>
    <n v="0"/>
    <n v="0"/>
  </r>
  <r>
    <n v="43"/>
    <x v="2"/>
    <n v="7"/>
    <n v="3000"/>
    <s v="NL"/>
    <n v="0"/>
    <n v="0"/>
  </r>
  <r>
    <n v="44"/>
    <x v="2"/>
    <n v="6"/>
    <n v="3000"/>
    <s v="NL"/>
    <n v="0"/>
    <n v="0"/>
  </r>
  <r>
    <n v="45"/>
    <x v="2"/>
    <n v="5"/>
    <n v="3000"/>
    <s v="NL"/>
    <n v="0"/>
    <n v="0"/>
  </r>
  <r>
    <n v="46"/>
    <x v="2"/>
    <n v="4"/>
    <n v="3000"/>
    <s v="NL"/>
    <n v="0"/>
    <n v="0"/>
  </r>
  <r>
    <n v="47"/>
    <x v="2"/>
    <n v="3"/>
    <n v="3000"/>
    <s v="NL"/>
    <n v="0"/>
    <n v="0"/>
  </r>
  <r>
    <n v="48"/>
    <x v="2"/>
    <n v="2"/>
    <n v="3000"/>
    <s v="NL"/>
    <n v="0"/>
    <n v="0"/>
  </r>
  <r>
    <n v="49"/>
    <x v="2"/>
    <n v="1"/>
    <n v="3000"/>
    <s v="NL"/>
    <n v="0"/>
    <n v="0"/>
  </r>
  <r>
    <n v="50"/>
    <x v="3"/>
    <n v="24"/>
    <n v="3000"/>
    <s v="NL"/>
    <n v="0"/>
    <n v="0"/>
  </r>
  <r>
    <n v="51"/>
    <x v="3"/>
    <n v="22"/>
    <n v="3000"/>
    <s v="NL"/>
    <n v="0"/>
    <n v="0"/>
  </r>
  <r>
    <n v="52"/>
    <x v="3"/>
    <n v="20"/>
    <n v="3000"/>
    <s v="NL"/>
    <n v="0"/>
    <n v="0"/>
  </r>
  <r>
    <n v="53"/>
    <x v="3"/>
    <n v="18"/>
    <n v="3000"/>
    <s v="NL"/>
    <n v="0"/>
    <n v="0"/>
  </r>
  <r>
    <n v="54"/>
    <x v="3"/>
    <n v="16"/>
    <n v="3000"/>
    <s v="NL"/>
    <n v="0"/>
    <n v="0"/>
  </r>
  <r>
    <n v="55"/>
    <x v="3"/>
    <n v="14"/>
    <n v="3000"/>
    <s v="NL"/>
    <n v="0"/>
    <n v="0"/>
  </r>
  <r>
    <n v="56"/>
    <x v="3"/>
    <n v="10"/>
    <n v="3000"/>
    <s v="NL"/>
    <n v="0"/>
    <n v="0"/>
  </r>
  <r>
    <n v="57"/>
    <x v="3"/>
    <n v="8"/>
    <n v="3000"/>
    <s v="NL"/>
    <n v="0"/>
    <n v="0"/>
  </r>
  <r>
    <n v="58"/>
    <x v="3"/>
    <n v="6"/>
    <n v="4000"/>
    <s v="NL"/>
    <n v="0"/>
    <n v="0"/>
  </r>
  <r>
    <n v="59"/>
    <x v="3"/>
    <n v="4"/>
    <n v="3000"/>
    <s v="NL"/>
    <n v="0"/>
    <n v="0"/>
  </r>
  <r>
    <n v="60"/>
    <x v="3"/>
    <n v="3"/>
    <n v="3000"/>
    <s v="NL"/>
    <n v="0"/>
    <n v="0"/>
  </r>
  <r>
    <n v="61"/>
    <x v="3"/>
    <n v="2"/>
    <n v="3000"/>
    <s v="NL"/>
    <n v="0"/>
    <n v="0"/>
  </r>
  <r>
    <n v="62"/>
    <x v="4"/>
    <n v="28"/>
    <n v="1000"/>
    <s v="NL"/>
    <n v="0"/>
    <n v="0"/>
  </r>
  <r>
    <n v="63"/>
    <x v="4"/>
    <n v="26"/>
    <n v="1000"/>
    <s v="NL"/>
    <n v="0"/>
    <n v="0"/>
  </r>
  <r>
    <n v="64"/>
    <x v="4"/>
    <n v="24"/>
    <n v="1000"/>
    <s v="NL"/>
    <n v="0"/>
    <n v="0"/>
  </r>
  <r>
    <n v="65"/>
    <x v="4"/>
    <n v="22"/>
    <n v="1000"/>
    <s v="NL"/>
    <n v="0"/>
    <n v="0"/>
  </r>
  <r>
    <n v="66"/>
    <x v="4"/>
    <n v="20"/>
    <n v="1000"/>
    <s v="NL"/>
    <n v="0"/>
    <n v="0"/>
  </r>
  <r>
    <n v="67"/>
    <x v="4"/>
    <n v="18"/>
    <n v="1000"/>
    <s v="NL"/>
    <n v="0"/>
    <n v="0"/>
  </r>
  <r>
    <n v="68"/>
    <x v="4"/>
    <n v="16"/>
    <n v="1000"/>
    <s v="NL"/>
    <n v="0"/>
    <n v="0"/>
  </r>
  <r>
    <n v="69"/>
    <x v="4"/>
    <n v="14"/>
    <n v="1000"/>
    <s v="NL"/>
    <n v="0"/>
    <n v="0"/>
  </r>
  <r>
    <n v="70"/>
    <x v="4"/>
    <n v="12"/>
    <n v="1000"/>
    <s v="NL"/>
    <n v="0"/>
    <n v="0"/>
  </r>
  <r>
    <n v="71"/>
    <x v="4"/>
    <n v="10"/>
    <n v="1000"/>
    <s v="NL"/>
    <n v="0"/>
    <n v="0"/>
  </r>
  <r>
    <n v="72"/>
    <x v="4"/>
    <n v="8"/>
    <n v="1000"/>
    <s v="NL"/>
    <n v="0"/>
    <n v="0"/>
  </r>
  <r>
    <n v="73"/>
    <x v="4"/>
    <n v="6"/>
    <n v="1000"/>
    <s v="NL"/>
    <n v="0"/>
    <n v="0"/>
  </r>
  <r>
    <n v="74"/>
    <x v="4"/>
    <n v="4"/>
    <n v="1000"/>
    <s v="NL"/>
    <n v="0"/>
    <n v="0"/>
  </r>
  <r>
    <n v="75"/>
    <x v="5"/>
    <n v="20"/>
    <n v="900"/>
    <s v="NL"/>
    <n v="0"/>
    <n v="0"/>
  </r>
  <r>
    <n v="76"/>
    <x v="5"/>
    <n v="15"/>
    <n v="900"/>
    <s v="NL"/>
    <n v="0"/>
    <n v="0"/>
  </r>
  <r>
    <n v="77"/>
    <x v="5"/>
    <n v="10"/>
    <n v="900"/>
    <s v="NL"/>
    <n v="0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x v="0"/>
    <n v="4"/>
    <n v="1000"/>
  </r>
  <r>
    <x v="0"/>
    <n v="4"/>
    <n v="1000"/>
  </r>
  <r>
    <x v="0"/>
    <n v="4"/>
    <n v="1000"/>
  </r>
  <r>
    <x v="0"/>
    <n v="4"/>
    <n v="700"/>
  </r>
  <r>
    <x v="1"/>
    <n v="20"/>
    <n v="2400"/>
  </r>
  <r>
    <x v="1"/>
    <n v="16"/>
    <n v="2400"/>
  </r>
  <r>
    <x v="1"/>
    <n v="12"/>
    <n v="2400"/>
  </r>
  <r>
    <x v="1"/>
    <n v="7"/>
    <n v="2400"/>
  </r>
  <r>
    <x v="1"/>
    <n v="2"/>
    <n v="2400"/>
  </r>
  <r>
    <x v="2"/>
    <n v="24"/>
    <n v="1000"/>
  </r>
  <r>
    <x v="2"/>
    <n v="23"/>
    <n v="2500"/>
  </r>
  <r>
    <x v="2"/>
    <n v="21"/>
    <n v="2500"/>
  </r>
  <r>
    <x v="2"/>
    <n v="19"/>
    <n v="2500"/>
  </r>
  <r>
    <x v="2"/>
    <n v="18"/>
    <n v="2500"/>
  </r>
  <r>
    <x v="2"/>
    <n v="17"/>
    <n v="2500"/>
  </r>
  <r>
    <x v="2"/>
    <n v="16"/>
    <n v="2500"/>
  </r>
  <r>
    <x v="2"/>
    <n v="15"/>
    <n v="2500"/>
  </r>
  <r>
    <x v="2"/>
    <n v="14"/>
    <n v="2500"/>
  </r>
  <r>
    <x v="2"/>
    <n v="13"/>
    <n v="3000"/>
  </r>
  <r>
    <x v="2"/>
    <n v="12"/>
    <n v="3000"/>
  </r>
  <r>
    <x v="2"/>
    <n v="11"/>
    <n v="3000"/>
  </r>
  <r>
    <x v="2"/>
    <n v="10"/>
    <n v="3000"/>
  </r>
  <r>
    <x v="2"/>
    <n v="9"/>
    <n v="3000"/>
  </r>
  <r>
    <x v="2"/>
    <n v="8"/>
    <n v="3000"/>
  </r>
  <r>
    <x v="2"/>
    <n v="7"/>
    <n v="3000"/>
  </r>
  <r>
    <x v="2"/>
    <n v="6"/>
    <n v="3000"/>
  </r>
  <r>
    <x v="2"/>
    <n v="5"/>
    <n v="3000"/>
  </r>
  <r>
    <x v="2"/>
    <n v="4"/>
    <n v="3000"/>
  </r>
  <r>
    <x v="2"/>
    <n v="3"/>
    <n v="3000"/>
  </r>
  <r>
    <x v="2"/>
    <n v="2"/>
    <n v="3000"/>
  </r>
  <r>
    <x v="2"/>
    <n v="1"/>
    <n v="3000"/>
  </r>
  <r>
    <x v="3"/>
    <n v="24"/>
    <n v="3000"/>
  </r>
  <r>
    <x v="3"/>
    <n v="22"/>
    <n v="3000"/>
  </r>
  <r>
    <x v="3"/>
    <n v="20"/>
    <n v="3000"/>
  </r>
  <r>
    <x v="3"/>
    <n v="18"/>
    <n v="3000"/>
  </r>
  <r>
    <x v="3"/>
    <n v="16"/>
    <n v="3000"/>
  </r>
  <r>
    <x v="3"/>
    <n v="14"/>
    <n v="3000"/>
  </r>
  <r>
    <x v="3"/>
    <n v="10"/>
    <n v="3000"/>
  </r>
  <r>
    <x v="3"/>
    <n v="8"/>
    <n v="3000"/>
  </r>
  <r>
    <x v="3"/>
    <n v="6"/>
    <n v="4000"/>
  </r>
  <r>
    <x v="3"/>
    <n v="4"/>
    <n v="3000"/>
  </r>
  <r>
    <x v="3"/>
    <n v="3"/>
    <n v="3000"/>
  </r>
  <r>
    <x v="3"/>
    <n v="2"/>
    <n v="3000"/>
  </r>
  <r>
    <x v="4"/>
    <n v="28"/>
    <n v="1300"/>
  </r>
  <r>
    <x v="4"/>
    <n v="26"/>
    <n v="1300"/>
  </r>
  <r>
    <x v="4"/>
    <n v="24"/>
    <n v="1300"/>
  </r>
  <r>
    <x v="4"/>
    <n v="22"/>
    <n v="1300"/>
  </r>
  <r>
    <x v="4"/>
    <n v="20"/>
    <n v="1300"/>
  </r>
  <r>
    <x v="4"/>
    <n v="18"/>
    <n v="1300"/>
  </r>
  <r>
    <x v="4"/>
    <n v="16"/>
    <n v="1300"/>
  </r>
  <r>
    <x v="4"/>
    <n v="14"/>
    <n v="1300"/>
  </r>
  <r>
    <x v="4"/>
    <n v="12"/>
    <n v="1300"/>
  </r>
  <r>
    <x v="4"/>
    <n v="10"/>
    <n v="1300"/>
  </r>
  <r>
    <x v="4"/>
    <n v="8"/>
    <n v="1300"/>
  </r>
  <r>
    <x v="4"/>
    <n v="6"/>
    <n v="1300"/>
  </r>
  <r>
    <x v="4"/>
    <n v="4"/>
    <n v="1300"/>
  </r>
  <r>
    <x v="5"/>
    <n v="20"/>
    <n v="900"/>
  </r>
  <r>
    <x v="5"/>
    <n v="15"/>
    <n v="900"/>
  </r>
  <r>
    <x v="5"/>
    <n v="10"/>
    <n v="900"/>
  </r>
  <r>
    <x v="6"/>
    <m/>
    <m/>
  </r>
  <r>
    <x v="7"/>
    <n v="1"/>
    <n v="0.5"/>
  </r>
  <r>
    <x v="8"/>
    <n v="1"/>
    <n v="0.5"/>
  </r>
  <r>
    <x v="6"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n v="20"/>
    <n v="1500"/>
  </r>
  <r>
    <x v="0"/>
    <n v="15"/>
    <n v="1500"/>
  </r>
  <r>
    <x v="0"/>
    <n v="30"/>
    <n v="1500"/>
  </r>
  <r>
    <x v="0"/>
    <n v="40"/>
    <n v="1164"/>
  </r>
  <r>
    <x v="1"/>
    <n v="20"/>
    <n v="2400"/>
  </r>
  <r>
    <x v="1"/>
    <n v="16"/>
    <n v="2400"/>
  </r>
  <r>
    <x v="1"/>
    <n v="12"/>
    <n v="2400"/>
  </r>
  <r>
    <x v="1"/>
    <n v="7"/>
    <n v="2400"/>
  </r>
  <r>
    <x v="1"/>
    <n v="2"/>
    <n v="2400"/>
  </r>
  <r>
    <x v="2"/>
    <n v="24"/>
    <n v="1000"/>
  </r>
  <r>
    <x v="2"/>
    <n v="23"/>
    <n v="2500"/>
  </r>
  <r>
    <x v="2"/>
    <n v="21"/>
    <n v="3000"/>
  </r>
  <r>
    <x v="2"/>
    <n v="19"/>
    <n v="3000"/>
  </r>
  <r>
    <x v="2"/>
    <n v="18"/>
    <n v="3000"/>
  </r>
  <r>
    <x v="2"/>
    <n v="17"/>
    <n v="3000"/>
  </r>
  <r>
    <x v="2"/>
    <n v="16"/>
    <n v="3000"/>
  </r>
  <r>
    <x v="2"/>
    <n v="15"/>
    <n v="3000"/>
  </r>
  <r>
    <x v="2"/>
    <n v="14"/>
    <n v="3000"/>
  </r>
  <r>
    <x v="2"/>
    <n v="13"/>
    <n v="3000"/>
  </r>
  <r>
    <x v="2"/>
    <n v="12"/>
    <n v="3000"/>
  </r>
  <r>
    <x v="2"/>
    <n v="11"/>
    <n v="3500"/>
  </r>
  <r>
    <x v="2"/>
    <n v="10"/>
    <n v="3500"/>
  </r>
  <r>
    <x v="2"/>
    <n v="9"/>
    <n v="3500"/>
  </r>
  <r>
    <x v="2"/>
    <n v="8"/>
    <n v="3500"/>
  </r>
  <r>
    <x v="2"/>
    <n v="7"/>
    <n v="3500"/>
  </r>
  <r>
    <x v="2"/>
    <n v="6"/>
    <n v="3500"/>
  </r>
  <r>
    <x v="2"/>
    <n v="5"/>
    <n v="3500"/>
  </r>
  <r>
    <x v="2"/>
    <n v="4"/>
    <n v="3500"/>
  </r>
  <r>
    <x v="2"/>
    <n v="3"/>
    <n v="3500"/>
  </r>
  <r>
    <x v="2"/>
    <n v="2"/>
    <n v="3850"/>
  </r>
  <r>
    <x v="2"/>
    <n v="1"/>
    <n v="3000"/>
  </r>
  <r>
    <x v="3"/>
    <n v="24"/>
    <n v="3000"/>
  </r>
  <r>
    <x v="3"/>
    <n v="22"/>
    <n v="3000"/>
  </r>
  <r>
    <x v="3"/>
    <n v="20"/>
    <n v="3000"/>
  </r>
  <r>
    <x v="3"/>
    <n v="18"/>
    <n v="3000"/>
  </r>
  <r>
    <x v="3"/>
    <n v="16"/>
    <n v="3000"/>
  </r>
  <r>
    <x v="3"/>
    <n v="14"/>
    <n v="3000"/>
  </r>
  <r>
    <x v="3"/>
    <n v="10"/>
    <n v="3000"/>
  </r>
  <r>
    <x v="3"/>
    <n v="8"/>
    <n v="3000"/>
  </r>
  <r>
    <x v="3"/>
    <n v="6"/>
    <n v="4000"/>
  </r>
  <r>
    <x v="3"/>
    <n v="4"/>
    <n v="3000"/>
  </r>
  <r>
    <x v="3"/>
    <n v="3"/>
    <n v="3000"/>
  </r>
  <r>
    <x v="3"/>
    <n v="2"/>
    <n v="3000"/>
  </r>
  <r>
    <x v="4"/>
    <n v="28"/>
    <n v="1000"/>
  </r>
  <r>
    <x v="4"/>
    <n v="26"/>
    <n v="1000"/>
  </r>
  <r>
    <x v="4"/>
    <n v="24"/>
    <n v="1000"/>
  </r>
  <r>
    <x v="4"/>
    <n v="22"/>
    <n v="1000"/>
  </r>
  <r>
    <x v="4"/>
    <n v="20"/>
    <n v="1000"/>
  </r>
  <r>
    <x v="4"/>
    <n v="18"/>
    <n v="1000"/>
  </r>
  <r>
    <x v="4"/>
    <n v="16"/>
    <n v="1000"/>
  </r>
  <r>
    <x v="4"/>
    <n v="14"/>
    <n v="1000"/>
  </r>
  <r>
    <x v="4"/>
    <n v="12"/>
    <n v="1000"/>
  </r>
  <r>
    <x v="4"/>
    <n v="10"/>
    <n v="1000"/>
  </r>
  <r>
    <x v="4"/>
    <n v="8"/>
    <n v="1000"/>
  </r>
  <r>
    <x v="4"/>
    <n v="6"/>
    <n v="1000"/>
  </r>
  <r>
    <x v="4"/>
    <n v="4"/>
    <n v="1000"/>
  </r>
  <r>
    <x v="5"/>
    <m/>
    <m/>
  </r>
  <r>
    <x v="6"/>
    <n v="1"/>
    <n v="0.5"/>
  </r>
  <r>
    <x v="7"/>
    <n v="1"/>
    <n v="0.5"/>
  </r>
  <r>
    <x v="5"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x v="0"/>
    <n v="1"/>
    <n v="1"/>
  </r>
  <r>
    <x v="1"/>
    <n v="15"/>
    <n v="1000"/>
  </r>
  <r>
    <x v="1"/>
    <n v="20"/>
    <n v="1000"/>
  </r>
  <r>
    <x v="2"/>
    <n v="23"/>
    <n v="1000"/>
  </r>
  <r>
    <x v="2"/>
    <n v="20"/>
    <n v="1000"/>
  </r>
  <r>
    <x v="2"/>
    <n v="1"/>
    <n v="1000"/>
  </r>
  <r>
    <x v="2"/>
    <n v="16"/>
    <n v="1000"/>
  </r>
  <r>
    <x v="2"/>
    <n v="13"/>
    <n v="1000"/>
  </r>
  <r>
    <x v="2"/>
    <n v="10"/>
    <n v="1000"/>
  </r>
  <r>
    <x v="2"/>
    <n v="7"/>
    <n v="1000"/>
  </r>
  <r>
    <x v="2"/>
    <n v="5"/>
    <n v="1000"/>
  </r>
  <r>
    <x v="2"/>
    <n v="3"/>
    <n v="1000"/>
  </r>
  <r>
    <x v="2"/>
    <n v="19"/>
    <n v="1000"/>
  </r>
  <r>
    <x v="2"/>
    <n v="22"/>
    <n v="1000"/>
  </r>
  <r>
    <x v="2"/>
    <n v="19"/>
    <n v="1000"/>
  </r>
  <r>
    <x v="2"/>
    <n v="0"/>
    <n v="1000"/>
  </r>
  <r>
    <x v="2"/>
    <n v="15"/>
    <n v="1000"/>
  </r>
  <r>
    <x v="2"/>
    <n v="12"/>
    <n v="1000"/>
  </r>
  <r>
    <x v="2"/>
    <n v="9"/>
    <n v="1000"/>
  </r>
  <r>
    <x v="2"/>
    <n v="6"/>
    <n v="1000"/>
  </r>
  <r>
    <x v="2"/>
    <n v="4"/>
    <n v="1000"/>
  </r>
  <r>
    <x v="3"/>
    <n v="24"/>
    <n v="1000"/>
  </r>
  <r>
    <x v="3"/>
    <n v="23"/>
    <n v="1000"/>
  </r>
  <r>
    <x v="3"/>
    <n v="21"/>
    <n v="1000"/>
  </r>
  <r>
    <x v="3"/>
    <n v="18"/>
    <n v="1000"/>
  </r>
  <r>
    <x v="3"/>
    <n v="15"/>
    <n v="1000"/>
  </r>
  <r>
    <x v="3"/>
    <n v="12"/>
    <n v="1000"/>
  </r>
  <r>
    <x v="3"/>
    <n v="9"/>
    <n v="1000"/>
  </r>
  <r>
    <x v="3"/>
    <n v="6"/>
    <n v="1000"/>
  </r>
  <r>
    <x v="3"/>
    <n v="3"/>
    <n v="1000"/>
  </r>
  <r>
    <x v="3"/>
    <n v="1"/>
    <n v="1000"/>
  </r>
  <r>
    <x v="4"/>
    <n v="15"/>
    <n v="400"/>
  </r>
  <r>
    <x v="5"/>
    <n v="1"/>
    <n v="3000"/>
  </r>
  <r>
    <x v="5"/>
    <n v="2"/>
    <n v="3000"/>
  </r>
  <r>
    <x v="5"/>
    <n v="3"/>
    <n v="3000"/>
  </r>
  <r>
    <x v="5"/>
    <n v="4"/>
    <n v="3000"/>
  </r>
  <r>
    <x v="5"/>
    <n v="5"/>
    <n v="3000"/>
  </r>
  <r>
    <x v="5"/>
    <n v="24"/>
    <n v="3000"/>
  </r>
  <r>
    <x v="5"/>
    <n v="6"/>
    <n v="3000"/>
  </r>
  <r>
    <x v="5"/>
    <n v="7"/>
    <n v="3000"/>
  </r>
  <r>
    <x v="5"/>
    <n v="8"/>
    <n v="3000"/>
  </r>
  <r>
    <x v="5"/>
    <n v="20"/>
    <n v="3000"/>
  </r>
  <r>
    <x v="5"/>
    <n v="9"/>
    <n v="3000"/>
  </r>
  <r>
    <x v="5"/>
    <n v="10"/>
    <n v="3000"/>
  </r>
  <r>
    <x v="5"/>
    <n v="11"/>
    <n v="3000"/>
  </r>
  <r>
    <x v="5"/>
    <n v="12"/>
    <n v="3000"/>
  </r>
  <r>
    <x v="5"/>
    <n v="13"/>
    <n v="3000"/>
  </r>
  <r>
    <x v="5"/>
    <n v="14"/>
    <n v="3000"/>
  </r>
  <r>
    <x v="5"/>
    <n v="15"/>
    <n v="3000"/>
  </r>
  <r>
    <x v="5"/>
    <n v="16"/>
    <n v="2000"/>
  </r>
  <r>
    <x v="5"/>
    <n v="17"/>
    <n v="2000"/>
  </r>
  <r>
    <x v="5"/>
    <n v="18"/>
    <n v="3000"/>
  </r>
  <r>
    <x v="5"/>
    <n v="19"/>
    <n v="3000"/>
  </r>
  <r>
    <x v="5"/>
    <n v="21"/>
    <n v="3000"/>
  </r>
  <r>
    <x v="5"/>
    <n v="22"/>
    <n v="3000"/>
  </r>
  <r>
    <x v="5"/>
    <n v="23"/>
    <n v="3000"/>
  </r>
  <r>
    <x v="6"/>
    <n v="29"/>
    <n v="3000"/>
  </r>
  <r>
    <x v="6"/>
    <n v="27"/>
    <n v="3000"/>
  </r>
  <r>
    <x v="6"/>
    <n v="25"/>
    <n v="3000"/>
  </r>
  <r>
    <x v="6"/>
    <n v="23"/>
    <n v="3000"/>
  </r>
  <r>
    <x v="6"/>
    <n v="21"/>
    <n v="3000"/>
  </r>
  <r>
    <x v="6"/>
    <n v="19"/>
    <n v="3000"/>
  </r>
  <r>
    <x v="6"/>
    <n v="17"/>
    <n v="3000"/>
  </r>
  <r>
    <x v="6"/>
    <n v="14"/>
    <n v="3000"/>
  </r>
  <r>
    <x v="6"/>
    <n v="12"/>
    <n v="3000"/>
  </r>
  <r>
    <x v="6"/>
    <n v="10"/>
    <n v="3000"/>
  </r>
  <r>
    <x v="6"/>
    <n v="6"/>
    <n v="3000"/>
  </r>
  <r>
    <x v="6"/>
    <n v="4"/>
    <n v="3000"/>
  </r>
  <r>
    <x v="6"/>
    <n v="2"/>
    <n v="3000"/>
  </r>
  <r>
    <x v="7"/>
    <n v="27"/>
    <n v="2400"/>
  </r>
  <r>
    <x v="7"/>
    <n v="22"/>
    <n v="2400"/>
  </r>
  <r>
    <x v="7"/>
    <n v="16"/>
    <n v="2400"/>
  </r>
  <r>
    <x v="7"/>
    <n v="7"/>
    <n v="2400"/>
  </r>
  <r>
    <x v="7"/>
    <n v="2"/>
    <n v="2400"/>
  </r>
  <r>
    <x v="8"/>
    <m/>
    <m/>
  </r>
  <r>
    <x v="8"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0">
  <r>
    <n v="20"/>
    <x v="0"/>
    <x v="0"/>
    <n v="631"/>
    <n v="0.42"/>
    <n v="0.8"/>
    <s v="NL"/>
    <s v="ProducerNL"/>
    <n v="0"/>
    <n v="0"/>
    <n v="2027"/>
  </r>
  <r>
    <n v="21"/>
    <x v="1"/>
    <x v="1"/>
    <n v="1.488"/>
    <n v="0.3"/>
    <n v="0.74200913242009103"/>
    <s v="NL"/>
    <s v="ProducerNL"/>
    <n v="0"/>
    <n v="0"/>
    <m/>
  </r>
  <r>
    <n v="22"/>
    <x v="2"/>
    <x v="2"/>
    <n v="435"/>
    <n v="0.59"/>
    <n v="0.9"/>
    <s v="NL"/>
    <s v="ProducerNL"/>
    <n v="0"/>
    <n v="0"/>
    <n v="2041"/>
  </r>
  <r>
    <n v="23"/>
    <x v="2"/>
    <x v="2"/>
    <n v="435"/>
    <n v="0.59"/>
    <n v="0.9"/>
    <s v="NL"/>
    <s v="ProducerNL"/>
    <n v="0"/>
    <n v="0"/>
    <n v="2041"/>
  </r>
  <r>
    <n v="24"/>
    <x v="2"/>
    <x v="3"/>
    <n v="435"/>
    <n v="0.58699999999999997"/>
    <n v="0.9"/>
    <s v="NL"/>
    <s v="ProducerNL"/>
    <n v="0"/>
    <n v="0"/>
    <n v="2041"/>
  </r>
  <r>
    <n v="25"/>
    <x v="2"/>
    <x v="3"/>
    <n v="435"/>
    <n v="0.58699999999999997"/>
    <n v="0.9"/>
    <s v="NL"/>
    <s v="ProducerNL"/>
    <n v="0"/>
    <n v="0"/>
    <n v="2041"/>
  </r>
  <r>
    <n v="26"/>
    <x v="2"/>
    <x v="4"/>
    <n v="426"/>
    <n v="0.57999999999999996"/>
    <n v="0.9"/>
    <s v="NL"/>
    <s v="ProducerNL"/>
    <n v="0"/>
    <n v="0"/>
    <n v="2041"/>
  </r>
  <r>
    <n v="27"/>
    <x v="2"/>
    <x v="3"/>
    <n v="425"/>
    <n v="0.59"/>
    <n v="0.9"/>
    <s v="NL"/>
    <s v="ProducerNL"/>
    <n v="0"/>
    <n v="0"/>
    <n v="2041"/>
  </r>
  <r>
    <n v="28"/>
    <x v="2"/>
    <x v="5"/>
    <n v="341"/>
    <n v="0.52"/>
    <n v="0.9"/>
    <s v="NL"/>
    <s v="ProducerNL"/>
    <n v="0"/>
    <n v="0"/>
    <n v="2041"/>
  </r>
  <r>
    <n v="29"/>
    <x v="2"/>
    <x v="6"/>
    <n v="341"/>
    <n v="0.52"/>
    <n v="0.9"/>
    <s v="NL"/>
    <s v="ProducerNL"/>
    <n v="0"/>
    <n v="0"/>
    <n v="2041"/>
  </r>
  <r>
    <n v="30"/>
    <x v="2"/>
    <x v="6"/>
    <n v="341"/>
    <n v="0.52"/>
    <n v="0.9"/>
    <s v="NL"/>
    <s v="ProducerNL"/>
    <n v="0"/>
    <n v="0"/>
    <n v="2041"/>
  </r>
  <r>
    <n v="31"/>
    <x v="2"/>
    <x v="7"/>
    <n v="341"/>
    <n v="0.52"/>
    <n v="0.9"/>
    <s v="NL"/>
    <s v="ProducerNL"/>
    <n v="0"/>
    <n v="0"/>
    <n v="2041"/>
  </r>
  <r>
    <n v="32"/>
    <x v="2"/>
    <x v="8"/>
    <n v="341"/>
    <n v="0.52"/>
    <n v="0.9"/>
    <s v="NL"/>
    <s v="ProducerNL"/>
    <n v="0"/>
    <n v="0"/>
    <n v="2041"/>
  </r>
  <r>
    <n v="33"/>
    <x v="2"/>
    <x v="8"/>
    <n v="341"/>
    <n v="0.52"/>
    <n v="0.9"/>
    <s v="NL"/>
    <s v="ProducerNL"/>
    <n v="0"/>
    <n v="0"/>
    <n v="2041"/>
  </r>
  <r>
    <n v="34"/>
    <x v="2"/>
    <x v="9"/>
    <n v="245"/>
    <n v="0.51"/>
    <n v="0.9"/>
    <s v="NL"/>
    <s v="ProducerNL"/>
    <n v="0"/>
    <n v="0"/>
    <n v="2041"/>
  </r>
  <r>
    <n v="35"/>
    <x v="2"/>
    <x v="10"/>
    <n v="435"/>
    <n v="0.59"/>
    <n v="0.9"/>
    <s v="NL"/>
    <s v="ProducerNL"/>
    <n v="0"/>
    <n v="0"/>
    <n v="2043"/>
  </r>
  <r>
    <n v="36"/>
    <x v="2"/>
    <x v="11"/>
    <n v="420"/>
    <n v="0.59"/>
    <n v="0.9"/>
    <s v="NL"/>
    <s v="ProducerNL"/>
    <n v="0"/>
    <n v="0"/>
    <n v="2045"/>
  </r>
  <r>
    <n v="37"/>
    <x v="2"/>
    <x v="12"/>
    <n v="420"/>
    <n v="0.59"/>
    <n v="0.9"/>
    <s v="NL"/>
    <s v="ProducerNL"/>
    <n v="0"/>
    <n v="0"/>
    <n v="2045"/>
  </r>
  <r>
    <n v="38"/>
    <x v="2"/>
    <x v="10"/>
    <n v="437"/>
    <n v="0.57999999999999996"/>
    <n v="0.9"/>
    <s v="NL"/>
    <s v="ProducerNL"/>
    <n v="0"/>
    <n v="0"/>
    <n v="2046"/>
  </r>
  <r>
    <n v="39"/>
    <x v="2"/>
    <x v="13"/>
    <n v="437"/>
    <n v="0.57999999999999996"/>
    <n v="0.9"/>
    <s v="NL"/>
    <s v="ProducerNL"/>
    <n v="0"/>
    <n v="0"/>
    <n v="2046"/>
  </r>
  <r>
    <n v="40"/>
    <x v="2"/>
    <x v="13"/>
    <n v="437"/>
    <n v="0.57999999999999996"/>
    <n v="0.9"/>
    <s v="NL"/>
    <s v="ProducerNL"/>
    <n v="0"/>
    <n v="0"/>
    <n v="2046"/>
  </r>
  <r>
    <n v="41"/>
    <x v="2"/>
    <x v="14"/>
    <n v="400"/>
    <n v="0.56000000000000005"/>
    <n v="0.9"/>
    <s v="NL"/>
    <s v="ProducerNL"/>
    <n v="0"/>
    <n v="0"/>
    <n v="2047"/>
  </r>
  <r>
    <n v="42"/>
    <x v="2"/>
    <x v="14"/>
    <n v="400"/>
    <n v="0.56000000000000005"/>
    <n v="0.9"/>
    <s v="NL"/>
    <s v="ProducerNL"/>
    <n v="0"/>
    <n v="0"/>
    <n v="2047"/>
  </r>
  <r>
    <n v="43"/>
    <x v="2"/>
    <x v="8"/>
    <n v="435"/>
    <n v="0.56999999999999995"/>
    <n v="0.9"/>
    <s v="NL"/>
    <s v="ProducerNL"/>
    <n v="0"/>
    <n v="0"/>
    <n v="2050"/>
  </r>
  <r>
    <n v="44"/>
    <x v="2"/>
    <x v="15"/>
    <n v="435"/>
    <n v="0.56999999999999995"/>
    <n v="0.9"/>
    <s v="NL"/>
    <s v="ProducerNL"/>
    <n v="0"/>
    <n v="0"/>
    <n v="2050"/>
  </r>
  <r>
    <n v="45"/>
    <x v="2"/>
    <x v="15"/>
    <n v="435"/>
    <n v="0.56999999999999995"/>
    <n v="0.9"/>
    <s v="NL"/>
    <s v="ProducerNL"/>
    <n v="0"/>
    <n v="0"/>
    <n v="2050"/>
  </r>
  <r>
    <n v="46"/>
    <x v="2"/>
    <x v="16"/>
    <n v="2731.1649536609498"/>
    <n v="0.6"/>
    <n v="0.9"/>
    <s v="NL"/>
    <s v="ProducerNL"/>
    <n v="0"/>
    <n v="0"/>
    <m/>
  </r>
  <r>
    <n v="47"/>
    <x v="3"/>
    <x v="17"/>
    <n v="78"/>
    <n v="0.1"/>
    <n v="0.9"/>
    <s v="NL"/>
    <s v="ProducerNL"/>
    <n v="0"/>
    <n v="0"/>
    <n v="2020"/>
  </r>
  <r>
    <n v="48"/>
    <x v="3"/>
    <x v="18"/>
    <n v="641"/>
    <n v="0.41"/>
    <n v="0.9"/>
    <s v="NL"/>
    <s v="ProducerNL"/>
    <n v="0"/>
    <n v="0"/>
    <n v="2025"/>
  </r>
  <r>
    <n v="49"/>
    <x v="3"/>
    <x v="5"/>
    <n v="150"/>
    <n v="0.4"/>
    <n v="0.9"/>
    <s v="NL"/>
    <s v="ProducerNL"/>
    <n v="0"/>
    <n v="0"/>
    <n v="2025"/>
  </r>
  <r>
    <n v="50"/>
    <x v="3"/>
    <x v="2"/>
    <n v="132.63999999999999"/>
    <n v="0.41"/>
    <n v="0.9"/>
    <s v="NL"/>
    <s v="ProducerNL"/>
    <n v="0"/>
    <n v="0"/>
    <n v="2025"/>
  </r>
  <r>
    <n v="51"/>
    <x v="3"/>
    <x v="19"/>
    <n v="121.033"/>
    <n v="0.41"/>
    <n v="0.9"/>
    <s v="NL"/>
    <s v="ProducerNL"/>
    <n v="0"/>
    <n v="0"/>
    <n v="2025"/>
  </r>
  <r>
    <n v="52"/>
    <x v="3"/>
    <x v="3"/>
    <n v="115"/>
    <n v="0.41"/>
    <n v="0.9"/>
    <s v="NL"/>
    <s v="ProducerNL"/>
    <n v="0"/>
    <n v="0"/>
    <n v="2025"/>
  </r>
  <r>
    <n v="53"/>
    <x v="3"/>
    <x v="17"/>
    <n v="82"/>
    <n v="0.41"/>
    <n v="0.9"/>
    <s v="NL"/>
    <s v="ProducerNL"/>
    <n v="0"/>
    <n v="0"/>
    <n v="2025"/>
  </r>
  <r>
    <n v="54"/>
    <x v="3"/>
    <x v="6"/>
    <n v="80"/>
    <n v="0.4"/>
    <n v="0.9"/>
    <s v="NL"/>
    <s v="ProducerNL"/>
    <n v="0"/>
    <n v="0"/>
    <n v="2025"/>
  </r>
  <r>
    <n v="55"/>
    <x v="3"/>
    <x v="20"/>
    <n v="79.2"/>
    <n v="0.4"/>
    <n v="0.9"/>
    <s v="NL"/>
    <s v="ProducerNL"/>
    <n v="0"/>
    <n v="0"/>
    <n v="2025"/>
  </r>
  <r>
    <n v="56"/>
    <x v="3"/>
    <x v="9"/>
    <n v="62.167000000000002"/>
    <n v="0.4"/>
    <n v="0.9"/>
    <s v="NL"/>
    <s v="ProducerNL"/>
    <n v="0"/>
    <n v="0"/>
    <n v="2025"/>
  </r>
  <r>
    <n v="57"/>
    <x v="3"/>
    <x v="21"/>
    <n v="52.634"/>
    <n v="0.4"/>
    <n v="0.9"/>
    <s v="NL"/>
    <s v="ProducerNL"/>
    <n v="0"/>
    <n v="0"/>
    <n v="2025"/>
  </r>
  <r>
    <n v="58"/>
    <x v="3"/>
    <x v="22"/>
    <n v="48.4"/>
    <n v="0.39"/>
    <n v="0.9"/>
    <s v="NL"/>
    <s v="ProducerNL"/>
    <n v="0"/>
    <n v="0"/>
    <n v="2025"/>
  </r>
  <r>
    <n v="59"/>
    <x v="3"/>
    <x v="23"/>
    <n v="45"/>
    <n v="0.33"/>
    <n v="0.9"/>
    <s v="NL"/>
    <s v="ProducerNL"/>
    <n v="0"/>
    <n v="0"/>
    <n v="2025"/>
  </r>
  <r>
    <n v="60"/>
    <x v="3"/>
    <x v="0"/>
    <n v="40"/>
    <n v="0.30277680000000001"/>
    <n v="0.9"/>
    <s v="NL"/>
    <s v="ProducerNL"/>
    <n v="0"/>
    <n v="0"/>
    <n v="2025"/>
  </r>
  <r>
    <n v="61"/>
    <x v="3"/>
    <x v="24"/>
    <n v="38.6"/>
    <n v="0.41"/>
    <n v="0.9"/>
    <s v="NL"/>
    <s v="ProducerNL"/>
    <n v="0"/>
    <n v="0"/>
    <n v="2025"/>
  </r>
  <r>
    <n v="62"/>
    <x v="3"/>
    <x v="25"/>
    <n v="34"/>
    <n v="0.41"/>
    <n v="0.9"/>
    <s v="NL"/>
    <s v="ProducerNL"/>
    <n v="0"/>
    <n v="0"/>
    <n v="2025"/>
  </r>
  <r>
    <n v="63"/>
    <x v="3"/>
    <x v="26"/>
    <n v="27"/>
    <n v="0.11"/>
    <n v="0.7"/>
    <s v="NL"/>
    <s v="ProducerNL"/>
    <n v="0"/>
    <n v="0"/>
    <n v="2025"/>
  </r>
  <r>
    <n v="64"/>
    <x v="3"/>
    <x v="27"/>
    <n v="27"/>
    <n v="0.3"/>
    <n v="0.9"/>
    <s v="NL"/>
    <s v="ProducerNL"/>
    <n v="0"/>
    <n v="0"/>
    <n v="2025"/>
  </r>
  <r>
    <n v="65"/>
    <x v="3"/>
    <x v="28"/>
    <n v="25.366"/>
    <n v="0.41"/>
    <n v="0.9"/>
    <s v="NL"/>
    <s v="ProducerNL"/>
    <n v="0"/>
    <n v="0"/>
    <n v="2025"/>
  </r>
  <r>
    <n v="66"/>
    <x v="3"/>
    <x v="29"/>
    <n v="10.5"/>
    <n v="0.3"/>
    <n v="0.9"/>
    <s v="NL"/>
    <s v="ProducerNL"/>
    <n v="0"/>
    <n v="0"/>
    <n v="2025"/>
  </r>
  <r>
    <n v="67"/>
    <x v="3"/>
    <x v="30"/>
    <n v="5"/>
    <n v="0.3"/>
    <n v="0.9"/>
    <s v="NL"/>
    <s v="ProducerNL"/>
    <n v="0"/>
    <n v="0"/>
    <n v="2025"/>
  </r>
  <r>
    <n v="68"/>
    <x v="3"/>
    <x v="31"/>
    <n v="3.04"/>
    <n v="0.3"/>
    <n v="0.9"/>
    <s v="NL"/>
    <s v="ProducerNL"/>
    <n v="0"/>
    <n v="0"/>
    <n v="2025"/>
  </r>
  <r>
    <n v="69"/>
    <x v="3"/>
    <x v="32"/>
    <n v="721"/>
    <n v="0.41"/>
    <n v="0.9"/>
    <s v="NL"/>
    <s v="ProducerNL"/>
    <n v="0"/>
    <n v="0"/>
    <n v="2030"/>
  </r>
  <r>
    <n v="70"/>
    <x v="3"/>
    <x v="33"/>
    <n v="615"/>
    <n v="0.41"/>
    <n v="0.9"/>
    <s v="NL"/>
    <s v="ProducerNL"/>
    <n v="0"/>
    <n v="0"/>
    <n v="2038"/>
  </r>
  <r>
    <n v="71"/>
    <x v="3"/>
    <x v="5"/>
    <n v="266"/>
    <n v="0.48"/>
    <n v="0.9"/>
    <s v="NL"/>
    <s v="ProducerNL"/>
    <n v="0"/>
    <n v="0"/>
    <n v="2041"/>
  </r>
  <r>
    <n v="72"/>
    <x v="3"/>
    <x v="6"/>
    <n v="220"/>
    <n v="0.42"/>
    <n v="0.9"/>
    <s v="NL"/>
    <s v="ProducerNL"/>
    <n v="0"/>
    <n v="0"/>
    <n v="2041"/>
  </r>
  <r>
    <n v="73"/>
    <x v="3"/>
    <x v="6"/>
    <n v="144"/>
    <n v="0.41"/>
    <n v="0.9"/>
    <s v="NL"/>
    <s v="ProducerNL"/>
    <n v="0"/>
    <n v="0"/>
    <n v="2041"/>
  </r>
  <r>
    <n v="74"/>
    <x v="3"/>
    <x v="34"/>
    <n v="97"/>
    <n v="0.38"/>
    <n v="0.9"/>
    <s v="NL"/>
    <s v="ProducerNL"/>
    <n v="0"/>
    <n v="0"/>
    <n v="2041"/>
  </r>
  <r>
    <n v="75"/>
    <x v="3"/>
    <x v="35"/>
    <n v="81"/>
    <n v="0.42"/>
    <n v="0.9"/>
    <s v="NL"/>
    <s v="ProducerNL"/>
    <n v="0"/>
    <n v="0"/>
    <n v="2041"/>
  </r>
  <r>
    <n v="76"/>
    <x v="3"/>
    <x v="36"/>
    <n v="26"/>
    <n v="0.41"/>
    <n v="0.9"/>
    <s v="NL"/>
    <s v="ProducerNL"/>
    <n v="0"/>
    <n v="0"/>
    <n v="2041"/>
  </r>
  <r>
    <n v="77"/>
    <x v="3"/>
    <x v="10"/>
    <n v="435"/>
    <n v="0.59"/>
    <n v="0.9"/>
    <s v="NL"/>
    <s v="ProducerNL"/>
    <n v="0"/>
    <n v="0"/>
    <n v="2043"/>
  </r>
  <r>
    <n v="78"/>
    <x v="3"/>
    <x v="6"/>
    <n v="369"/>
    <n v="0.35"/>
    <n v="0.9"/>
    <s v="NL"/>
    <s v="ProducerNL"/>
    <n v="0"/>
    <n v="0"/>
    <n v="2051"/>
  </r>
  <r>
    <n v="79"/>
    <x v="3"/>
    <x v="20"/>
    <n v="350"/>
    <n v="0.45"/>
    <n v="0.9"/>
    <s v="NL"/>
    <s v="ProducerNL"/>
    <n v="0"/>
    <n v="0"/>
    <n v="2051"/>
  </r>
  <r>
    <n v="80"/>
    <x v="3"/>
    <x v="19"/>
    <n v="310"/>
    <n v="0.26"/>
    <n v="0.9"/>
    <s v="NL"/>
    <s v="ProducerNL"/>
    <n v="0"/>
    <n v="0"/>
    <n v="2051"/>
  </r>
  <r>
    <n v="81"/>
    <x v="3"/>
    <x v="9"/>
    <n v="253"/>
    <n v="0.41"/>
    <n v="0.5"/>
    <s v="NL"/>
    <s v="ProducerNL"/>
    <n v="0"/>
    <n v="0"/>
    <n v="2051"/>
  </r>
  <r>
    <n v="82"/>
    <x v="3"/>
    <x v="5"/>
    <n v="247"/>
    <n v="0.53"/>
    <n v="0.9"/>
    <s v="NL"/>
    <s v="ProducerNL"/>
    <n v="0"/>
    <n v="0"/>
    <n v="2051"/>
  </r>
  <r>
    <n v="83"/>
    <x v="3"/>
    <x v="37"/>
    <n v="217"/>
    <n v="0.42"/>
    <n v="0.9"/>
    <s v="NL"/>
    <s v="ProducerNL"/>
    <n v="0"/>
    <n v="0"/>
    <n v="2051"/>
  </r>
  <r>
    <n v="84"/>
    <x v="3"/>
    <x v="35"/>
    <n v="180"/>
    <n v="0.45"/>
    <n v="0.9"/>
    <s v="NL"/>
    <s v="ProducerNL"/>
    <n v="0"/>
    <n v="0"/>
    <n v="2051"/>
  </r>
  <r>
    <n v="85"/>
    <x v="3"/>
    <x v="38"/>
    <n v="137.6"/>
    <n v="0.39"/>
    <n v="0.9"/>
    <s v="NL"/>
    <s v="ProducerNL"/>
    <n v="0"/>
    <n v="0"/>
    <n v="2051"/>
  </r>
  <r>
    <n v="86"/>
    <x v="3"/>
    <x v="38"/>
    <n v="134.35"/>
    <n v="0.39"/>
    <n v="0.5"/>
    <s v="NL"/>
    <s v="ProducerNL"/>
    <n v="0"/>
    <n v="0"/>
    <n v="2051"/>
  </r>
  <r>
    <n v="87"/>
    <x v="3"/>
    <x v="38"/>
    <n v="114.60001"/>
    <n v="0.39"/>
    <n v="0.5"/>
    <s v="NL"/>
    <s v="ProducerNL"/>
    <n v="0"/>
    <n v="0"/>
    <n v="2051"/>
  </r>
  <r>
    <n v="88"/>
    <x v="3"/>
    <x v="5"/>
    <n v="110.366"/>
    <n v="0.4"/>
    <n v="0.5"/>
    <s v="NL"/>
    <s v="ProducerNL"/>
    <n v="0"/>
    <n v="0"/>
    <n v="2051"/>
  </r>
  <r>
    <n v="89"/>
    <x v="3"/>
    <x v="9"/>
    <n v="103.19799999999999"/>
    <n v="0.41"/>
    <n v="0.5"/>
    <s v="NL"/>
    <s v="ProducerNL"/>
    <n v="0"/>
    <n v="0"/>
    <n v="2051"/>
  </r>
  <r>
    <n v="90"/>
    <x v="3"/>
    <x v="39"/>
    <n v="103"/>
    <n v="0.42"/>
    <n v="0.9"/>
    <s v="NL"/>
    <s v="ProducerNL"/>
    <n v="0"/>
    <n v="0"/>
    <n v="2051"/>
  </r>
  <r>
    <n v="91"/>
    <x v="3"/>
    <x v="6"/>
    <n v="97.64"/>
    <n v="0.14599999999999999"/>
    <n v="0.95"/>
    <s v="NL"/>
    <s v="ProducerNL"/>
    <n v="0"/>
    <n v="0"/>
    <n v="2051"/>
  </r>
  <r>
    <n v="92"/>
    <x v="3"/>
    <x v="6"/>
    <n v="90.6"/>
    <n v="0.36"/>
    <n v="0.9"/>
    <s v="NL"/>
    <s v="ProducerNL"/>
    <n v="0"/>
    <n v="0"/>
    <n v="2051"/>
  </r>
  <r>
    <n v="93"/>
    <x v="3"/>
    <x v="38"/>
    <n v="88.090999999999994"/>
    <n v="0.23"/>
    <n v="0.9"/>
    <s v="NL"/>
    <s v="ProducerNL"/>
    <n v="0"/>
    <n v="0"/>
    <n v="2051"/>
  </r>
  <r>
    <n v="94"/>
    <x v="3"/>
    <x v="37"/>
    <n v="78.129000000000005"/>
    <n v="0.25"/>
    <n v="0.9"/>
    <s v="NL"/>
    <s v="ProducerNL"/>
    <n v="0"/>
    <n v="0"/>
    <n v="2051"/>
  </r>
  <r>
    <n v="95"/>
    <x v="3"/>
    <x v="0"/>
    <n v="54"/>
    <n v="0.32418039999999998"/>
    <n v="0.9"/>
    <s v="NL"/>
    <s v="ProducerNL"/>
    <n v="0"/>
    <n v="0"/>
    <n v="2051"/>
  </r>
  <r>
    <n v="96"/>
    <x v="3"/>
    <x v="20"/>
    <n v="51.1"/>
    <n v="0.27"/>
    <n v="0.9"/>
    <s v="NL"/>
    <s v="ProducerNL"/>
    <n v="0"/>
    <n v="0"/>
    <n v="2051"/>
  </r>
  <r>
    <n v="97"/>
    <x v="3"/>
    <x v="37"/>
    <n v="50.8"/>
    <n v="0.38"/>
    <n v="0.9"/>
    <s v="NL"/>
    <s v="ProducerNL"/>
    <n v="0"/>
    <n v="0"/>
    <n v="2051"/>
  </r>
  <r>
    <n v="98"/>
    <x v="3"/>
    <x v="40"/>
    <n v="50"/>
    <n v="0.35828470000000001"/>
    <n v="0.9"/>
    <s v="NL"/>
    <s v="ProducerNL"/>
    <n v="0"/>
    <n v="0"/>
    <n v="2051"/>
  </r>
  <r>
    <n v="99"/>
    <x v="3"/>
    <x v="5"/>
    <n v="49.456000000000003"/>
    <n v="0.4"/>
    <n v="0.9"/>
    <s v="NL"/>
    <s v="ProducerNL"/>
    <n v="0"/>
    <n v="0"/>
    <n v="2051"/>
  </r>
  <r>
    <n v="100"/>
    <x v="3"/>
    <x v="0"/>
    <n v="48"/>
    <n v="0.35828470000000001"/>
    <n v="0.9"/>
    <s v="NL"/>
    <s v="ProducerNL"/>
    <n v="0"/>
    <n v="0"/>
    <n v="2051"/>
  </r>
  <r>
    <n v="101"/>
    <x v="3"/>
    <x v="23"/>
    <n v="46"/>
    <n v="0.35828470000000001"/>
    <n v="0.9"/>
    <s v="NL"/>
    <s v="ProducerNL"/>
    <n v="0"/>
    <n v="0"/>
    <n v="2051"/>
  </r>
  <r>
    <n v="102"/>
    <x v="3"/>
    <x v="9"/>
    <n v="44.485999999999997"/>
    <n v="0.41"/>
    <n v="0.9"/>
    <s v="NL"/>
    <s v="ProducerNL"/>
    <n v="0"/>
    <n v="0"/>
    <n v="2051"/>
  </r>
  <r>
    <n v="103"/>
    <x v="3"/>
    <x v="19"/>
    <n v="43.76"/>
    <n v="0.25"/>
    <n v="0.25"/>
    <s v="NL"/>
    <s v="ProducerNL"/>
    <n v="0"/>
    <n v="0"/>
    <n v="2051"/>
  </r>
  <r>
    <n v="104"/>
    <x v="3"/>
    <x v="25"/>
    <n v="43"/>
    <n v="0.32"/>
    <n v="0.9"/>
    <s v="NL"/>
    <s v="ProducerNL"/>
    <n v="0"/>
    <n v="0"/>
    <n v="2051"/>
  </r>
  <r>
    <n v="105"/>
    <x v="3"/>
    <x v="6"/>
    <n v="39"/>
    <n v="0.32"/>
    <n v="0.9"/>
    <s v="NL"/>
    <s v="ProducerNL"/>
    <n v="0"/>
    <n v="0"/>
    <n v="2051"/>
  </r>
  <r>
    <n v="106"/>
    <x v="3"/>
    <x v="38"/>
    <n v="38"/>
    <n v="0.32"/>
    <n v="0.95"/>
    <s v="NL"/>
    <s v="ProducerNL"/>
    <n v="0"/>
    <n v="0"/>
    <n v="2051"/>
  </r>
  <r>
    <n v="107"/>
    <x v="3"/>
    <x v="27"/>
    <n v="37"/>
    <n v="0.19315489999999999"/>
    <n v="0.9"/>
    <s v="NL"/>
    <s v="ProducerNL"/>
    <n v="0"/>
    <n v="0"/>
    <n v="2051"/>
  </r>
  <r>
    <n v="108"/>
    <x v="3"/>
    <x v="39"/>
    <n v="36.6"/>
    <n v="0.32"/>
    <n v="0.9"/>
    <s v="NL"/>
    <s v="ProducerNL"/>
    <n v="0"/>
    <n v="0"/>
    <n v="2051"/>
  </r>
  <r>
    <n v="109"/>
    <x v="3"/>
    <x v="22"/>
    <n v="33"/>
    <n v="0.43584050000000002"/>
    <n v="0.9"/>
    <s v="NL"/>
    <s v="ProducerNL"/>
    <n v="0"/>
    <n v="0"/>
    <n v="2051"/>
  </r>
  <r>
    <n v="110"/>
    <x v="3"/>
    <x v="41"/>
    <n v="29"/>
    <n v="0.18"/>
    <n v="0.7"/>
    <s v="NL"/>
    <s v="ProducerNL"/>
    <n v="0"/>
    <n v="0"/>
    <n v="2051"/>
  </r>
  <r>
    <n v="111"/>
    <x v="3"/>
    <x v="42"/>
    <n v="28"/>
    <n v="0.41"/>
    <n v="0.9"/>
    <s v="NL"/>
    <s v="ProducerNL"/>
    <n v="0"/>
    <n v="0"/>
    <n v="2051"/>
  </r>
  <r>
    <n v="112"/>
    <x v="3"/>
    <x v="40"/>
    <n v="27.5"/>
    <n v="0.27834370000000003"/>
    <n v="0.9"/>
    <s v="NL"/>
    <s v="ProducerNL"/>
    <n v="0"/>
    <n v="0"/>
    <n v="2051"/>
  </r>
  <r>
    <n v="113"/>
    <x v="3"/>
    <x v="25"/>
    <n v="27.5"/>
    <n v="0.2621211"/>
    <n v="0.95"/>
    <s v="NL"/>
    <s v="ProducerNL"/>
    <n v="0"/>
    <n v="0"/>
    <n v="2051"/>
  </r>
  <r>
    <n v="114"/>
    <x v="3"/>
    <x v="23"/>
    <n v="25.5"/>
    <n v="0.3"/>
    <n v="0.9"/>
    <s v="NL"/>
    <s v="ProducerNL"/>
    <n v="0"/>
    <n v="0"/>
    <n v="2051"/>
  </r>
  <r>
    <n v="115"/>
    <x v="3"/>
    <x v="34"/>
    <n v="25"/>
    <n v="0.42"/>
    <n v="0.9"/>
    <s v="NL"/>
    <s v="ProducerNL"/>
    <n v="0"/>
    <n v="0"/>
    <n v="2051"/>
  </r>
  <r>
    <n v="116"/>
    <x v="3"/>
    <x v="34"/>
    <n v="25"/>
    <n v="0.42"/>
    <n v="0.9"/>
    <s v="NL"/>
    <s v="ProducerNL"/>
    <n v="0"/>
    <n v="0"/>
    <n v="2051"/>
  </r>
  <r>
    <n v="117"/>
    <x v="3"/>
    <x v="39"/>
    <n v="25"/>
    <n v="0.3"/>
    <n v="0.9"/>
    <s v="NL"/>
    <s v="ProducerNL"/>
    <n v="0"/>
    <n v="0"/>
    <n v="2051"/>
  </r>
  <r>
    <n v="118"/>
    <x v="3"/>
    <x v="21"/>
    <n v="25"/>
    <n v="0.32"/>
    <n v="0.95"/>
    <s v="NL"/>
    <s v="ProducerNL"/>
    <n v="0"/>
    <n v="0"/>
    <n v="2051"/>
  </r>
  <r>
    <n v="119"/>
    <x v="3"/>
    <x v="0"/>
    <n v="24.5"/>
    <n v="0.32451750000000001"/>
    <n v="0.9"/>
    <s v="NL"/>
    <s v="ProducerNL"/>
    <n v="0"/>
    <n v="0"/>
    <n v="2051"/>
  </r>
  <r>
    <n v="120"/>
    <x v="3"/>
    <x v="5"/>
    <n v="16"/>
    <n v="0.4"/>
    <n v="0.9"/>
    <s v="NL"/>
    <s v="ProducerNL"/>
    <n v="0"/>
    <n v="0"/>
    <n v="2051"/>
  </r>
  <r>
    <n v="121"/>
    <x v="3"/>
    <x v="9"/>
    <n v="15"/>
    <n v="0.41"/>
    <n v="0.9"/>
    <s v="NL"/>
    <s v="ProducerNL"/>
    <n v="0"/>
    <n v="0"/>
    <n v="2051"/>
  </r>
  <r>
    <n v="122"/>
    <x v="3"/>
    <x v="38"/>
    <n v="14.54"/>
    <n v="0.39"/>
    <n v="0.9"/>
    <s v="NL"/>
    <s v="ProducerNL"/>
    <n v="0"/>
    <n v="0"/>
    <n v="2051"/>
  </r>
  <r>
    <n v="123"/>
    <x v="3"/>
    <x v="23"/>
    <n v="11.5"/>
    <n v="0.25"/>
    <n v="0.9"/>
    <s v="NL"/>
    <s v="ProducerNL"/>
    <n v="0"/>
    <n v="0"/>
    <n v="2051"/>
  </r>
  <r>
    <n v="124"/>
    <x v="3"/>
    <x v="22"/>
    <n v="11.5"/>
    <n v="0.35828470000000001"/>
    <n v="0.9"/>
    <s v="NL"/>
    <s v="ProducerNL"/>
    <n v="0"/>
    <n v="0"/>
    <n v="2051"/>
  </r>
  <r>
    <n v="125"/>
    <x v="3"/>
    <x v="37"/>
    <n v="11.167"/>
    <n v="0.25"/>
    <n v="0.5"/>
    <s v="NL"/>
    <s v="ProducerNL"/>
    <n v="0"/>
    <n v="0"/>
    <n v="2051"/>
  </r>
  <r>
    <n v="126"/>
    <x v="3"/>
    <x v="43"/>
    <n v="9.1999999999999993"/>
    <n v="0.32"/>
    <n v="0.5"/>
    <s v="NL"/>
    <s v="ProducerNL"/>
    <n v="0"/>
    <n v="0"/>
    <n v="2051"/>
  </r>
  <r>
    <n v="127"/>
    <x v="3"/>
    <x v="0"/>
    <n v="3.74"/>
    <n v="0.27"/>
    <n v="0.7"/>
    <s v="NL"/>
    <s v="ProducerNL"/>
    <n v="0"/>
    <n v="0"/>
    <n v="2051"/>
  </r>
  <r>
    <n v="128"/>
    <x v="4"/>
    <x v="22"/>
    <n v="630"/>
    <n v="0.41"/>
    <n v="0.9"/>
    <s v="NL"/>
    <s v="ProducerNL"/>
    <n v="0"/>
    <n v="0"/>
    <n v="2020"/>
  </r>
  <r>
    <n v="129"/>
    <x v="4"/>
    <x v="43"/>
    <n v="1070"/>
    <n v="0.46"/>
    <n v="0.9"/>
    <s v="NL"/>
    <s v="ProducerNL"/>
    <n v="0"/>
    <n v="0"/>
    <n v="2030"/>
  </r>
  <r>
    <n v="130"/>
    <x v="4"/>
    <x v="43"/>
    <n v="790"/>
    <n v="0.46"/>
    <n v="0.9"/>
    <s v="NL"/>
    <s v="ProducerNL"/>
    <n v="0"/>
    <n v="0"/>
    <n v="2030"/>
  </r>
  <r>
    <n v="131"/>
    <x v="4"/>
    <x v="12"/>
    <n v="790"/>
    <n v="0.46"/>
    <n v="0.9"/>
    <s v="NL"/>
    <s v="ProducerNL"/>
    <n v="0"/>
    <n v="0"/>
    <n v="2030"/>
  </r>
  <r>
    <n v="132"/>
    <x v="4"/>
    <x v="43"/>
    <n v="780"/>
    <n v="0.46"/>
    <n v="0.9"/>
    <s v="NL"/>
    <s v="ProducerNL"/>
    <n v="0"/>
    <n v="0"/>
    <n v="2030"/>
  </r>
  <r>
    <n v="133"/>
    <x v="5"/>
    <x v="18"/>
    <n v="41.279000000000003"/>
    <n v="1"/>
    <n v="1"/>
    <s v="NL"/>
    <s v="ProducerNL"/>
    <n v="0"/>
    <n v="0"/>
    <m/>
  </r>
  <r>
    <n v="134"/>
    <x v="6"/>
    <x v="18"/>
    <n v="484"/>
    <n v="0.34"/>
    <n v="0.94999999975000005"/>
    <s v="NL"/>
    <s v="ProducerNL"/>
    <n v="0"/>
    <n v="0"/>
    <n v="2034"/>
  </r>
  <r>
    <n v="135"/>
    <x v="7"/>
    <x v="44"/>
    <n v="324"/>
    <n v="0.36299999999999999"/>
    <n v="0.9"/>
    <s v="NL"/>
    <s v="ProducerNL"/>
    <n v="0"/>
    <n v="0"/>
    <n v="2027"/>
  </r>
  <r>
    <n v="136"/>
    <x v="7"/>
    <x v="44"/>
    <n v="136"/>
    <n v="0.36299999999999999"/>
    <n v="0.9"/>
    <s v="NL"/>
    <s v="ProducerNL"/>
    <n v="0"/>
    <n v="0"/>
    <n v="2027"/>
  </r>
  <r>
    <n v="137"/>
    <x v="7"/>
    <x v="17"/>
    <n v="124"/>
    <n v="0.35"/>
    <n v="0.9"/>
    <s v="NL"/>
    <s v="ProducerNL"/>
    <n v="0"/>
    <n v="0"/>
    <n v="2041"/>
  </r>
  <r>
    <n v="138"/>
    <x v="7"/>
    <x v="11"/>
    <n v="72"/>
    <n v="0.44"/>
    <n v="0.9"/>
    <s v="NL"/>
    <s v="ProducerNL"/>
    <n v="0"/>
    <n v="0"/>
    <n v="2042"/>
  </r>
  <r>
    <n v="139"/>
    <x v="7"/>
    <x v="11"/>
    <n v="72"/>
    <n v="0.44"/>
    <n v="0.9"/>
    <s v="NL"/>
    <s v="ProducerNL"/>
    <n v="0"/>
    <n v="0"/>
    <n v="2042"/>
  </r>
  <r>
    <n v="140"/>
    <x v="7"/>
    <x v="27"/>
    <n v="375"/>
    <n v="0.38"/>
    <n v="0.9"/>
    <s v="NL"/>
    <s v="ProducerNL"/>
    <n v="0"/>
    <n v="0"/>
    <n v="2051"/>
  </r>
  <r>
    <n v="141"/>
    <x v="7"/>
    <x v="45"/>
    <n v="2225.2399999999998"/>
    <n v="0.39600000000000002"/>
    <n v="0.9"/>
    <s v="NL"/>
    <s v="ProducerNL"/>
    <n v="0"/>
    <n v="0"/>
    <m/>
  </r>
  <r>
    <n v="142"/>
    <x v="8"/>
    <x v="46"/>
    <n v="3929.3530000000001"/>
    <n v="1"/>
    <n v="1"/>
    <s v="NL"/>
    <s v="ProducerNL"/>
    <n v="0"/>
    <n v="0"/>
    <m/>
  </r>
  <r>
    <n v="143"/>
    <x v="8"/>
    <x v="8"/>
    <n v="3095.0839999999998"/>
    <n v="1"/>
    <n v="1"/>
    <s v="NL"/>
    <s v="ProducerNL"/>
    <n v="0"/>
    <n v="0"/>
    <m/>
  </r>
  <r>
    <n v="144"/>
    <x v="8"/>
    <x v="47"/>
    <n v="3059.9859999999999"/>
    <n v="1"/>
    <n v="1"/>
    <s v="NL"/>
    <s v="ProducerNL"/>
    <n v="0"/>
    <n v="0"/>
    <m/>
  </r>
  <r>
    <n v="145"/>
    <x v="8"/>
    <x v="48"/>
    <n v="2400.5369999999998"/>
    <n v="1"/>
    <n v="1"/>
    <s v="NL"/>
    <s v="ProducerNL"/>
    <n v="0"/>
    <n v="0"/>
    <m/>
  </r>
  <r>
    <n v="146"/>
    <x v="8"/>
    <x v="15"/>
    <n v="2189.3090000000002"/>
    <n v="1"/>
    <n v="1"/>
    <s v="NL"/>
    <s v="ProducerNL"/>
    <n v="0"/>
    <n v="0"/>
    <m/>
  </r>
  <r>
    <n v="147"/>
    <x v="8"/>
    <x v="49"/>
    <n v="2172.3150000000001"/>
    <n v="1"/>
    <n v="1"/>
    <s v="NL"/>
    <s v="ProducerNL"/>
    <n v="0"/>
    <n v="0"/>
    <m/>
  </r>
  <r>
    <n v="148"/>
    <x v="8"/>
    <x v="50"/>
    <n v="1829.4949999999999"/>
    <n v="1"/>
    <n v="1"/>
    <s v="NL"/>
    <s v="ProducerNL"/>
    <n v="0"/>
    <n v="0"/>
    <m/>
  </r>
  <r>
    <n v="149"/>
    <x v="8"/>
    <x v="51"/>
    <n v="1791.3130000000001"/>
    <n v="1"/>
    <n v="1"/>
    <s v="NL"/>
    <s v="ProducerNL"/>
    <n v="0"/>
    <n v="0"/>
    <m/>
  </r>
  <r>
    <n v="150"/>
    <x v="8"/>
    <x v="45"/>
    <n v="1733.5250000000001"/>
    <n v="1"/>
    <n v="1"/>
    <s v="NL"/>
    <s v="ProducerNL"/>
    <n v="0"/>
    <n v="0"/>
    <m/>
  </r>
  <r>
    <n v="151"/>
    <x v="8"/>
    <x v="16"/>
    <n v="1683.105"/>
    <n v="1"/>
    <n v="1"/>
    <s v="NL"/>
    <s v="ProducerNL"/>
    <n v="0"/>
    <n v="0"/>
    <m/>
  </r>
  <r>
    <n v="152"/>
    <x v="8"/>
    <x v="52"/>
    <n v="1682.675"/>
    <n v="1"/>
    <n v="1"/>
    <s v="NL"/>
    <s v="ProducerNL"/>
    <n v="0"/>
    <n v="0"/>
    <m/>
  </r>
  <r>
    <n v="153"/>
    <x v="8"/>
    <x v="53"/>
    <n v="1651.306"/>
    <n v="1"/>
    <n v="1"/>
    <s v="NL"/>
    <s v="ProducerNL"/>
    <n v="0"/>
    <n v="0"/>
    <m/>
  </r>
  <r>
    <n v="154"/>
    <x v="8"/>
    <x v="54"/>
    <n v="1647.0119999999999"/>
    <n v="1"/>
    <n v="1"/>
    <s v="NL"/>
    <s v="ProducerNL"/>
    <n v="0"/>
    <n v="0"/>
    <m/>
  </r>
  <r>
    <n v="155"/>
    <x v="8"/>
    <x v="55"/>
    <n v="1614.847"/>
    <n v="1"/>
    <n v="1"/>
    <s v="NL"/>
    <s v="ProducerNL"/>
    <n v="0"/>
    <n v="0"/>
    <m/>
  </r>
  <r>
    <n v="156"/>
    <x v="8"/>
    <x v="56"/>
    <n v="1594.854"/>
    <n v="1"/>
    <n v="1"/>
    <s v="NL"/>
    <s v="ProducerNL"/>
    <n v="0"/>
    <n v="0"/>
    <m/>
  </r>
  <r>
    <n v="157"/>
    <x v="8"/>
    <x v="57"/>
    <n v="1594.2380000000001"/>
    <n v="1"/>
    <n v="1"/>
    <s v="NL"/>
    <s v="ProducerNL"/>
    <n v="0"/>
    <n v="0"/>
    <m/>
  </r>
  <r>
    <n v="158"/>
    <x v="8"/>
    <x v="7"/>
    <n v="1527.3040000000001"/>
    <n v="1"/>
    <n v="1"/>
    <s v="NL"/>
    <s v="ProducerNL"/>
    <n v="0"/>
    <n v="0"/>
    <m/>
  </r>
  <r>
    <n v="159"/>
    <x v="8"/>
    <x v="58"/>
    <n v="1437.24"/>
    <n v="1"/>
    <n v="1"/>
    <s v="NL"/>
    <s v="ProducerNL"/>
    <n v="0"/>
    <n v="0"/>
    <m/>
  </r>
  <r>
    <n v="160"/>
    <x v="8"/>
    <x v="1"/>
    <n v="657.84700000000009"/>
    <n v="1"/>
    <n v="1"/>
    <s v="NL"/>
    <s v="ProducerNL"/>
    <n v="0"/>
    <n v="0"/>
    <m/>
  </r>
  <r>
    <n v="161"/>
    <x v="8"/>
    <x v="13"/>
    <n v="633.91399999999999"/>
    <n v="1"/>
    <n v="1"/>
    <s v="NL"/>
    <s v="ProducerNL"/>
    <n v="0"/>
    <n v="0"/>
    <m/>
  </r>
  <r>
    <n v="162"/>
    <x v="8"/>
    <x v="59"/>
    <n v="607.93599999999992"/>
    <n v="1"/>
    <n v="1"/>
    <s v="NL"/>
    <s v="ProducerNL"/>
    <n v="0"/>
    <n v="0"/>
    <m/>
  </r>
  <r>
    <n v="163"/>
    <x v="8"/>
    <x v="60"/>
    <n v="607.29899999999998"/>
    <n v="1"/>
    <n v="1"/>
    <s v="NL"/>
    <s v="ProducerNL"/>
    <n v="0"/>
    <n v="0"/>
    <m/>
  </r>
  <r>
    <n v="164"/>
    <x v="8"/>
    <x v="61"/>
    <n v="605.94099999999992"/>
    <n v="1"/>
    <n v="1"/>
    <s v="NL"/>
    <s v="ProducerNL"/>
    <n v="0"/>
    <n v="0"/>
    <m/>
  </r>
  <r>
    <n v="165"/>
    <x v="8"/>
    <x v="62"/>
    <n v="604.27699999999993"/>
    <n v="1"/>
    <n v="1"/>
    <s v="NL"/>
    <s v="ProducerNL"/>
    <n v="0"/>
    <n v="0"/>
    <m/>
  </r>
  <r>
    <n v="166"/>
    <x v="8"/>
    <x v="14"/>
    <n v="588.56900000000007"/>
    <n v="1"/>
    <n v="1"/>
    <s v="NL"/>
    <s v="ProducerNL"/>
    <n v="0"/>
    <n v="0"/>
    <m/>
  </r>
  <r>
    <n v="167"/>
    <x v="8"/>
    <x v="12"/>
    <n v="498.2"/>
    <n v="1"/>
    <n v="1"/>
    <s v="NL"/>
    <s v="ProducerNL"/>
    <n v="0"/>
    <n v="0"/>
    <m/>
  </r>
  <r>
    <n v="168"/>
    <x v="8"/>
    <x v="43"/>
    <n v="492.642"/>
    <n v="1"/>
    <n v="1"/>
    <s v="NL"/>
    <s v="ProducerNL"/>
    <n v="0"/>
    <n v="0"/>
    <m/>
  </r>
  <r>
    <n v="169"/>
    <x v="8"/>
    <x v="10"/>
    <n v="377.86700000000002"/>
    <n v="1"/>
    <n v="1"/>
    <s v="NL"/>
    <s v="ProducerNL"/>
    <n v="0"/>
    <n v="0"/>
    <m/>
  </r>
  <r>
    <n v="170"/>
    <x v="8"/>
    <x v="11"/>
    <n v="270.87700000000001"/>
    <n v="1"/>
    <n v="1"/>
    <s v="NL"/>
    <s v="ProducerNL"/>
    <n v="0"/>
    <n v="0"/>
    <m/>
  </r>
  <r>
    <n v="171"/>
    <x v="9"/>
    <x v="18"/>
    <n v="24.495000000000001"/>
    <n v="1"/>
    <n v="1"/>
    <s v="NL"/>
    <s v="ProducerNL"/>
    <n v="0"/>
    <n v="0"/>
    <n v="2027"/>
  </r>
  <r>
    <n v="172"/>
    <x v="9"/>
    <x v="32"/>
    <n v="57.546999999999997"/>
    <n v="1"/>
    <n v="1"/>
    <s v="NL"/>
    <s v="ProducerNL"/>
    <n v="0"/>
    <n v="0"/>
    <n v="2028"/>
  </r>
  <r>
    <n v="173"/>
    <x v="9"/>
    <x v="33"/>
    <n v="144.99700000000001"/>
    <n v="1"/>
    <n v="1"/>
    <s v="NL"/>
    <s v="ProducerNL"/>
    <n v="0"/>
    <n v="0"/>
    <n v="2029"/>
  </r>
  <r>
    <n v="174"/>
    <x v="9"/>
    <x v="12"/>
    <n v="128.06899999999999"/>
    <n v="1"/>
    <n v="1"/>
    <s v="NL"/>
    <s v="ProducerNL"/>
    <n v="0"/>
    <n v="0"/>
    <n v="2036"/>
  </r>
  <r>
    <n v="175"/>
    <x v="9"/>
    <x v="13"/>
    <n v="403.875"/>
    <n v="1"/>
    <n v="1"/>
    <s v="NL"/>
    <s v="ProducerNL"/>
    <n v="0"/>
    <n v="0"/>
    <n v="2037"/>
  </r>
  <r>
    <n v="176"/>
    <x v="9"/>
    <x v="14"/>
    <n v="203.696"/>
    <n v="1"/>
    <n v="1"/>
    <s v="NL"/>
    <s v="ProducerNL"/>
    <n v="0"/>
    <n v="0"/>
    <n v="2038"/>
  </r>
  <r>
    <n v="177"/>
    <x v="9"/>
    <x v="60"/>
    <n v="6000.0010000000002"/>
    <n v="1"/>
    <n v="1"/>
    <s v="NL"/>
    <s v="ProducerNL"/>
    <n v="0"/>
    <n v="0"/>
    <m/>
  </r>
  <r>
    <n v="178"/>
    <x v="9"/>
    <x v="50"/>
    <n v="5360.5969999999998"/>
    <n v="1"/>
    <n v="1"/>
    <s v="NL"/>
    <s v="ProducerNL"/>
    <n v="0"/>
    <n v="0"/>
    <m/>
  </r>
  <r>
    <n v="179"/>
    <x v="9"/>
    <x v="61"/>
    <n v="2001.0150000000001"/>
    <n v="1"/>
    <n v="1"/>
    <s v="NL"/>
    <s v="ProducerNL"/>
    <n v="0"/>
    <n v="0"/>
    <m/>
  </r>
  <r>
    <n v="180"/>
    <x v="9"/>
    <x v="59"/>
    <n v="2000.508"/>
    <n v="1"/>
    <n v="1"/>
    <s v="NL"/>
    <s v="ProducerNL"/>
    <n v="0"/>
    <n v="0"/>
    <m/>
  </r>
  <r>
    <n v="181"/>
    <x v="9"/>
    <x v="8"/>
    <n v="1285.4280000000001"/>
    <n v="1"/>
    <n v="1"/>
    <s v="NL"/>
    <s v="ProducerNL"/>
    <n v="0"/>
    <n v="0"/>
    <m/>
  </r>
  <r>
    <n v="182"/>
    <x v="9"/>
    <x v="46"/>
    <n v="759.91399999999999"/>
    <n v="1"/>
    <n v="1"/>
    <s v="NL"/>
    <s v="ProducerNL"/>
    <n v="0"/>
    <n v="0"/>
    <m/>
  </r>
  <r>
    <n v="183"/>
    <x v="9"/>
    <x v="49"/>
    <n v="759.91399999999999"/>
    <n v="1"/>
    <n v="1"/>
    <s v="NL"/>
    <s v="ProducerNL"/>
    <n v="0"/>
    <n v="0"/>
    <m/>
  </r>
  <r>
    <n v="184"/>
    <x v="9"/>
    <x v="15"/>
    <n v="730.97299999999996"/>
    <n v="1"/>
    <n v="1"/>
    <s v="NL"/>
    <s v="ProducerNL"/>
    <n v="0"/>
    <n v="0"/>
    <m/>
  </r>
  <r>
    <n v="185"/>
    <x v="9"/>
    <x v="47"/>
    <n v="681.26900000000001"/>
    <n v="1"/>
    <n v="1"/>
    <s v="NL"/>
    <s v="ProducerNL"/>
    <n v="0"/>
    <n v="0"/>
    <m/>
  </r>
  <r>
    <n v="186"/>
    <x v="9"/>
    <x v="58"/>
    <n v="681.1"/>
    <n v="1"/>
    <n v="1"/>
    <s v="NL"/>
    <s v="ProducerNL"/>
    <n v="0"/>
    <n v="0"/>
    <m/>
  </r>
  <r>
    <n v="187"/>
    <x v="9"/>
    <x v="1"/>
    <n v="680.92700000000002"/>
    <n v="1"/>
    <n v="1"/>
    <s v="NL"/>
    <s v="ProducerNL"/>
    <n v="0"/>
    <n v="0"/>
    <m/>
  </r>
  <r>
    <n v="188"/>
    <x v="9"/>
    <x v="56"/>
    <n v="242.77600000000001"/>
    <n v="1"/>
    <n v="1"/>
    <s v="NL"/>
    <s v="ProducerNL"/>
    <n v="0"/>
    <n v="0"/>
    <m/>
  </r>
  <r>
    <n v="189"/>
    <x v="10"/>
    <x v="14"/>
    <n v="551.90700000000004"/>
    <n v="1"/>
    <n v="1"/>
    <s v="NL"/>
    <s v="ProducerNL"/>
    <n v="0"/>
    <n v="0"/>
    <m/>
  </r>
  <r>
    <n v="190"/>
    <x v="10"/>
    <x v="8"/>
    <n v="518.94199999999989"/>
    <n v="1"/>
    <n v="1"/>
    <s v="NL"/>
    <s v="ProducerNL"/>
    <n v="0"/>
    <n v="0"/>
    <m/>
  </r>
  <r>
    <n v="191"/>
    <x v="10"/>
    <x v="46"/>
    <n v="466.59400000000011"/>
    <n v="1"/>
    <n v="1"/>
    <s v="NL"/>
    <s v="ProducerNL"/>
    <n v="0"/>
    <n v="0"/>
    <m/>
  </r>
  <r>
    <n v="192"/>
    <x v="10"/>
    <x v="1"/>
    <n v="461.98899999999998"/>
    <n v="1"/>
    <n v="1"/>
    <s v="NL"/>
    <s v="ProducerNL"/>
    <n v="0"/>
    <n v="0"/>
    <m/>
  </r>
  <r>
    <n v="193"/>
    <x v="10"/>
    <x v="33"/>
    <n v="442.11399999999998"/>
    <n v="1"/>
    <n v="1"/>
    <s v="NL"/>
    <s v="ProducerNL"/>
    <n v="0"/>
    <n v="0"/>
    <m/>
  </r>
  <r>
    <n v="194"/>
    <x v="10"/>
    <x v="47"/>
    <n v="438.00599999999997"/>
    <n v="1"/>
    <n v="1"/>
    <s v="NL"/>
    <s v="ProducerNL"/>
    <n v="0"/>
    <n v="0"/>
    <m/>
  </r>
  <r>
    <n v="195"/>
    <x v="10"/>
    <x v="7"/>
    <n v="425.90300000000002"/>
    <n v="1"/>
    <n v="1"/>
    <s v="NL"/>
    <s v="ProducerNL"/>
    <n v="0"/>
    <n v="0"/>
    <m/>
  </r>
  <r>
    <n v="196"/>
    <x v="10"/>
    <x v="19"/>
    <n v="413.43299999999999"/>
    <n v="1"/>
    <n v="1"/>
    <s v="NL"/>
    <s v="ProducerNL"/>
    <n v="0"/>
    <n v="0"/>
    <m/>
  </r>
  <r>
    <n v="197"/>
    <x v="10"/>
    <x v="58"/>
    <n v="398.09400000000011"/>
    <n v="1"/>
    <n v="1"/>
    <s v="NL"/>
    <s v="ProducerNL"/>
    <n v="0"/>
    <n v="0"/>
    <m/>
  </r>
  <r>
    <n v="198"/>
    <x v="10"/>
    <x v="49"/>
    <n v="373.048"/>
    <n v="1"/>
    <n v="1"/>
    <s v="NL"/>
    <s v="ProducerNL"/>
    <n v="0"/>
    <n v="0"/>
    <m/>
  </r>
  <r>
    <n v="199"/>
    <x v="10"/>
    <x v="48"/>
    <n v="341.774"/>
    <n v="1"/>
    <n v="1"/>
    <s v="NL"/>
    <s v="ProducerNL"/>
    <n v="0"/>
    <n v="0"/>
    <m/>
  </r>
  <r>
    <n v="200"/>
    <x v="10"/>
    <x v="15"/>
    <n v="334.80099999999999"/>
    <n v="1"/>
    <n v="1"/>
    <s v="NL"/>
    <s v="ProducerNL"/>
    <n v="0"/>
    <n v="0"/>
    <m/>
  </r>
  <r>
    <n v="201"/>
    <x v="10"/>
    <x v="13"/>
    <n v="331.66300000000001"/>
    <n v="1"/>
    <n v="1"/>
    <s v="NL"/>
    <s v="ProducerNL"/>
    <n v="0"/>
    <n v="0"/>
    <m/>
  </r>
  <r>
    <n v="202"/>
    <x v="10"/>
    <x v="62"/>
    <n v="323.92899999999997"/>
    <n v="1"/>
    <n v="1"/>
    <s v="NL"/>
    <s v="ProducerNL"/>
    <n v="0"/>
    <n v="0"/>
    <m/>
  </r>
  <r>
    <n v="203"/>
    <x v="10"/>
    <x v="32"/>
    <n v="317.36399999999998"/>
    <n v="1"/>
    <n v="1"/>
    <s v="NL"/>
    <s v="ProducerNL"/>
    <n v="0"/>
    <n v="0"/>
    <m/>
  </r>
  <r>
    <n v="204"/>
    <x v="10"/>
    <x v="18"/>
    <n v="285.59800000000001"/>
    <n v="1"/>
    <n v="1"/>
    <s v="NL"/>
    <s v="ProducerNL"/>
    <n v="0"/>
    <n v="0"/>
    <m/>
  </r>
  <r>
    <n v="205"/>
    <x v="10"/>
    <x v="61"/>
    <n v="224.39699999999999"/>
    <n v="1"/>
    <n v="1"/>
    <s v="NL"/>
    <s v="ProducerNL"/>
    <n v="0"/>
    <n v="0"/>
    <m/>
  </r>
  <r>
    <n v="206"/>
    <x v="10"/>
    <x v="11"/>
    <n v="203.58"/>
    <n v="1"/>
    <n v="1"/>
    <s v="NL"/>
    <s v="ProducerNL"/>
    <n v="0"/>
    <n v="0"/>
    <m/>
  </r>
  <r>
    <n v="207"/>
    <x v="10"/>
    <x v="12"/>
    <n v="162.80099999999999"/>
    <n v="1"/>
    <n v="1"/>
    <s v="NL"/>
    <s v="ProducerNL"/>
    <n v="0"/>
    <n v="0"/>
    <m/>
  </r>
  <r>
    <n v="208"/>
    <x v="10"/>
    <x v="3"/>
    <n v="157.977"/>
    <n v="1"/>
    <n v="1"/>
    <s v="NL"/>
    <s v="ProducerNL"/>
    <n v="0"/>
    <n v="0"/>
    <m/>
  </r>
  <r>
    <m/>
    <x v="11"/>
    <x v="63"/>
    <m/>
    <m/>
    <m/>
    <m/>
    <m/>
    <m/>
    <m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1">
  <r>
    <s v="ADS-Anlage"/>
    <x v="0"/>
    <x v="0"/>
    <s v="deNode"/>
    <n v="5"/>
    <s v="Producer1"/>
    <n v="96.5"/>
  </r>
  <r>
    <s v="Audorf"/>
    <x v="1"/>
    <x v="1"/>
    <s v="deNode"/>
    <n v="19"/>
    <s v="Producer1"/>
    <n v="87"/>
  </r>
  <r>
    <s v="Bergkamen"/>
    <x v="2"/>
    <x v="1"/>
    <s v="deNode"/>
    <n v="31"/>
    <s v="Producer1"/>
    <n v="717"/>
  </r>
  <r>
    <s v="BigBiomassDE1"/>
    <x v="3"/>
    <x v="1"/>
    <s v="deNode"/>
    <n v="5"/>
    <s v="Producer1"/>
    <n v="500"/>
  </r>
  <r>
    <s v="BigBiomassDE10"/>
    <x v="3"/>
    <x v="1"/>
    <s v="deNode"/>
    <n v="23"/>
    <s v="Producer1"/>
    <n v="500"/>
  </r>
  <r>
    <s v="BigBiomassDE11"/>
    <x v="3"/>
    <x v="1"/>
    <s v="deNode"/>
    <n v="15"/>
    <s v="Producer1"/>
    <n v="500"/>
  </r>
  <r>
    <s v="BigBiomassDE12"/>
    <x v="3"/>
    <x v="1"/>
    <s v="deNode"/>
    <n v="17"/>
    <s v="Producer1"/>
    <n v="500"/>
  </r>
  <r>
    <s v="BigBiomassDE2"/>
    <x v="3"/>
    <x v="1"/>
    <s v="deNode"/>
    <n v="7"/>
    <s v="Producer1"/>
    <n v="500"/>
  </r>
  <r>
    <s v="BigBiomassDE3"/>
    <x v="3"/>
    <x v="1"/>
    <s v="deNode"/>
    <n v="9"/>
    <s v="Producer1"/>
    <n v="500"/>
  </r>
  <r>
    <s v="BigBiomassDE4"/>
    <x v="3"/>
    <x v="1"/>
    <s v="deNode"/>
    <n v="11"/>
    <s v="Producer1"/>
    <n v="500"/>
  </r>
  <r>
    <s v="BigBiomassDE5"/>
    <x v="3"/>
    <x v="1"/>
    <s v="deNode"/>
    <n v="13"/>
    <s v="Producer1"/>
    <n v="500"/>
  </r>
  <r>
    <s v="BigBiomassDE6"/>
    <x v="3"/>
    <x v="1"/>
    <s v="deNode"/>
    <n v="15"/>
    <s v="Producer1"/>
    <n v="500"/>
  </r>
  <r>
    <s v="BigBiomassDE7"/>
    <x v="3"/>
    <x v="1"/>
    <s v="deNode"/>
    <n v="17"/>
    <s v="Producer1"/>
    <n v="500"/>
  </r>
  <r>
    <s v="BigBiomassDE8"/>
    <x v="3"/>
    <x v="1"/>
    <s v="deNode"/>
    <n v="19"/>
    <s v="Producer1"/>
    <n v="500"/>
  </r>
  <r>
    <s v="BigBiomassDE9"/>
    <x v="3"/>
    <x v="1"/>
    <s v="deNode"/>
    <n v="21"/>
    <s v="Producer1"/>
    <n v="500"/>
  </r>
  <r>
    <s v="BigCCGTDE1"/>
    <x v="4"/>
    <x v="0"/>
    <s v="deNode"/>
    <n v="6"/>
    <s v="Producer1"/>
    <n v="500"/>
  </r>
  <r>
    <s v="BigCCGTDE2"/>
    <x v="4"/>
    <x v="0"/>
    <s v="deNode"/>
    <n v="8"/>
    <s v="Producer1"/>
    <n v="500"/>
  </r>
  <r>
    <s v="BigCCGTDE3"/>
    <x v="4"/>
    <x v="0"/>
    <s v="deNode"/>
    <n v="12"/>
    <s v="Producer1"/>
    <n v="500"/>
  </r>
  <r>
    <s v="BigCCGTDE4"/>
    <x v="4"/>
    <x v="0"/>
    <s v="deNode"/>
    <n v="14"/>
    <s v="Producer1"/>
    <n v="500"/>
  </r>
  <r>
    <s v="BigCCGTDE5"/>
    <x v="4"/>
    <x v="0"/>
    <s v="deNode"/>
    <n v="16"/>
    <s v="Producer1"/>
    <n v="500"/>
  </r>
  <r>
    <s v="BigCCGTDE6"/>
    <x v="4"/>
    <x v="0"/>
    <s v="deNode"/>
    <n v="18"/>
    <s v="Producer1"/>
    <n v="500"/>
  </r>
  <r>
    <s v="BigCCGTDE7"/>
    <x v="4"/>
    <x v="0"/>
    <s v="deNode"/>
    <n v="20"/>
    <s v="Producer1"/>
    <n v="500"/>
  </r>
  <r>
    <s v="BigCoalDE1"/>
    <x v="2"/>
    <x v="1"/>
    <s v="deNode"/>
    <n v="11"/>
    <s v="Producer1"/>
    <n v="341.4"/>
  </r>
  <r>
    <s v="BigCoalDE2"/>
    <x v="2"/>
    <x v="1"/>
    <s v="deNode"/>
    <n v="20"/>
    <s v="Producer1"/>
    <n v="320.5"/>
  </r>
  <r>
    <s v="BigFuelOilDE2"/>
    <x v="1"/>
    <x v="1"/>
    <s v="deNode"/>
    <n v="17"/>
    <s v="Producer1"/>
    <n v="321.5"/>
  </r>
  <r>
    <s v="BigFuelOilDE3"/>
    <x v="1"/>
    <x v="1"/>
    <s v="deNode"/>
    <n v="9"/>
    <s v="Producer1"/>
    <n v="321.5"/>
  </r>
  <r>
    <s v="BigLigniteDE1"/>
    <x v="5"/>
    <x v="1"/>
    <s v="deNode"/>
    <n v="14"/>
    <s v="Producer1"/>
    <n v="206.8"/>
  </r>
  <r>
    <s v="BigLigniteDE2"/>
    <x v="5"/>
    <x v="1"/>
    <s v="deNode"/>
    <n v="17"/>
    <s v="Producer1"/>
    <n v="307.10000000000002"/>
  </r>
  <r>
    <s v="Bleiloch"/>
    <x v="6"/>
    <x v="1"/>
    <s v="deNode"/>
    <n v="49"/>
    <s v="Producer1"/>
    <n v="79.8"/>
  </r>
  <r>
    <s v="BoA 2"/>
    <x v="5"/>
    <x v="1"/>
    <s v="deNode"/>
    <n v="14"/>
    <s v="Producer1"/>
    <n v="1050"/>
  </r>
  <r>
    <s v="BoA 3"/>
    <x v="5"/>
    <x v="1"/>
    <s v="deNode"/>
    <n v="33"/>
    <s v="Producer1"/>
    <n v="1050"/>
  </r>
  <r>
    <s v="Boxberg"/>
    <x v="5"/>
    <x v="1"/>
    <s v="deNode"/>
    <n v="10"/>
    <s v="Producer1"/>
    <n v="857"/>
  </r>
  <r>
    <s v="Boxberg2"/>
    <x v="5"/>
    <x v="1"/>
    <s v="deNode"/>
    <n v="38"/>
    <s v="Producer1"/>
    <n v="640"/>
  </r>
  <r>
    <s v="Boxberg3"/>
    <x v="5"/>
    <x v="1"/>
    <s v="deNode"/>
    <n v="32"/>
    <s v="Producer1"/>
    <n v="465"/>
  </r>
  <r>
    <s v="Boxberg4"/>
    <x v="5"/>
    <x v="1"/>
    <s v="deNode"/>
    <n v="35"/>
    <s v="Producer1"/>
    <n v="465"/>
  </r>
  <r>
    <s v="BP Werk Lingen"/>
    <x v="0"/>
    <x v="0"/>
    <s v="deNode"/>
    <n v="20"/>
    <s v="Producer1"/>
    <n v="66"/>
  </r>
  <r>
    <s v="Braunau-Simbach"/>
    <x v="6"/>
    <x v="1"/>
    <s v="deNode"/>
    <n v="23"/>
    <s v="Producer1"/>
    <n v="50"/>
  </r>
  <r>
    <s v="Braunkohlekraftwerk Lippendorf"/>
    <x v="5"/>
    <x v="1"/>
    <s v="deNode"/>
    <n v="39"/>
    <s v="Producer1"/>
    <n v="875"/>
  </r>
  <r>
    <s v="Brokdorf"/>
    <x v="7"/>
    <x v="1"/>
    <s v="deNode"/>
    <n v="33"/>
    <s v="Producer1"/>
    <n v="1410"/>
  </r>
  <r>
    <s v="Buschhaus"/>
    <x v="5"/>
    <x v="1"/>
    <s v="deNode"/>
    <n v="37"/>
    <s v="Producer1"/>
    <n v="352"/>
  </r>
  <r>
    <s v="Centrale Bergum (CB20)"/>
    <x v="4"/>
    <x v="0"/>
    <s v="nlNode"/>
    <n v="8"/>
    <s v="Producer1"/>
    <n v="72"/>
  </r>
  <r>
    <s v="Charlottenburg"/>
    <x v="0"/>
    <x v="0"/>
    <s v="deNode"/>
    <n v="23"/>
    <s v="Producer1"/>
    <n v="211"/>
  </r>
  <r>
    <s v="Cuno Heizkraftwerk Herdecke"/>
    <x v="4"/>
    <x v="0"/>
    <s v="deNode"/>
    <n v="11"/>
    <s v="Producer1"/>
    <n v="417"/>
  </r>
  <r>
    <s v="Dampfkraftwerk BGH - O1"/>
    <x v="4"/>
    <x v="0"/>
    <s v="deNode"/>
    <n v="9"/>
    <s v="Producer1"/>
    <n v="120"/>
  </r>
  <r>
    <s v="Dampfkraftwerk Marbach am Neckar"/>
    <x v="1"/>
    <x v="1"/>
    <s v="deNode"/>
    <n v="6"/>
    <s v="Producer1"/>
    <n v="262"/>
  </r>
  <r>
    <s v="Dampfkraftwerk Marbach am Neckar2"/>
    <x v="1"/>
    <x v="1"/>
    <s v="deNode"/>
    <n v="20"/>
    <s v="Producer1"/>
    <n v="85"/>
  </r>
  <r>
    <s v="Dormagen"/>
    <x v="4"/>
    <x v="0"/>
    <s v="deNode"/>
    <n v="29"/>
    <s v="Producer1"/>
    <n v="586.29999999999995"/>
  </r>
  <r>
    <s v="Dow Stade"/>
    <x v="4"/>
    <x v="0"/>
    <s v="deNode"/>
    <n v="26"/>
    <s v="Producer1"/>
    <n v="173"/>
  </r>
  <r>
    <s v="DT"/>
    <x v="3"/>
    <x v="1"/>
    <s v="deNode"/>
    <n v="6"/>
    <s v="Producer1"/>
    <n v="53.7"/>
  </r>
  <r>
    <s v="Duisburg Hamborn 4"/>
    <x v="1"/>
    <x v="1"/>
    <s v="deNode"/>
    <n v="27"/>
    <s v="Producer1"/>
    <n v="100"/>
  </r>
  <r>
    <s v="Duisburg Hamborn 5"/>
    <x v="1"/>
    <x v="1"/>
    <s v="deNode"/>
    <n v="26"/>
    <s v="Producer1"/>
    <n v="225"/>
  </r>
  <r>
    <s v="Duisburg Ruhrort 4"/>
    <x v="1"/>
    <x v="1"/>
    <s v="deNode"/>
    <n v="5"/>
    <s v="Producer1"/>
    <n v="165"/>
  </r>
  <r>
    <s v="Emden Gas"/>
    <x v="0"/>
    <x v="0"/>
    <s v="deNode"/>
    <n v="22"/>
    <s v="Producer1"/>
    <n v="380"/>
  </r>
  <r>
    <s v="Emsland"/>
    <x v="4"/>
    <x v="0"/>
    <s v="deNode"/>
    <n v="18"/>
    <s v="Producer1"/>
    <n v="887"/>
  </r>
  <r>
    <s v="Emsland2"/>
    <x v="0"/>
    <x v="0"/>
    <s v="deNode"/>
    <n v="27"/>
    <s v="Producer1"/>
    <n v="359"/>
  </r>
  <r>
    <s v="Emsland3"/>
    <x v="0"/>
    <x v="0"/>
    <s v="deNode"/>
    <n v="27"/>
    <s v="Producer1"/>
    <n v="359"/>
  </r>
  <r>
    <s v="Emsland4"/>
    <x v="4"/>
    <x v="0"/>
    <s v="deNode"/>
    <n v="24"/>
    <s v="Producer1"/>
    <n v="116"/>
  </r>
  <r>
    <s v="Emsland5"/>
    <x v="4"/>
    <x v="0"/>
    <s v="deNode"/>
    <n v="26"/>
    <s v="Producer1"/>
    <n v="116"/>
  </r>
  <r>
    <s v="Erzhausen"/>
    <x v="6"/>
    <x v="1"/>
    <s v="deNode"/>
    <n v="33"/>
    <s v="Producer1"/>
    <n v="220"/>
  </r>
  <r>
    <s v="Farge"/>
    <x v="2"/>
    <x v="1"/>
    <s v="deNode"/>
    <n v="35"/>
    <s v="Producer1"/>
    <n v="350"/>
  </r>
  <r>
    <s v="Franken 1"/>
    <x v="0"/>
    <x v="0"/>
    <s v="deNode"/>
    <n v="2"/>
    <s v="Producer1"/>
    <n v="440"/>
  </r>
  <r>
    <s v="Franken 12"/>
    <x v="0"/>
    <x v="0"/>
    <s v="deNode"/>
    <n v="19"/>
    <s v="Producer1"/>
    <n v="383"/>
  </r>
  <r>
    <s v="Frechen/Wachtberg"/>
    <x v="5"/>
    <x v="1"/>
    <s v="deNode"/>
    <n v="34"/>
    <s v="Producer1"/>
    <n v="118"/>
  </r>
  <r>
    <s v="Frimmersdorf"/>
    <x v="5"/>
    <x v="1"/>
    <s v="deNode"/>
    <n v="25"/>
    <s v="Producer1"/>
    <n v="284"/>
  </r>
  <r>
    <s v="Frimmersdorf2"/>
    <x v="5"/>
    <x v="1"/>
    <s v="deNode"/>
    <n v="13"/>
    <s v="Producer1"/>
    <n v="278"/>
  </r>
  <r>
    <s v="Gasblock"/>
    <x v="0"/>
    <x v="0"/>
    <s v="deNode"/>
    <n v="27"/>
    <s v="Producer1"/>
    <n v="293"/>
  </r>
  <r>
    <s v="Geesthacht"/>
    <x v="6"/>
    <x v="1"/>
    <s v="deNode"/>
    <n v="17"/>
    <s v="Producer1"/>
    <n v="119.1"/>
  </r>
  <r>
    <s v="Gemeinschaftskernkraftwerk Neckarwestheim II"/>
    <x v="7"/>
    <x v="1"/>
    <s v="deNode"/>
    <n v="23"/>
    <s v="Producer1"/>
    <n v="1310"/>
  </r>
  <r>
    <s v="Gemeinschaftskraftwerk Irsching "/>
    <x v="4"/>
    <x v="0"/>
    <s v="deNode"/>
    <n v="16"/>
    <s v="Producer1"/>
    <n v="846"/>
  </r>
  <r>
    <s v="Gemeinschaftskraftwerk Kiel"/>
    <x v="2"/>
    <x v="1"/>
    <s v="deNode"/>
    <n v="24"/>
    <s v="Producer1"/>
    <n v="323"/>
  </r>
  <r>
    <s v="Gersteinwerk"/>
    <x v="2"/>
    <x v="1"/>
    <s v="deNode"/>
    <n v="37"/>
    <s v="Producer1"/>
    <n v="607.5"/>
  </r>
  <r>
    <s v="Gersteinwerk2"/>
    <x v="0"/>
    <x v="0"/>
    <s v="deNode"/>
    <n v="5"/>
    <s v="Producer1"/>
    <n v="355"/>
  </r>
  <r>
    <s v="Gersteinwerk3"/>
    <x v="0"/>
    <x v="0"/>
    <s v="deNode"/>
    <n v="7"/>
    <s v="Producer1"/>
    <n v="355"/>
  </r>
  <r>
    <s v="Gersteinwerk4"/>
    <x v="0"/>
    <x v="0"/>
    <s v="deNode"/>
    <n v="27"/>
    <s v="Producer1"/>
    <n v="355"/>
  </r>
  <r>
    <s v="Gersteinwerk5"/>
    <x v="0"/>
    <x v="0"/>
    <s v="deNode"/>
    <n v="16"/>
    <s v="Producer1"/>
    <n v="112"/>
  </r>
  <r>
    <s v="Gersteinwerk6"/>
    <x v="0"/>
    <x v="0"/>
    <s v="deNode"/>
    <n v="15"/>
    <s v="Producer1"/>
    <n v="55"/>
  </r>
  <r>
    <s v="GKH"/>
    <x v="2"/>
    <x v="1"/>
    <s v="deNode"/>
    <n v="8"/>
    <s v="Producer1"/>
    <n v="136"/>
  </r>
  <r>
    <s v="GKH2"/>
    <x v="2"/>
    <x v="1"/>
    <s v="deNode"/>
    <n v="32"/>
    <s v="Producer1"/>
    <n v="136"/>
  </r>
  <r>
    <s v="GKL"/>
    <x v="4"/>
    <x v="0"/>
    <s v="deNode"/>
    <n v="18"/>
    <s v="Producer1"/>
    <n v="230"/>
  </r>
  <r>
    <s v="GKM "/>
    <x v="2"/>
    <x v="1"/>
    <s v="deNode"/>
    <n v="26"/>
    <s v="Producer1"/>
    <n v="843"/>
  </r>
  <r>
    <s v="GKM 2"/>
    <x v="2"/>
    <x v="1"/>
    <s v="deNode"/>
    <n v="29"/>
    <s v="Producer1"/>
    <n v="435"/>
  </r>
  <r>
    <s v="GKM 3"/>
    <x v="2"/>
    <x v="1"/>
    <s v="deNode"/>
    <n v="16"/>
    <s v="Producer1"/>
    <n v="425"/>
  </r>
  <r>
    <s v="GKM 4"/>
    <x v="2"/>
    <x v="1"/>
    <s v="deNode"/>
    <n v="10"/>
    <s v="Producer1"/>
    <n v="255"/>
  </r>
  <r>
    <s v="G-Kraftwerk"/>
    <x v="2"/>
    <x v="1"/>
    <s v="deNode"/>
    <n v="18"/>
    <s v="Producer1"/>
    <n v="103"/>
  </r>
  <r>
    <s v="Goldisthal"/>
    <x v="6"/>
    <x v="1"/>
    <s v="deNode"/>
    <n v="13"/>
    <s v="Producer1"/>
    <n v="1052"/>
  </r>
  <r>
    <s v="Grohnde"/>
    <x v="7"/>
    <x v="1"/>
    <s v="deNode"/>
    <n v="29"/>
    <s v="Producer1"/>
    <n v="1360"/>
  </r>
  <r>
    <s v="GT"/>
    <x v="1"/>
    <x v="1"/>
    <s v="deNode"/>
    <n v="8"/>
    <s v="Producer1"/>
    <n v="86.2"/>
  </r>
  <r>
    <s v="GT2"/>
    <x v="0"/>
    <x v="0"/>
    <s v="deNode"/>
    <n v="25"/>
    <s v="Producer1"/>
    <n v="66.7"/>
  </r>
  <r>
    <s v="GT3"/>
    <x v="0"/>
    <x v="0"/>
    <s v="deNode"/>
    <n v="21"/>
    <s v="Producer1"/>
    <n v="64.7"/>
  </r>
  <r>
    <s v="GTKW Darmstadt"/>
    <x v="4"/>
    <x v="0"/>
    <s v="deNode"/>
    <n v="15"/>
    <s v="Producer1"/>
    <n v="94.6"/>
  </r>
  <r>
    <s v="GuD"/>
    <x v="4"/>
    <x v="0"/>
    <s v="deNode"/>
    <n v="25"/>
    <s v="Producer1"/>
    <n v="100"/>
  </r>
  <r>
    <s v="GuD Anlage WVK"/>
    <x v="4"/>
    <x v="0"/>
    <s v="deNode"/>
    <n v="22"/>
    <s v="Producer1"/>
    <n v="60.1"/>
  </r>
  <r>
    <s v="GuD Bitterfeld"/>
    <x v="4"/>
    <x v="0"/>
    <s v="deNode"/>
    <n v="14"/>
    <s v="Producer1"/>
    <n v="106"/>
  </r>
  <r>
    <s v="GuD Marienehe"/>
    <x v="4"/>
    <x v="0"/>
    <s v="deNode"/>
    <n v="15"/>
    <s v="Producer1"/>
    <n v="108"/>
  </r>
  <r>
    <s v="GuD Schwarzheide"/>
    <x v="4"/>
    <x v="0"/>
    <s v="deNode"/>
    <n v="14"/>
    <s v="Producer1"/>
    <n v="122"/>
  </r>
  <r>
    <s v="GuD Tiefstack"/>
    <x v="4"/>
    <x v="0"/>
    <s v="deNode"/>
    <n v="12"/>
    <s v="Producer1"/>
    <n v="127"/>
  </r>
  <r>
    <s v="GuD-Anlage Rï¿½sselsheim"/>
    <x v="4"/>
    <x v="0"/>
    <s v="deNode"/>
    <n v="28"/>
    <s v="Producer1"/>
    <n v="112.1"/>
  </r>
  <r>
    <s v="GuD-HKW Neubrandenburg"/>
    <x v="4"/>
    <x v="0"/>
    <s v="deNode"/>
    <n v="19"/>
    <s v="Producer1"/>
    <n v="75"/>
  </r>
  <r>
    <s v="GuD-Ikw Staï¿½furt"/>
    <x v="4"/>
    <x v="0"/>
    <s v="deNode"/>
    <n v="4"/>
    <s v="Producer1"/>
    <n v="132"/>
  </r>
  <r>
    <s v="Happurg"/>
    <x v="6"/>
    <x v="1"/>
    <s v="deNode"/>
    <n v="24"/>
    <s v="Producer1"/>
    <n v="160"/>
  </r>
  <r>
    <s v="Heizkraftwerk"/>
    <x v="2"/>
    <x v="1"/>
    <s v="deNode"/>
    <n v="29"/>
    <s v="Producer1"/>
    <n v="211"/>
  </r>
  <r>
    <s v="Heizkraftwerk Altbach/Deizisau"/>
    <x v="2"/>
    <x v="1"/>
    <s v="deNode"/>
    <n v="5"/>
    <s v="Producer1"/>
    <n v="433"/>
  </r>
  <r>
    <s v="Heizkraftwerk Altbach/Deizisau2"/>
    <x v="2"/>
    <x v="1"/>
    <s v="deNode"/>
    <n v="34"/>
    <s v="Producer1"/>
    <n v="336"/>
  </r>
  <r>
    <s v="Heizkraftwerk Altbach/Deizisau3"/>
    <x v="0"/>
    <x v="0"/>
    <s v="deNode"/>
    <n v="15"/>
    <s v="Producer1"/>
    <n v="81"/>
  </r>
  <r>
    <s v="Heizkraftwerk Altbach/Deizisau4"/>
    <x v="0"/>
    <x v="0"/>
    <s v="deNode"/>
    <n v="15"/>
    <s v="Producer1"/>
    <n v="65"/>
  </r>
  <r>
    <s v="Heizkraftwerk Altbach/Deizisau5"/>
    <x v="0"/>
    <x v="0"/>
    <s v="deNode"/>
    <n v="19"/>
    <s v="Producer1"/>
    <n v="57"/>
  </r>
  <r>
    <s v="Heizkraftwerk Gera-Nord"/>
    <x v="0"/>
    <x v="0"/>
    <s v="deNode"/>
    <n v="9"/>
    <s v="Producer1"/>
    <n v="74"/>
  </r>
  <r>
    <s v="Heizkraftwerk Hafen"/>
    <x v="4"/>
    <x v="0"/>
    <s v="deNode"/>
    <n v="20"/>
    <s v="Producer1"/>
    <n v="100.2"/>
  </r>
  <r>
    <s v="Heizkraftwerk Hagen-Kabel"/>
    <x v="4"/>
    <x v="0"/>
    <s v="deNode"/>
    <n v="22"/>
    <s v="Producer1"/>
    <n v="230"/>
  </r>
  <r>
    <s v="Heizkraftwerk Heilbronn"/>
    <x v="2"/>
    <x v="1"/>
    <s v="deNode"/>
    <n v="14"/>
    <s v="Producer1"/>
    <n v="778"/>
  </r>
  <r>
    <s v="Heizkraftwerk Heilbronn2"/>
    <x v="2"/>
    <x v="1"/>
    <s v="deNode"/>
    <n v="23"/>
    <s v="Producer1"/>
    <n v="125"/>
  </r>
  <r>
    <s v="Heizkraftwerk Heilbronn3"/>
    <x v="2"/>
    <x v="1"/>
    <s v="deNode"/>
    <n v="4"/>
    <s v="Producer1"/>
    <n v="125"/>
  </r>
  <r>
    <s v="Heizkraftwerk Karlstraï¿½e2"/>
    <x v="0"/>
    <x v="0"/>
    <s v="deNode"/>
    <n v="1"/>
    <s v="Producer1"/>
    <n v="95"/>
  </r>
  <r>
    <s v="Heizkraftwerk Leipzig-Nord"/>
    <x v="4"/>
    <x v="0"/>
    <s v="deNode"/>
    <n v="24"/>
    <s v="Producer1"/>
    <n v="167"/>
  </r>
  <r>
    <s v="Heizkraftwerk Sindelfingen"/>
    <x v="0"/>
    <x v="0"/>
    <s v="deNode"/>
    <n v="21"/>
    <s v="Producer1"/>
    <n v="95"/>
  </r>
  <r>
    <s v="Heizkraftwerk3"/>
    <x v="4"/>
    <x v="0"/>
    <s v="deNode"/>
    <n v="19"/>
    <s v="Producer1"/>
    <n v="86"/>
  </r>
  <r>
    <s v="Heyden"/>
    <x v="2"/>
    <x v="1"/>
    <s v="deNode"/>
    <n v="32"/>
    <s v="Producer1"/>
    <n v="875"/>
  </r>
  <r>
    <s v="Hï¿½usern"/>
    <x v="6"/>
    <x v="1"/>
    <s v="deNode"/>
    <n v="43"/>
    <s v="Producer1"/>
    <n v="100"/>
  </r>
  <r>
    <s v="HKW Barmen"/>
    <x v="4"/>
    <x v="0"/>
    <s v="deNode"/>
    <n v="15"/>
    <s v="Producer1"/>
    <n v="82"/>
  </r>
  <r>
    <s v="HKW Chemnitz  Nord II3"/>
    <x v="0"/>
    <x v="0"/>
    <s v="deNode"/>
    <n v="7"/>
    <s v="Producer1"/>
    <n v="57.2"/>
  </r>
  <r>
    <s v="HKW Dresden-Nossener Brï¿½cke"/>
    <x v="4"/>
    <x v="0"/>
    <s v="deNode"/>
    <n v="18"/>
    <s v="Producer1"/>
    <n v="263"/>
  </r>
  <r>
    <s v="HKW Elberfeld "/>
    <x v="2"/>
    <x v="1"/>
    <s v="deNode"/>
    <n v="9"/>
    <s v="Producer1"/>
    <n v="85"/>
  </r>
  <r>
    <s v="HKW Eltmann"/>
    <x v="0"/>
    <x v="0"/>
    <s v="deNode"/>
    <n v="22"/>
    <s v="Producer1"/>
    <n v="57"/>
  </r>
  <r>
    <s v="HKW Erfurt-Ost"/>
    <x v="4"/>
    <x v="0"/>
    <s v="deNode"/>
    <n v="5"/>
    <s v="Producer1"/>
    <n v="76.5"/>
  </r>
  <r>
    <s v="HKW Halle Trotha"/>
    <x v="0"/>
    <x v="0"/>
    <s v="deNode"/>
    <n v="1"/>
    <s v="Producer1"/>
    <n v="97"/>
  </r>
  <r>
    <s v="HKW Halle Trotha2"/>
    <x v="4"/>
    <x v="0"/>
    <s v="deNode"/>
    <n v="10"/>
    <s v="Producer1"/>
    <n v="54"/>
  </r>
  <r>
    <s v="HKW I"/>
    <x v="2"/>
    <x v="1"/>
    <s v="deNode"/>
    <n v="8"/>
    <s v="Producer1"/>
    <n v="95"/>
  </r>
  <r>
    <s v="HKW III/B"/>
    <x v="4"/>
    <x v="0"/>
    <s v="deNode"/>
    <n v="26"/>
    <s v="Producer1"/>
    <n v="234"/>
  </r>
  <r>
    <s v="HKW Jena"/>
    <x v="4"/>
    <x v="0"/>
    <s v="deNode"/>
    <n v="7"/>
    <s v="Producer1"/>
    <n v="182"/>
  </r>
  <r>
    <s v="HKW Merkenich2"/>
    <x v="4"/>
    <x v="0"/>
    <s v="deNode"/>
    <n v="21"/>
    <s v="Producer1"/>
    <n v="108"/>
  </r>
  <r>
    <s v="HKW Niederrad"/>
    <x v="4"/>
    <x v="0"/>
    <s v="deNode"/>
    <n v="4"/>
    <s v="Producer1"/>
    <n v="70"/>
  </r>
  <r>
    <s v="HKW Niehl 2"/>
    <x v="4"/>
    <x v="0"/>
    <s v="deNode"/>
    <n v="8"/>
    <s v="Producer1"/>
    <n v="413"/>
  </r>
  <r>
    <s v="HKW Potsdam-Sï¿½d"/>
    <x v="0"/>
    <x v="0"/>
    <s v="deNode"/>
    <n v="20"/>
    <s v="Producer1"/>
    <n v="81.8"/>
  </r>
  <r>
    <s v="HKW Rï¿½merbrï¿½cke2"/>
    <x v="4"/>
    <x v="0"/>
    <s v="deNode"/>
    <n v="25"/>
    <s v="Producer1"/>
    <n v="75"/>
  </r>
  <r>
    <s v="HKW Sandreuth2"/>
    <x v="4"/>
    <x v="0"/>
    <s v="deNode"/>
    <n v="8"/>
    <s v="Producer1"/>
    <n v="75"/>
  </r>
  <r>
    <s v="HKW Sandreuth3"/>
    <x v="4"/>
    <x v="0"/>
    <s v="deNode"/>
    <n v="26"/>
    <s v="Producer1"/>
    <n v="75"/>
  </r>
  <r>
    <s v="HKW West"/>
    <x v="2"/>
    <x v="1"/>
    <s v="deNode"/>
    <n v="37"/>
    <s v="Producer1"/>
    <n v="138.5"/>
  </r>
  <r>
    <s v="HKW West2"/>
    <x v="2"/>
    <x v="1"/>
    <s v="deNode"/>
    <n v="3"/>
    <s v="Producer1"/>
    <n v="138.5"/>
  </r>
  <r>
    <s v="HKW West5"/>
    <x v="0"/>
    <x v="0"/>
    <s v="deNode"/>
    <n v="18"/>
    <s v="Producer1"/>
    <n v="99"/>
  </r>
  <r>
    <s v="HKW Wï¿½rth"/>
    <x v="0"/>
    <x v="0"/>
    <s v="deNode"/>
    <n v="23"/>
    <s v="Producer1"/>
    <n v="59"/>
  </r>
  <r>
    <s v="HKW3 UPM Schongau"/>
    <x v="0"/>
    <x v="0"/>
    <s v="deNode"/>
    <n v="29"/>
    <s v="Producer1"/>
    <n v="65"/>
  </r>
  <r>
    <s v="HKW-Mitte2"/>
    <x v="4"/>
    <x v="0"/>
    <s v="deNode"/>
    <n v="12"/>
    <s v="Producer1"/>
    <n v="74"/>
  </r>
  <r>
    <s v="Hohenwarte 1"/>
    <x v="6"/>
    <x v="1"/>
    <s v="deNode"/>
    <n v="22"/>
    <s v="Producer1"/>
    <n v="59.8"/>
  </r>
  <r>
    <s v="Hohenwarte 2"/>
    <x v="6"/>
    <x v="1"/>
    <s v="deNode"/>
    <n v="47"/>
    <s v="Producer1"/>
    <n v="317.8"/>
  </r>
  <r>
    <s v="Holthausen"/>
    <x v="0"/>
    <x v="0"/>
    <s v="deNode"/>
    <n v="11"/>
    <s v="Producer1"/>
    <n v="84"/>
  </r>
  <r>
    <s v="Huckingen"/>
    <x v="1"/>
    <x v="1"/>
    <s v="deNode"/>
    <n v="8"/>
    <s v="Producer1"/>
    <n v="303"/>
  </r>
  <r>
    <s v="Huckingen2"/>
    <x v="1"/>
    <x v="1"/>
    <s v="deNode"/>
    <n v="4"/>
    <s v="Producer1"/>
    <n v="303"/>
  </r>
  <r>
    <s v="Huntorf"/>
    <x v="0"/>
    <x v="0"/>
    <s v="deNode"/>
    <n v="1"/>
    <s v="Producer1"/>
    <n v="321"/>
  </r>
  <r>
    <s v="Ibbenbï¿½ren"/>
    <x v="2"/>
    <x v="1"/>
    <s v="deNode"/>
    <n v="36"/>
    <s v="Producer1"/>
    <n v="794"/>
  </r>
  <r>
    <s v="IKS PCK Schwedt"/>
    <x v="1"/>
    <x v="1"/>
    <s v="deNode"/>
    <n v="17"/>
    <s v="Producer1"/>
    <n v="106"/>
  </r>
  <r>
    <s v="IKS PCK Schwedt2"/>
    <x v="1"/>
    <x v="1"/>
    <s v="deNode"/>
    <n v="6"/>
    <s v="Producer1"/>
    <n v="106"/>
  </r>
  <r>
    <s v="Industriekraftwerk Bernburg (IKB)"/>
    <x v="4"/>
    <x v="0"/>
    <s v="deNode"/>
    <n v="10"/>
    <s v="Producer1"/>
    <n v="66"/>
  </r>
  <r>
    <s v="Ingolstadt"/>
    <x v="1"/>
    <x v="1"/>
    <s v="deNode"/>
    <n v="4"/>
    <s v="Producer1"/>
    <n v="386"/>
  </r>
  <r>
    <s v="Ingolstadt2"/>
    <x v="1"/>
    <x v="1"/>
    <s v="deNode"/>
    <n v="29"/>
    <s v="Producer1"/>
    <n v="386"/>
  </r>
  <r>
    <s v="Irsching"/>
    <x v="0"/>
    <x v="0"/>
    <s v="deNode"/>
    <n v="26"/>
    <s v="Producer1"/>
    <n v="415"/>
  </r>
  <r>
    <s v="Isar 2"/>
    <x v="7"/>
    <x v="1"/>
    <s v="deNode"/>
    <n v="38"/>
    <s v="Producer1"/>
    <n v="1410"/>
  </r>
  <r>
    <s v="Itzehoe"/>
    <x v="1"/>
    <x v="1"/>
    <s v="deNode"/>
    <n v="16"/>
    <s v="Producer1"/>
    <n v="88"/>
  </r>
  <r>
    <s v="Jochenstein"/>
    <x v="6"/>
    <x v="1"/>
    <s v="deNode"/>
    <n v="33"/>
    <s v="Producer1"/>
    <n v="66"/>
  </r>
  <r>
    <s v="Kachlet"/>
    <x v="6"/>
    <x v="1"/>
    <s v="deNode"/>
    <n v="45"/>
    <s v="Producer1"/>
    <n v="53.7"/>
  </r>
  <r>
    <s v="Kernkraft Gundremmingen "/>
    <x v="7"/>
    <x v="1"/>
    <s v="deNode"/>
    <n v="35"/>
    <s v="Producer1"/>
    <n v="1284"/>
  </r>
  <r>
    <s v="Kernkraft Gundremmingen2"/>
    <x v="7"/>
    <x v="1"/>
    <s v="deNode"/>
    <n v="36"/>
    <s v="Producer1"/>
    <n v="1288"/>
  </r>
  <r>
    <s v="Kernkraftwerk Emsland"/>
    <x v="7"/>
    <x v="1"/>
    <s v="deNode"/>
    <n v="33"/>
    <s v="Producer1"/>
    <n v="1336"/>
  </r>
  <r>
    <s v="Kernkraftwerk Philippsburg 2"/>
    <x v="7"/>
    <x v="1"/>
    <s v="deNode"/>
    <n v="31"/>
    <s v="Producer1"/>
    <n v="1402"/>
  </r>
  <r>
    <s v="Kirchmï¿½ser"/>
    <x v="4"/>
    <x v="0"/>
    <s v="deNode"/>
    <n v="24"/>
    <s v="Producer1"/>
    <n v="160"/>
  </r>
  <r>
    <s v="Klingenberg"/>
    <x v="5"/>
    <x v="1"/>
    <s v="deNode"/>
    <n v="22"/>
    <s v="Producer1"/>
    <n v="164"/>
  </r>
  <r>
    <s v="Knapsack Gas I"/>
    <x v="4"/>
    <x v="0"/>
    <s v="deNode"/>
    <n v="20"/>
    <s v="Producer1"/>
    <n v="800"/>
  </r>
  <r>
    <s v="Knapsack Gas II"/>
    <x v="4"/>
    <x v="0"/>
    <s v="deNode"/>
    <n v="18"/>
    <s v="Producer1"/>
    <n v="430"/>
  </r>
  <r>
    <s v="KNG Kraftwerk Rostock"/>
    <x v="2"/>
    <x v="1"/>
    <s v="deNode"/>
    <n v="34"/>
    <s v="Producer1"/>
    <n v="514"/>
  </r>
  <r>
    <s v="Koepchenwerk"/>
    <x v="6"/>
    <x v="1"/>
    <s v="deNode"/>
    <n v="40"/>
    <s v="Producer1"/>
    <n v="153"/>
  </r>
  <r>
    <s v="Kraftwerk Bexbach"/>
    <x v="2"/>
    <x v="1"/>
    <s v="deNode"/>
    <n v="8"/>
    <s v="Producer1"/>
    <n v="721"/>
  </r>
  <r>
    <s v="Kraftwerk Ensdorf"/>
    <x v="2"/>
    <x v="1"/>
    <s v="deNode"/>
    <n v="23"/>
    <s v="Producer1"/>
    <n v="283"/>
  </r>
  <r>
    <s v="Kraftwerk Ensdorf2"/>
    <x v="2"/>
    <x v="1"/>
    <s v="deNode"/>
    <n v="39"/>
    <s v="Producer1"/>
    <n v="106"/>
  </r>
  <r>
    <s v="Kraftwerk I"/>
    <x v="2"/>
    <x v="1"/>
    <s v="deNode"/>
    <n v="35"/>
    <s v="Producer1"/>
    <n v="120"/>
  </r>
  <r>
    <s v="Kraftwerk III"/>
    <x v="4"/>
    <x v="0"/>
    <s v="deNode"/>
    <n v="6"/>
    <s v="Producer1"/>
    <n v="77.599999999999994"/>
  </r>
  <r>
    <s v="Kraftwerk III2"/>
    <x v="4"/>
    <x v="0"/>
    <s v="deNode"/>
    <n v="26"/>
    <s v="Producer1"/>
    <n v="61.1"/>
  </r>
  <r>
    <s v="Kraftwerk IV"/>
    <x v="0"/>
    <x v="0"/>
    <s v="deNode"/>
    <n v="1"/>
    <s v="Producer1"/>
    <n v="60.6"/>
  </r>
  <r>
    <s v="Kraftwerk Mainz"/>
    <x v="4"/>
    <x v="0"/>
    <s v="deNode"/>
    <n v="14"/>
    <s v="Producer1"/>
    <n v="434.2"/>
  </r>
  <r>
    <s v="Kraftwerk Mainz2"/>
    <x v="0"/>
    <x v="0"/>
    <s v="deNode"/>
    <n v="16"/>
    <s v="Producer1"/>
    <n v="335"/>
  </r>
  <r>
    <s v="Kraftwerk Mitte"/>
    <x v="4"/>
    <x v="0"/>
    <s v="deNode"/>
    <n v="9"/>
    <s v="Producer1"/>
    <n v="490"/>
  </r>
  <r>
    <s v="Kraftwerk N 230"/>
    <x v="2"/>
    <x v="1"/>
    <s v="deNode"/>
    <n v="30"/>
    <s v="Producer1"/>
    <n v="110"/>
  </r>
  <r>
    <s v="Kraftwerk Plattling"/>
    <x v="4"/>
    <x v="0"/>
    <s v="deNode"/>
    <n v="16"/>
    <s v="Producer1"/>
    <n v="97.9"/>
  </r>
  <r>
    <s v="Kraftwerk Salzgitter"/>
    <x v="1"/>
    <x v="1"/>
    <s v="deNode"/>
    <n v="25"/>
    <s v="Producer1"/>
    <n v="97"/>
  </r>
  <r>
    <s v="Kraftwerk Salzgitter2"/>
    <x v="1"/>
    <x v="1"/>
    <s v="deNode"/>
    <n v="14"/>
    <s v="Producer1"/>
    <n v="97"/>
  </r>
  <r>
    <s v="Kraftwerk Sï¿½d"/>
    <x v="4"/>
    <x v="0"/>
    <s v="deNode"/>
    <n v="7"/>
    <s v="Producer1"/>
    <n v="390"/>
  </r>
  <r>
    <s v="Kraftwerk Waldshut"/>
    <x v="6"/>
    <x v="1"/>
    <s v="deNode"/>
    <n v="34"/>
    <s v="Producer1"/>
    <n v="150"/>
  </r>
  <r>
    <s v="Kraftwerk Walheim"/>
    <x v="1"/>
    <x v="1"/>
    <s v="deNode"/>
    <n v="3"/>
    <s v="Producer1"/>
    <n v="136"/>
  </r>
  <r>
    <s v="Kraftwerk Walheim2"/>
    <x v="2"/>
    <x v="1"/>
    <s v="deNode"/>
    <n v="30"/>
    <s v="Producer1"/>
    <n v="148"/>
  </r>
  <r>
    <s v="Kraftwerk Walheim3"/>
    <x v="2"/>
    <x v="1"/>
    <s v="deNode"/>
    <n v="25"/>
    <s v="Producer1"/>
    <n v="96"/>
  </r>
  <r>
    <s v="Kraftwerk Werdohl-Elverlingsen"/>
    <x v="1"/>
    <x v="1"/>
    <s v="deNode"/>
    <n v="14"/>
    <s v="Producer1"/>
    <n v="206"/>
  </r>
  <r>
    <s v="Kraftwerk Werdohl-Elverlingsen2"/>
    <x v="2"/>
    <x v="1"/>
    <s v="deNode"/>
    <n v="4"/>
    <s v="Producer1"/>
    <n v="310"/>
  </r>
  <r>
    <s v="Kraftwerk Wilhelmshaven"/>
    <x v="2"/>
    <x v="1"/>
    <s v="deNode"/>
    <n v="22"/>
    <s v="Producer1"/>
    <n v="731"/>
  </r>
  <r>
    <s v="Kraftwerksgruppe Pfreimd"/>
    <x v="6"/>
    <x v="1"/>
    <s v="deNode"/>
    <n v="17"/>
    <s v="Producer1"/>
    <n v="99"/>
  </r>
  <r>
    <s v="KW Hafen2"/>
    <x v="2"/>
    <x v="1"/>
    <s v="deNode"/>
    <n v="7"/>
    <s v="Producer1"/>
    <n v="300"/>
  </r>
  <r>
    <s v="KW Hafen3"/>
    <x v="2"/>
    <x v="1"/>
    <s v="deNode"/>
    <n v="33"/>
    <s v="Producer1"/>
    <n v="127"/>
  </r>
  <r>
    <s v="KW Hastedt"/>
    <x v="2"/>
    <x v="1"/>
    <s v="deNode"/>
    <n v="39"/>
    <s v="Producer1"/>
    <n v="119"/>
  </r>
  <r>
    <s v="KW Hastedt2"/>
    <x v="0"/>
    <x v="0"/>
    <s v="deNode"/>
    <n v="3"/>
    <s v="Producer1"/>
    <n v="155"/>
  </r>
  <r>
    <s v="KW Herne"/>
    <x v="2"/>
    <x v="1"/>
    <s v="deNode"/>
    <n v="6"/>
    <s v="Producer1"/>
    <n v="449"/>
  </r>
  <r>
    <s v="KW Herne2"/>
    <x v="2"/>
    <x v="1"/>
    <s v="deNode"/>
    <n v="8"/>
    <s v="Producer1"/>
    <n v="280"/>
  </r>
  <r>
    <s v="KW Jï¿½nschwalde"/>
    <x v="5"/>
    <x v="1"/>
    <s v="deNode"/>
    <n v="13"/>
    <s v="Producer1"/>
    <n v="465"/>
  </r>
  <r>
    <s v="KW Jï¿½nschwalde2"/>
    <x v="5"/>
    <x v="1"/>
    <s v="deNode"/>
    <n v="27"/>
    <s v="Producer1"/>
    <n v="465"/>
  </r>
  <r>
    <s v="KW Jï¿½nschwalde3"/>
    <x v="5"/>
    <x v="1"/>
    <s v="deNode"/>
    <n v="16"/>
    <s v="Producer1"/>
    <n v="465"/>
  </r>
  <r>
    <s v="KW Jï¿½nschwalde4"/>
    <x v="5"/>
    <x v="1"/>
    <s v="deNode"/>
    <n v="35"/>
    <s v="Producer1"/>
    <n v="465"/>
  </r>
  <r>
    <s v="KW Jï¿½nschwalde5"/>
    <x v="5"/>
    <x v="1"/>
    <s v="deNode"/>
    <n v="11"/>
    <s v="Producer1"/>
    <n v="465"/>
  </r>
  <r>
    <s v="KW Jï¿½nschwalde6"/>
    <x v="5"/>
    <x v="1"/>
    <s v="deNode"/>
    <n v="9"/>
    <s v="Producer1"/>
    <n v="465"/>
  </r>
  <r>
    <s v="KW Kirchlengern"/>
    <x v="4"/>
    <x v="0"/>
    <s v="deNode"/>
    <n v="20"/>
    <s v="Producer1"/>
    <n v="201.5"/>
  </r>
  <r>
    <s v="KW Lï¿½nen"/>
    <x v="2"/>
    <x v="1"/>
    <s v="deNode"/>
    <n v="26"/>
    <s v="Producer1"/>
    <n v="324"/>
  </r>
  <r>
    <s v="KW Lï¿½nen2"/>
    <x v="2"/>
    <x v="1"/>
    <s v="deNode"/>
    <n v="15"/>
    <s v="Producer1"/>
    <n v="149"/>
  </r>
  <r>
    <s v="KW Mittelsbï¿½ren"/>
    <x v="1"/>
    <x v="1"/>
    <s v="deNode"/>
    <n v="9"/>
    <s v="Producer1"/>
    <n v="160"/>
  </r>
  <r>
    <s v="KW Mittelsbï¿½ren2"/>
    <x v="1"/>
    <x v="1"/>
    <s v="deNode"/>
    <n v="13"/>
    <s v="Producer1"/>
    <n v="88"/>
  </r>
  <r>
    <s v="KW Voerde"/>
    <x v="2"/>
    <x v="1"/>
    <s v="deNode"/>
    <n v="30"/>
    <s v="Producer1"/>
    <n v="695"/>
  </r>
  <r>
    <s v="KW Voerde2"/>
    <x v="2"/>
    <x v="1"/>
    <s v="deNode"/>
    <n v="22"/>
    <s v="Producer1"/>
    <n v="695"/>
  </r>
  <r>
    <s v="KW Walsum"/>
    <x v="2"/>
    <x v="1"/>
    <s v="deNode"/>
    <n v="4"/>
    <s v="Producer1"/>
    <n v="725"/>
  </r>
  <r>
    <s v="KW Walsum2"/>
    <x v="2"/>
    <x v="1"/>
    <s v="deNode"/>
    <n v="27"/>
    <s v="Producer1"/>
    <n v="370"/>
  </r>
  <r>
    <s v="KW West"/>
    <x v="2"/>
    <x v="1"/>
    <s v="deNode"/>
    <n v="11"/>
    <s v="Producer1"/>
    <n v="322"/>
  </r>
  <r>
    <s v="KW West2"/>
    <x v="2"/>
    <x v="1"/>
    <s v="deNode"/>
    <n v="25"/>
    <s v="Producer1"/>
    <n v="318"/>
  </r>
  <r>
    <s v="KWH"/>
    <x v="0"/>
    <x v="0"/>
    <s v="deNode"/>
    <n v="20"/>
    <s v="Producer1"/>
    <n v="102"/>
  </r>
  <r>
    <s v="KWM"/>
    <x v="2"/>
    <x v="1"/>
    <s v="deNode"/>
    <n v="6"/>
    <s v="Producer1"/>
    <n v="690"/>
  </r>
  <r>
    <s v="Landesbergen Gas"/>
    <x v="0"/>
    <x v="0"/>
    <s v="deNode"/>
    <n v="27"/>
    <s v="Producer1"/>
    <n v="500"/>
  </r>
  <r>
    <s v="Lichterfelde"/>
    <x v="0"/>
    <x v="0"/>
    <s v="deNode"/>
    <n v="11"/>
    <s v="Producer1"/>
    <n v="144"/>
  </r>
  <r>
    <s v="Lichterfelde2"/>
    <x v="0"/>
    <x v="0"/>
    <s v="deNode"/>
    <n v="1"/>
    <s v="Producer1"/>
    <n v="144"/>
  </r>
  <r>
    <s v="Lichterfelde3"/>
    <x v="0"/>
    <x v="0"/>
    <s v="deNode"/>
    <n v="9"/>
    <s v="Producer1"/>
    <n v="144"/>
  </r>
  <r>
    <s v="Lippendorf"/>
    <x v="5"/>
    <x v="1"/>
    <s v="deNode"/>
    <n v="37"/>
    <s v="Producer1"/>
    <n v="875"/>
  </r>
  <r>
    <s v="Markersbach"/>
    <x v="6"/>
    <x v="1"/>
    <s v="deNode"/>
    <n v="18"/>
    <s v="Producer1"/>
    <n v="1045.2"/>
  </r>
  <r>
    <s v="Mï¿½llkraftwerk Schwandorf"/>
    <x v="3"/>
    <x v="1"/>
    <s v="deNode"/>
    <n v="17"/>
    <s v="Producer1"/>
    <n v="54"/>
  </r>
  <r>
    <s v="Mitte"/>
    <x v="4"/>
    <x v="0"/>
    <s v="deNode"/>
    <n v="11"/>
    <s v="Producer1"/>
    <n v="444"/>
  </r>
  <r>
    <s v="Moabit2"/>
    <x v="2"/>
    <x v="1"/>
    <s v="deNode"/>
    <n v="38"/>
    <s v="Producer1"/>
    <n v="89"/>
  </r>
  <r>
    <s v="Modellkraftwerk"/>
    <x v="2"/>
    <x v="1"/>
    <s v="deNode"/>
    <n v="22"/>
    <s v="Producer1"/>
    <n v="179"/>
  </r>
  <r>
    <s v="Moorburg A"/>
    <x v="2"/>
    <x v="1"/>
    <s v="deNode"/>
    <n v="4"/>
    <s v="Producer1"/>
    <n v="774"/>
  </r>
  <r>
    <s v="Moorburg B"/>
    <x v="2"/>
    <x v="1"/>
    <s v="deNode"/>
    <n v="22"/>
    <s v="Producer1"/>
    <n v="766"/>
  </r>
  <r>
    <s v="Neurath"/>
    <x v="5"/>
    <x v="1"/>
    <s v="deNode"/>
    <n v="19"/>
    <s v="Producer1"/>
    <n v="607"/>
  </r>
  <r>
    <s v="Neurath2"/>
    <x v="5"/>
    <x v="1"/>
    <s v="deNode"/>
    <n v="35"/>
    <s v="Producer1"/>
    <n v="604"/>
  </r>
  <r>
    <s v="Neurath3"/>
    <x v="5"/>
    <x v="1"/>
    <s v="deNode"/>
    <n v="13"/>
    <s v="Producer1"/>
    <n v="292"/>
  </r>
  <r>
    <s v="Neurath4"/>
    <x v="5"/>
    <x v="1"/>
    <s v="deNode"/>
    <n v="26"/>
    <s v="Producer1"/>
    <n v="288"/>
  </r>
  <r>
    <s v="Neurath5"/>
    <x v="5"/>
    <x v="1"/>
    <s v="deNode"/>
    <n v="37"/>
    <s v="Producer1"/>
    <n v="277"/>
  </r>
  <r>
    <s v="Niederauï¿½em"/>
    <x v="5"/>
    <x v="1"/>
    <s v="deNode"/>
    <n v="3"/>
    <s v="Producer1"/>
    <n v="944"/>
  </r>
  <r>
    <s v="Niederauï¿½em2"/>
    <x v="5"/>
    <x v="1"/>
    <s v="deNode"/>
    <n v="38"/>
    <s v="Producer1"/>
    <n v="653"/>
  </r>
  <r>
    <s v="Niederauï¿½em3"/>
    <x v="5"/>
    <x v="1"/>
    <s v="deNode"/>
    <n v="12"/>
    <s v="Producer1"/>
    <n v="648"/>
  </r>
  <r>
    <s v="Niederauï¿½em4"/>
    <x v="5"/>
    <x v="1"/>
    <s v="deNode"/>
    <n v="39"/>
    <s v="Producer1"/>
    <n v="299"/>
  </r>
  <r>
    <s v="Niederauï¿½em5"/>
    <x v="5"/>
    <x v="1"/>
    <s v="deNode"/>
    <n v="19"/>
    <s v="Producer1"/>
    <n v="297"/>
  </r>
  <r>
    <s v="Niederauï¿½em6"/>
    <x v="5"/>
    <x v="1"/>
    <s v="deNode"/>
    <n v="5"/>
    <s v="Producer1"/>
    <n v="295"/>
  </r>
  <r>
    <s v="Niederauï¿½em7"/>
    <x v="5"/>
    <x v="1"/>
    <s v="deNode"/>
    <n v="4"/>
    <s v="Producer1"/>
    <n v="294"/>
  </r>
  <r>
    <s v="Niederauï¿½em8"/>
    <x v="5"/>
    <x v="1"/>
    <s v="deNode"/>
    <n v="31"/>
    <s v="Producer1"/>
    <n v="125"/>
  </r>
  <r>
    <s v="Niederauï¿½em9"/>
    <x v="5"/>
    <x v="1"/>
    <s v="deNode"/>
    <n v="22"/>
    <s v="Producer1"/>
    <n v="125"/>
  </r>
  <r>
    <s v="Nord 2"/>
    <x v="2"/>
    <x v="1"/>
    <s v="deNode"/>
    <n v="30"/>
    <s v="Producer1"/>
    <n v="332.7"/>
  </r>
  <r>
    <s v="Obernburg"/>
    <x v="4"/>
    <x v="0"/>
    <s v="deNode"/>
    <n v="4"/>
    <s v="Producer1"/>
    <n v="64"/>
  </r>
  <r>
    <s v="OffshoreDE1"/>
    <x v="8"/>
    <x v="1"/>
    <s v="deNode"/>
    <n v="4"/>
    <s v="Producer1"/>
    <n v="500"/>
  </r>
  <r>
    <s v="OffshoreDE2"/>
    <x v="8"/>
    <x v="1"/>
    <s v="deNode"/>
    <n v="4"/>
    <s v="Producer1"/>
    <n v="500"/>
  </r>
  <r>
    <s v="OffshoreDE3"/>
    <x v="8"/>
    <x v="1"/>
    <s v="deNode"/>
    <n v="2"/>
    <s v="Producer1"/>
    <n v="500"/>
  </r>
  <r>
    <s v="OffshoreDE4"/>
    <x v="8"/>
    <x v="1"/>
    <s v="deNode"/>
    <n v="6"/>
    <s v="Producer1"/>
    <n v="500"/>
  </r>
  <r>
    <s v="OffshoreDE5"/>
    <x v="8"/>
    <x v="1"/>
    <s v="deNode"/>
    <n v="4"/>
    <s v="Producer1"/>
    <n v="500"/>
  </r>
  <r>
    <s v="OffshoreDE6"/>
    <x v="8"/>
    <x v="1"/>
    <s v="deNode"/>
    <n v="6"/>
    <s v="Producer1"/>
    <n v="500"/>
  </r>
  <r>
    <s v="OnshoreDE1"/>
    <x v="9"/>
    <x v="1"/>
    <s v="deNode"/>
    <n v="12"/>
    <s v="Producer1"/>
    <n v="1815"/>
  </r>
  <r>
    <s v="OnshoreDE10"/>
    <x v="9"/>
    <x v="1"/>
    <s v="deNode"/>
    <n v="6"/>
    <s v="Producer1"/>
    <n v="1815"/>
  </r>
  <r>
    <s v="OnshoreDE11"/>
    <x v="9"/>
    <x v="1"/>
    <s v="deNode"/>
    <n v="9"/>
    <s v="Producer1"/>
    <n v="1815"/>
  </r>
  <r>
    <s v="OnshoreDE12"/>
    <x v="9"/>
    <x v="1"/>
    <s v="deNode"/>
    <n v="9"/>
    <s v="Producer1"/>
    <n v="1815"/>
  </r>
  <r>
    <s v="OnshoreDE13"/>
    <x v="9"/>
    <x v="1"/>
    <s v="deNode"/>
    <n v="1"/>
    <s v="Producer1"/>
    <n v="1815"/>
  </r>
  <r>
    <s v="OnshoreDE14"/>
    <x v="9"/>
    <x v="1"/>
    <s v="deNode"/>
    <n v="7"/>
    <s v="Producer1"/>
    <n v="1815"/>
  </r>
  <r>
    <s v="OnshoreDE15"/>
    <x v="9"/>
    <x v="1"/>
    <s v="deNode"/>
    <n v="3"/>
    <s v="Producer1"/>
    <n v="1815"/>
  </r>
  <r>
    <s v="OnshoreDE16"/>
    <x v="9"/>
    <x v="1"/>
    <s v="deNode"/>
    <n v="3"/>
    <s v="Producer1"/>
    <n v="1815"/>
  </r>
  <r>
    <s v="OnshoreDE17"/>
    <x v="9"/>
    <x v="1"/>
    <s v="deNode"/>
    <n v="12"/>
    <s v="Producer1"/>
    <n v="1815"/>
  </r>
  <r>
    <s v="OnshoreDE18"/>
    <x v="9"/>
    <x v="1"/>
    <s v="deNode"/>
    <n v="10"/>
    <s v="Producer1"/>
    <n v="1815"/>
  </r>
  <r>
    <s v="OnshoreDE19"/>
    <x v="9"/>
    <x v="1"/>
    <s v="deNode"/>
    <n v="11"/>
    <s v="Producer1"/>
    <n v="1815"/>
  </r>
  <r>
    <s v="OnshoreDE2"/>
    <x v="9"/>
    <x v="1"/>
    <s v="deNode"/>
    <n v="2"/>
    <s v="Producer1"/>
    <n v="1815"/>
  </r>
  <r>
    <s v="OnshoreDE20"/>
    <x v="9"/>
    <x v="1"/>
    <s v="deNode"/>
    <n v="8"/>
    <s v="Producer1"/>
    <n v="1815"/>
  </r>
  <r>
    <s v="OnshoreDE21"/>
    <x v="9"/>
    <x v="1"/>
    <s v="deNode"/>
    <n v="11"/>
    <s v="Producer1"/>
    <n v="1000"/>
  </r>
  <r>
    <s v="OnshoreDE22"/>
    <x v="9"/>
    <x v="1"/>
    <s v="deNode"/>
    <n v="13"/>
    <s v="Producer1"/>
    <n v="1000"/>
  </r>
  <r>
    <s v="OnshoreDE23"/>
    <x v="9"/>
    <x v="1"/>
    <s v="deNode"/>
    <n v="15"/>
    <s v="Producer1"/>
    <n v="1000"/>
  </r>
  <r>
    <s v="OnshoreDE24"/>
    <x v="9"/>
    <x v="1"/>
    <s v="deNode"/>
    <n v="9"/>
    <s v="Producer1"/>
    <n v="1000"/>
  </r>
  <r>
    <s v="OnshoreDE25"/>
    <x v="9"/>
    <x v="1"/>
    <s v="deNode"/>
    <n v="7"/>
    <s v="Producer1"/>
    <n v="1000"/>
  </r>
  <r>
    <s v="OnshoreDE3"/>
    <x v="9"/>
    <x v="1"/>
    <s v="deNode"/>
    <n v="3"/>
    <s v="Producer1"/>
    <n v="1815"/>
  </r>
  <r>
    <s v="OnshoreDE4"/>
    <x v="9"/>
    <x v="1"/>
    <s v="deNode"/>
    <n v="2"/>
    <s v="Producer1"/>
    <n v="1815"/>
  </r>
  <r>
    <s v="OnshoreDE5"/>
    <x v="9"/>
    <x v="1"/>
    <s v="deNode"/>
    <n v="6"/>
    <s v="Producer1"/>
    <n v="1815"/>
  </r>
  <r>
    <s v="OnshoreDE6"/>
    <x v="9"/>
    <x v="1"/>
    <s v="deNode"/>
    <n v="12"/>
    <s v="Producer1"/>
    <n v="1815"/>
  </r>
  <r>
    <s v="OnshoreDE7"/>
    <x v="9"/>
    <x v="1"/>
    <s v="deNode"/>
    <n v="5"/>
    <s v="Producer1"/>
    <n v="1815"/>
  </r>
  <r>
    <s v="OnshoreDE8"/>
    <x v="9"/>
    <x v="1"/>
    <s v="deNode"/>
    <n v="9"/>
    <s v="Producer1"/>
    <n v="1815"/>
  </r>
  <r>
    <s v="OnshoreDE9"/>
    <x v="9"/>
    <x v="1"/>
    <s v="deNode"/>
    <n v="8"/>
    <s v="Producer1"/>
    <n v="1815"/>
  </r>
  <r>
    <s v="PKV Kraftwerk2"/>
    <x v="0"/>
    <x v="0"/>
    <s v="deNode"/>
    <n v="27"/>
    <s v="Producer1"/>
    <n v="58.1"/>
  </r>
  <r>
    <s v="PSW Langenprozelten"/>
    <x v="6"/>
    <x v="1"/>
    <s v="deNode"/>
    <n v="26"/>
    <s v="Producer1"/>
    <n v="164"/>
  </r>
  <r>
    <s v="PSW Vianden"/>
    <x v="6"/>
    <x v="1"/>
    <s v="deNode"/>
    <n v="44"/>
    <s v="Producer1"/>
    <n v="196"/>
  </r>
  <r>
    <s v="PSW Vianden10"/>
    <x v="6"/>
    <x v="1"/>
    <s v="deNode"/>
    <n v="12"/>
    <s v="Producer1"/>
    <n v="100"/>
  </r>
  <r>
    <s v="PSW Vianden11"/>
    <x v="6"/>
    <x v="1"/>
    <s v="deNode"/>
    <n v="36"/>
    <s v="Producer1"/>
    <n v="100"/>
  </r>
  <r>
    <s v="PSW Vianden2"/>
    <x v="6"/>
    <x v="1"/>
    <s v="deNode"/>
    <n v="35"/>
    <s v="Producer1"/>
    <n v="195"/>
  </r>
  <r>
    <s v="PSW Vianden3"/>
    <x v="6"/>
    <x v="1"/>
    <s v="deNode"/>
    <n v="13"/>
    <s v="Producer1"/>
    <n v="100"/>
  </r>
  <r>
    <s v="PSW Vianden4"/>
    <x v="6"/>
    <x v="1"/>
    <s v="deNode"/>
    <n v="28"/>
    <s v="Producer1"/>
    <n v="100"/>
  </r>
  <r>
    <s v="PSW Vianden5"/>
    <x v="6"/>
    <x v="1"/>
    <s v="deNode"/>
    <n v="42"/>
    <s v="Producer1"/>
    <n v="100"/>
  </r>
  <r>
    <s v="PSW Vianden6"/>
    <x v="6"/>
    <x v="1"/>
    <s v="deNode"/>
    <n v="14"/>
    <s v="Producer1"/>
    <n v="100"/>
  </r>
  <r>
    <s v="PSW Vianden7"/>
    <x v="6"/>
    <x v="1"/>
    <s v="deNode"/>
    <n v="34"/>
    <s v="Producer1"/>
    <n v="100"/>
  </r>
  <r>
    <s v="PSW Vianden8"/>
    <x v="6"/>
    <x v="1"/>
    <s v="deNode"/>
    <n v="24"/>
    <s v="Producer1"/>
    <n v="100"/>
  </r>
  <r>
    <s v="PSW Vianden9"/>
    <x v="6"/>
    <x v="1"/>
    <s v="deNode"/>
    <n v="30"/>
    <s v="Producer1"/>
    <n v="100"/>
  </r>
  <r>
    <s v="Pumpspeicherkraftwerk Glems"/>
    <x v="6"/>
    <x v="1"/>
    <s v="deNode"/>
    <n v="42"/>
    <s v="Producer1"/>
    <n v="90"/>
  </r>
  <r>
    <s v="Pumpspeicherwerk Rï¿½nkhausen"/>
    <x v="6"/>
    <x v="1"/>
    <s v="deNode"/>
    <n v="13"/>
    <s v="Producer1"/>
    <n v="138"/>
  </r>
  <r>
    <s v="RADAG"/>
    <x v="6"/>
    <x v="1"/>
    <s v="deNode"/>
    <n v="20"/>
    <s v="Producer1"/>
    <n v="79.5"/>
  </r>
  <r>
    <s v="Raffineriekraftwerk"/>
    <x v="1"/>
    <x v="1"/>
    <s v="deNode"/>
    <n v="22"/>
    <s v="Producer1"/>
    <n v="92.5"/>
  </r>
  <r>
    <s v="Raffineriekraftwerk Kï¿½ln Godorf"/>
    <x v="1"/>
    <x v="1"/>
    <s v="deNode"/>
    <n v="29"/>
    <s v="Producer1"/>
    <n v="80"/>
  </r>
  <r>
    <s v="Reuter West"/>
    <x v="2"/>
    <x v="1"/>
    <s v="deNode"/>
    <n v="8"/>
    <s v="Producer1"/>
    <n v="282"/>
  </r>
  <r>
    <s v="Reuter West2"/>
    <x v="2"/>
    <x v="1"/>
    <s v="deNode"/>
    <n v="16"/>
    <s v="Producer1"/>
    <n v="282"/>
  </r>
  <r>
    <s v="Reuter2"/>
    <x v="2"/>
    <x v="1"/>
    <s v="deNode"/>
    <n v="5"/>
    <s v="Producer1"/>
    <n v="124"/>
  </r>
  <r>
    <s v="Rheinhafen-Dampfkraftwerk"/>
    <x v="2"/>
    <x v="1"/>
    <s v="deNode"/>
    <n v="32"/>
    <s v="Producer1"/>
    <n v="842"/>
  </r>
  <r>
    <s v="Rheinhafen-Dampfkraftwerk2"/>
    <x v="2"/>
    <x v="1"/>
    <s v="deNode"/>
    <n v="32"/>
    <s v="Producer1"/>
    <n v="505"/>
  </r>
  <r>
    <s v="Rheinhafen-Dampfkraftwerk3"/>
    <x v="4"/>
    <x v="0"/>
    <s v="deNode"/>
    <n v="17"/>
    <s v="Producer1"/>
    <n v="353"/>
  </r>
  <r>
    <s v="Rheinkraftwerk Iffezheim"/>
    <x v="6"/>
    <x v="1"/>
    <s v="deNode"/>
    <n v="11"/>
    <s v="Producer1"/>
    <n v="146"/>
  </r>
  <r>
    <s v="Schkopau"/>
    <x v="5"/>
    <x v="1"/>
    <s v="deNode"/>
    <n v="12"/>
    <s v="Producer1"/>
    <n v="450"/>
  </r>
  <r>
    <s v="Schkopau2"/>
    <x v="5"/>
    <x v="1"/>
    <s v="deNode"/>
    <n v="18"/>
    <s v="Producer1"/>
    <n v="450"/>
  </r>
  <r>
    <s v="Scholven"/>
    <x v="2"/>
    <x v="1"/>
    <s v="deNode"/>
    <n v="8"/>
    <s v="Producer1"/>
    <n v="345"/>
  </r>
  <r>
    <s v="Scholven2"/>
    <x v="2"/>
    <x v="1"/>
    <s v="deNode"/>
    <n v="29"/>
    <s v="Producer1"/>
    <n v="345"/>
  </r>
  <r>
    <s v="Schwarze Pumpe"/>
    <x v="5"/>
    <x v="1"/>
    <s v="deNode"/>
    <n v="37"/>
    <s v="Producer1"/>
    <n v="750"/>
  </r>
  <r>
    <s v="Schwarze Pumpe2"/>
    <x v="5"/>
    <x v="1"/>
    <s v="deNode"/>
    <n v="39"/>
    <s v="Producer1"/>
    <n v="750"/>
  </r>
  <r>
    <s v="Sï¿½ckingen"/>
    <x v="6"/>
    <x v="1"/>
    <s v="deNode"/>
    <n v="8"/>
    <s v="Producer1"/>
    <n v="360"/>
  </r>
  <r>
    <s v="Sï¿½d DT1"/>
    <x v="4"/>
    <x v="0"/>
    <s v="deNode"/>
    <n v="13"/>
    <s v="Producer1"/>
    <n v="79.7"/>
  </r>
  <r>
    <s v="Sï¿½d DT60"/>
    <x v="4"/>
    <x v="0"/>
    <s v="deNode"/>
    <n v="20"/>
    <s v="Producer1"/>
    <n v="127.6"/>
  </r>
  <r>
    <s v="Sï¿½d GT 61"/>
    <x v="4"/>
    <x v="0"/>
    <s v="deNode"/>
    <n v="15"/>
    <s v="Producer1"/>
    <n v="124.9"/>
  </r>
  <r>
    <s v="Sï¿½d GT 62"/>
    <x v="4"/>
    <x v="0"/>
    <s v="deNode"/>
    <n v="5"/>
    <s v="Producer1"/>
    <n v="123.9"/>
  </r>
  <r>
    <s v="Sï¿½d GT2"/>
    <x v="4"/>
    <x v="0"/>
    <s v="deNode"/>
    <n v="23"/>
    <s v="Producer1"/>
    <n v="97.9"/>
  </r>
  <r>
    <s v="Sï¿½d GT3"/>
    <x v="4"/>
    <x v="0"/>
    <s v="deNode"/>
    <n v="14"/>
    <s v="Producer1"/>
    <n v="97.9"/>
  </r>
  <r>
    <s v="SmallBiomassDE"/>
    <x v="3"/>
    <x v="1"/>
    <s v="deNode"/>
    <n v="15"/>
    <s v="Producer1"/>
    <n v="378"/>
  </r>
  <r>
    <s v="SmallBiomassDE2"/>
    <x v="3"/>
    <x v="1"/>
    <s v="deNode"/>
    <n v="14"/>
    <s v="Producer1"/>
    <n v="95.4"/>
  </r>
  <r>
    <s v="SmallCoalDE"/>
    <x v="2"/>
    <x v="1"/>
    <s v="deNode"/>
    <n v="17"/>
    <s v="Producer1"/>
    <n v="90"/>
  </r>
  <r>
    <s v="SmallFuelOilDE1"/>
    <x v="1"/>
    <x v="1"/>
    <s v="deNode"/>
    <n v="15"/>
    <s v="Producer1"/>
    <n v="91"/>
  </r>
  <r>
    <s v="SmallFuelOilDE2"/>
    <x v="1"/>
    <x v="1"/>
    <s v="deNode"/>
    <n v="4"/>
    <s v="Producer1"/>
    <n v="390.5"/>
  </r>
  <r>
    <s v="SmallFuelOilDE3"/>
    <x v="1"/>
    <x v="1"/>
    <s v="deNode"/>
    <n v="24"/>
    <s v="Producer1"/>
    <n v="334.2"/>
  </r>
  <r>
    <s v="SmallHydroDE"/>
    <x v="6"/>
    <x v="1"/>
    <s v="deNode"/>
    <n v="24"/>
    <s v="Producer1"/>
    <n v="94.7"/>
  </r>
  <r>
    <s v="SmallOCGTde1"/>
    <x v="0"/>
    <x v="0"/>
    <s v="deNode"/>
    <n v="14"/>
    <s v="Producer1"/>
    <n v="96"/>
  </r>
  <r>
    <s v="SmallOCGTde2"/>
    <x v="0"/>
    <x v="0"/>
    <s v="deNode"/>
    <n v="14"/>
    <s v="Producer1"/>
    <n v="96"/>
  </r>
  <r>
    <s v="SmallOCGTde3"/>
    <x v="0"/>
    <x v="0"/>
    <s v="deNode"/>
    <n v="10"/>
    <s v="Producer1"/>
    <n v="100"/>
  </r>
  <r>
    <s v="SmallOCGTde4"/>
    <x v="0"/>
    <x v="0"/>
    <s v="deNode"/>
    <n v="12"/>
    <s v="Producer1"/>
    <n v="100"/>
  </r>
  <r>
    <s v="SmallOCGTde5"/>
    <x v="0"/>
    <x v="0"/>
    <s v="deNode"/>
    <n v="14"/>
    <s v="Producer1"/>
    <n v="100"/>
  </r>
  <r>
    <s v="SmallOCGTde6"/>
    <x v="0"/>
    <x v="0"/>
    <s v="deNode"/>
    <n v="16"/>
    <s v="Producer1"/>
    <n v="100"/>
  </r>
  <r>
    <s v="SmallOCGTde7"/>
    <x v="0"/>
    <x v="0"/>
    <s v="deNode"/>
    <n v="18"/>
    <s v="Producer1"/>
    <n v="100"/>
  </r>
  <r>
    <s v="SolarDE1"/>
    <x v="10"/>
    <x v="1"/>
    <s v="deNode"/>
    <n v="13"/>
    <s v="Producer1"/>
    <n v="1961"/>
  </r>
  <r>
    <s v="SolarDE10"/>
    <x v="10"/>
    <x v="1"/>
    <s v="deNode"/>
    <n v="10"/>
    <s v="Producer1"/>
    <n v="1961"/>
  </r>
  <r>
    <s v="SolarDE11"/>
    <x v="10"/>
    <x v="1"/>
    <s v="deNode"/>
    <n v="1"/>
    <s v="Producer1"/>
    <n v="1961"/>
  </r>
  <r>
    <s v="SolarDE12"/>
    <x v="10"/>
    <x v="1"/>
    <s v="deNode"/>
    <n v="9"/>
    <s v="Producer1"/>
    <n v="1961"/>
  </r>
  <r>
    <s v="SolarDE13"/>
    <x v="10"/>
    <x v="1"/>
    <s v="deNode"/>
    <n v="5"/>
    <s v="Producer1"/>
    <n v="1961"/>
  </r>
  <r>
    <s v="SolarDE14"/>
    <x v="10"/>
    <x v="1"/>
    <s v="deNode"/>
    <n v="2"/>
    <s v="Producer1"/>
    <n v="1961"/>
  </r>
  <r>
    <s v="SolarDE15"/>
    <x v="10"/>
    <x v="1"/>
    <s v="deNode"/>
    <n v="12"/>
    <s v="Producer1"/>
    <n v="1961"/>
  </r>
  <r>
    <s v="SolarDE16"/>
    <x v="10"/>
    <x v="1"/>
    <s v="deNode"/>
    <n v="10"/>
    <s v="Producer1"/>
    <n v="1961"/>
  </r>
  <r>
    <s v="SolarDE17"/>
    <x v="10"/>
    <x v="1"/>
    <s v="deNode"/>
    <n v="7"/>
    <s v="Producer1"/>
    <n v="1961"/>
  </r>
  <r>
    <s v="SolarDE18"/>
    <x v="10"/>
    <x v="1"/>
    <s v="deNode"/>
    <n v="2"/>
    <s v="Producer1"/>
    <n v="1961"/>
  </r>
  <r>
    <s v="SolarDE19"/>
    <x v="10"/>
    <x v="1"/>
    <s v="deNode"/>
    <n v="4"/>
    <s v="Producer1"/>
    <n v="1961"/>
  </r>
  <r>
    <s v="SolarDE2"/>
    <x v="10"/>
    <x v="1"/>
    <s v="deNode"/>
    <n v="7"/>
    <s v="Producer1"/>
    <n v="1961"/>
  </r>
  <r>
    <s v="SolarDE20"/>
    <x v="10"/>
    <x v="1"/>
    <s v="deNode"/>
    <n v="4"/>
    <s v="Producer1"/>
    <n v="1961"/>
  </r>
  <r>
    <s v="SolarDE3"/>
    <x v="10"/>
    <x v="1"/>
    <s v="deNode"/>
    <n v="5"/>
    <s v="Producer1"/>
    <n v="1961"/>
  </r>
  <r>
    <s v="SolarDE4"/>
    <x v="10"/>
    <x v="1"/>
    <s v="deNode"/>
    <n v="5"/>
    <s v="Producer1"/>
    <n v="1961"/>
  </r>
  <r>
    <s v="SolarDE5"/>
    <x v="10"/>
    <x v="1"/>
    <s v="deNode"/>
    <n v="9"/>
    <s v="Producer1"/>
    <n v="1961"/>
  </r>
  <r>
    <s v="SolarDE6"/>
    <x v="10"/>
    <x v="1"/>
    <s v="deNode"/>
    <n v="9"/>
    <s v="Producer1"/>
    <n v="1961"/>
  </r>
  <r>
    <s v="SolarDE7"/>
    <x v="10"/>
    <x v="1"/>
    <s v="deNode"/>
    <n v="2"/>
    <s v="Producer1"/>
    <n v="1961"/>
  </r>
  <r>
    <s v="SolarDE8"/>
    <x v="10"/>
    <x v="1"/>
    <s v="deNode"/>
    <n v="2"/>
    <s v="Producer1"/>
    <n v="1961"/>
  </r>
  <r>
    <s v="SolarDE9"/>
    <x v="10"/>
    <x v="1"/>
    <s v="deNode"/>
    <n v="14"/>
    <s v="Producer1"/>
    <n v="1961"/>
  </r>
  <r>
    <s v="Spitzenlastkraftwerk Groï¿½kayna"/>
    <x v="1"/>
    <x v="1"/>
    <s v="deNode"/>
    <n v="17"/>
    <s v="Producer1"/>
    <n v="120"/>
  </r>
  <r>
    <s v="Staudinger"/>
    <x v="2"/>
    <x v="1"/>
    <s v="deNode"/>
    <n v="12"/>
    <s v="Producer1"/>
    <n v="510"/>
  </r>
  <r>
    <s v="Staudinger2"/>
    <x v="0"/>
    <x v="0"/>
    <s v="deNode"/>
    <n v="27"/>
    <s v="Producer1"/>
    <n v="622"/>
  </r>
  <r>
    <s v="Tï¿½ging"/>
    <x v="6"/>
    <x v="1"/>
    <s v="deNode"/>
    <n v="10"/>
    <s v="Producer1"/>
    <n v="85.3"/>
  </r>
  <r>
    <s v="Tiefstack"/>
    <x v="2"/>
    <x v="1"/>
    <s v="deNode"/>
    <n v="8"/>
    <s v="Producer1"/>
    <n v="194"/>
  </r>
  <r>
    <s v="Trianel Gaskraftwerk "/>
    <x v="4"/>
    <x v="0"/>
    <s v="deNode"/>
    <n v="19"/>
    <s v="Producer1"/>
    <n v="420.9"/>
  </r>
  <r>
    <s v="Trianel Gaskraftwerk 2"/>
    <x v="4"/>
    <x v="0"/>
    <s v="deNode"/>
    <n v="29"/>
    <s v="Producer1"/>
    <n v="417.1"/>
  </r>
  <r>
    <s v="Trianel Kohlekraftwerk Lï¿½nen"/>
    <x v="2"/>
    <x v="1"/>
    <s v="deNode"/>
    <n v="30"/>
    <s v="Producer1"/>
    <n v="746"/>
  </r>
  <r>
    <s v="Ulrich Hartmann (Irsching)"/>
    <x v="4"/>
    <x v="0"/>
    <s v="deNode"/>
    <n v="27"/>
    <s v="Producer1"/>
    <n v="545"/>
  </r>
  <r>
    <s v="UPM Schongau3"/>
    <x v="0"/>
    <x v="0"/>
    <s v="deNode"/>
    <n v="20"/>
    <s v="Producer1"/>
    <n v="82"/>
  </r>
  <r>
    <s v="Walchensee"/>
    <x v="6"/>
    <x v="1"/>
    <s v="deNode"/>
    <n v="21"/>
    <s v="Producer1"/>
    <n v="124"/>
  </r>
  <r>
    <s v="Waldeck 2"/>
    <x v="6"/>
    <x v="1"/>
    <s v="deNode"/>
    <n v="38"/>
    <s v="Producer1"/>
    <n v="480"/>
  </r>
  <r>
    <s v="Waldeck1/Bringhausen"/>
    <x v="6"/>
    <x v="1"/>
    <s v="deNode"/>
    <n v="18"/>
    <s v="Producer1"/>
    <n v="143"/>
  </r>
  <r>
    <s v="Wedel3"/>
    <x v="2"/>
    <x v="1"/>
    <s v="deNode"/>
    <n v="21"/>
    <s v="Producer1"/>
    <n v="137"/>
  </r>
  <r>
    <s v="Wedel4"/>
    <x v="2"/>
    <x v="1"/>
    <s v="deNode"/>
    <n v="34"/>
    <s v="Producer1"/>
    <n v="123"/>
  </r>
  <r>
    <s v="Wehr"/>
    <x v="6"/>
    <x v="1"/>
    <s v="deNode"/>
    <n v="21"/>
    <s v="Producer1"/>
    <n v="910"/>
  </r>
  <r>
    <s v="Weiher"/>
    <x v="2"/>
    <x v="1"/>
    <s v="deNode"/>
    <n v="3"/>
    <s v="Producer1"/>
    <n v="655.6"/>
  </r>
  <r>
    <s v="Weisweiler"/>
    <x v="5"/>
    <x v="1"/>
    <s v="deNode"/>
    <n v="19"/>
    <s v="Producer1"/>
    <n v="592"/>
  </r>
  <r>
    <s v="Weisweiler2"/>
    <x v="5"/>
    <x v="1"/>
    <s v="deNode"/>
    <n v="11"/>
    <s v="Producer1"/>
    <n v="592"/>
  </r>
  <r>
    <s v="Weisweiler3"/>
    <x v="5"/>
    <x v="1"/>
    <s v="deNode"/>
    <n v="36"/>
    <s v="Producer1"/>
    <n v="312"/>
  </r>
  <r>
    <s v="Weisweiler4"/>
    <x v="5"/>
    <x v="1"/>
    <s v="deNode"/>
    <n v="19"/>
    <s v="Producer1"/>
    <n v="304"/>
  </r>
  <r>
    <s v="Weisweiler5"/>
    <x v="0"/>
    <x v="0"/>
    <s v="deNode"/>
    <n v="25"/>
    <s v="Producer1"/>
    <n v="272"/>
  </r>
  <r>
    <s v="Weisweiler6"/>
    <x v="0"/>
    <x v="0"/>
    <s v="deNode"/>
    <n v="2"/>
    <s v="Producer1"/>
    <n v="272"/>
  </r>
  <r>
    <s v="Wendefurth"/>
    <x v="6"/>
    <x v="1"/>
    <s v="deNode"/>
    <n v="20"/>
    <s v="Producer1"/>
    <n v="79.7"/>
  </r>
  <r>
    <s v="Westfalen"/>
    <x v="2"/>
    <x v="1"/>
    <s v="deNode"/>
    <n v="4"/>
    <s v="Producer1"/>
    <n v="765"/>
  </r>
  <r>
    <s v="Westfalen2"/>
    <x v="2"/>
    <x v="1"/>
    <s v="deNode"/>
    <n v="17"/>
    <s v="Producer1"/>
    <n v="765"/>
  </r>
  <r>
    <s v="Wilhelmshaven2"/>
    <x v="2"/>
    <x v="1"/>
    <s v="deNode"/>
    <n v="18"/>
    <s v="Producer1"/>
    <n v="757"/>
  </r>
  <r>
    <s v="Wilmersdorf"/>
    <x v="1"/>
    <x v="1"/>
    <s v="deNode"/>
    <n v="18"/>
    <s v="Producer1"/>
    <n v="276"/>
  </r>
  <r>
    <s v="Wintershall"/>
    <x v="0"/>
    <x v="0"/>
    <s v="deNode"/>
    <n v="27"/>
    <s v="Producer1"/>
    <n v="109.5"/>
  </r>
  <r>
    <s v="Witznau"/>
    <x v="6"/>
    <x v="1"/>
    <s v="deNode"/>
    <n v="31"/>
    <s v="Producer1"/>
    <n v="220"/>
  </r>
  <r>
    <s v="Zolling3"/>
    <x v="2"/>
    <x v="1"/>
    <s v="deNode"/>
    <n v="16"/>
    <s v="Producer1"/>
    <n v="472"/>
  </r>
  <r>
    <s v="EnergyStorageTest"/>
    <x v="11"/>
    <x v="2"/>
    <s v="deNode"/>
    <n v="3"/>
    <s v="Producer2"/>
    <n v="1"/>
  </r>
  <r>
    <m/>
    <x v="12"/>
    <x v="3"/>
    <m/>
    <m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n v="5"/>
    <n v="4000"/>
  </r>
  <r>
    <x v="0"/>
    <n v="6"/>
    <n v="4000"/>
  </r>
  <r>
    <x v="0"/>
    <n v="7"/>
    <n v="4000"/>
  </r>
  <r>
    <x v="0"/>
    <n v="8"/>
    <n v="4000"/>
  </r>
  <r>
    <x v="1"/>
    <n v="6"/>
    <n v="4000"/>
  </r>
  <r>
    <x v="2"/>
    <n v="5"/>
    <n v="60000"/>
  </r>
  <r>
    <x v="3"/>
    <n v="5"/>
    <n v="39000"/>
  </r>
  <r>
    <x v="4"/>
    <n v="5"/>
    <n v="12000"/>
  </r>
  <r>
    <x v="5"/>
    <n v="8"/>
    <n v="400"/>
  </r>
  <r>
    <x v="6"/>
    <n v="8"/>
    <n v="2000"/>
  </r>
  <r>
    <x v="1"/>
    <n v="1"/>
    <n v="6000"/>
  </r>
  <r>
    <x v="7"/>
    <m/>
    <m/>
  </r>
  <r>
    <x v="7"/>
    <m/>
    <m/>
  </r>
  <r>
    <x v="7"/>
    <m/>
    <m/>
  </r>
  <r>
    <x v="7"/>
    <m/>
    <m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n v="25"/>
    <n v="631"/>
    <n v="0.42"/>
    <n v="0.80000000000000016"/>
    <s v="NL"/>
    <n v="0"/>
    <n v="0"/>
  </r>
  <r>
    <x v="1"/>
    <n v="4"/>
    <n v="790"/>
    <n v="0.46"/>
    <n v="0.9"/>
    <s v="NL"/>
    <n v="0"/>
    <n v="0"/>
  </r>
  <r>
    <x v="1"/>
    <n v="5"/>
    <n v="2640"/>
    <n v="0.46"/>
    <n v="0.9"/>
    <s v="NL"/>
    <n v="0"/>
    <n v="0"/>
  </r>
  <r>
    <x v="1"/>
    <n v="24"/>
    <n v="630"/>
    <n v="0.41"/>
    <n v="0.9"/>
    <s v="NL"/>
    <n v="0"/>
    <n v="0"/>
  </r>
  <r>
    <x v="2"/>
    <n v="1"/>
    <n v="341"/>
    <n v="0.52"/>
    <n v="0.9"/>
    <s v="NL"/>
    <n v="0"/>
    <n v="0"/>
  </r>
  <r>
    <x v="2"/>
    <n v="2"/>
    <n v="800"/>
    <n v="0.56000000000000005"/>
    <n v="0.9"/>
    <s v="NL"/>
    <n v="0"/>
    <n v="0"/>
  </r>
  <r>
    <x v="2"/>
    <n v="3"/>
    <n v="874"/>
    <n v="0.57999999999999996"/>
    <n v="0.9"/>
    <s v="NL"/>
    <n v="0"/>
    <n v="0"/>
  </r>
  <r>
    <x v="2"/>
    <n v="4"/>
    <n v="420"/>
    <n v="0.59"/>
    <n v="0.9"/>
    <s v="NL"/>
    <n v="0"/>
    <n v="0"/>
  </r>
  <r>
    <x v="2"/>
    <n v="6"/>
    <n v="872"/>
    <n v="0.58498853211009172"/>
    <n v="0.9"/>
    <s v="NL"/>
    <n v="0"/>
    <n v="0"/>
  </r>
  <r>
    <x v="2"/>
    <n v="7"/>
    <n v="420"/>
    <n v="0.59"/>
    <n v="0.9"/>
    <s v="NL"/>
    <n v="0"/>
    <n v="0"/>
  </r>
  <r>
    <x v="2"/>
    <n v="8"/>
    <n v="426"/>
    <n v="0.57999999999999996"/>
    <n v="0.9"/>
    <s v="NL"/>
    <n v="0"/>
    <n v="0"/>
  </r>
  <r>
    <x v="2"/>
    <n v="9"/>
    <n v="1295"/>
    <n v="0.58798455598455601"/>
    <n v="0.9"/>
    <s v="NL"/>
    <n v="0"/>
    <n v="0"/>
  </r>
  <r>
    <x v="2"/>
    <n v="10"/>
    <n v="870"/>
    <n v="0.59"/>
    <n v="0.9"/>
    <s v="NL"/>
    <n v="0"/>
    <n v="0"/>
  </r>
  <r>
    <x v="2"/>
    <n v="19"/>
    <n v="245"/>
    <n v="0.51"/>
    <n v="0.9"/>
    <s v="NL"/>
    <n v="0"/>
    <n v="0"/>
  </r>
  <r>
    <x v="2"/>
    <n v="22"/>
    <n v="682"/>
    <n v="0.52"/>
    <n v="0.9"/>
    <s v="NL"/>
    <n v="0"/>
    <n v="0"/>
  </r>
  <r>
    <x v="2"/>
    <n v="23"/>
    <n v="341"/>
    <n v="0.52"/>
    <n v="0.9"/>
    <s v="NL"/>
    <n v="0"/>
    <n v="0"/>
  </r>
  <r>
    <x v="3"/>
    <n v="14"/>
    <n v="40.207000000000001"/>
    <n v="1"/>
    <n v="1"/>
    <s v="NL"/>
    <n v="0"/>
    <n v="0"/>
  </r>
  <r>
    <x v="4"/>
    <n v="13"/>
    <n v="484"/>
    <n v="0.34"/>
    <n v="0.94999999975000005"/>
    <s v="NL"/>
    <n v="0"/>
    <n v="0"/>
  </r>
  <r>
    <x v="5"/>
    <n v="0"/>
    <n v="2400.5369999999998"/>
    <n v="1"/>
    <n v="1"/>
    <s v="NL"/>
    <n v="0"/>
    <n v="0"/>
  </r>
  <r>
    <x v="5"/>
    <n v="1"/>
    <n v="1527.3040000000001"/>
    <n v="1"/>
    <n v="1"/>
    <s v="NL"/>
    <n v="0"/>
    <n v="0"/>
  </r>
  <r>
    <x v="5"/>
    <n v="2"/>
    <n v="588.56900000000007"/>
    <n v="1"/>
    <n v="1"/>
    <s v="NL"/>
    <n v="0"/>
    <n v="0"/>
  </r>
  <r>
    <x v="5"/>
    <n v="3"/>
    <n v="633.91399999999999"/>
    <n v="1"/>
    <n v="1"/>
    <s v="NL"/>
    <n v="0"/>
    <n v="0"/>
  </r>
  <r>
    <x v="5"/>
    <n v="4"/>
    <n v="498.2"/>
    <n v="1"/>
    <n v="1"/>
    <s v="NL"/>
    <n v="0"/>
    <n v="0"/>
  </r>
  <r>
    <x v="5"/>
    <n v="5"/>
    <n v="492.642"/>
    <n v="1"/>
    <n v="1"/>
    <s v="NL"/>
    <n v="0"/>
    <n v="0"/>
  </r>
  <r>
    <x v="5"/>
    <n v="6"/>
    <n v="648.74400000000003"/>
    <n v="1"/>
    <n v="1"/>
    <s v="NL"/>
    <n v="0"/>
    <n v="0"/>
  </r>
  <r>
    <x v="6"/>
    <n v="2"/>
    <n v="203.696"/>
    <n v="1"/>
    <n v="1"/>
    <s v="NL"/>
    <n v="0"/>
    <n v="0"/>
  </r>
  <r>
    <x v="6"/>
    <n v="3"/>
    <n v="758.99400000000003"/>
    <n v="1"/>
    <n v="1"/>
    <s v="NL"/>
    <n v="0"/>
    <n v="0"/>
  </r>
  <r>
    <x v="7"/>
    <n v="0"/>
    <n v="341.774"/>
    <n v="1"/>
    <n v="1"/>
    <s v="NL"/>
    <n v="0"/>
    <n v="0"/>
  </r>
  <r>
    <x v="7"/>
    <n v="1"/>
    <n v="425.90300000000002"/>
    <n v="1"/>
    <n v="1"/>
    <s v="NL"/>
    <n v="0"/>
    <n v="0"/>
  </r>
  <r>
    <x v="7"/>
    <n v="2"/>
    <n v="551.90700000000004"/>
    <n v="1"/>
    <n v="1"/>
    <s v="NL"/>
    <n v="0"/>
    <n v="0"/>
  </r>
  <r>
    <x v="7"/>
    <n v="3"/>
    <n v="659.47300000000007"/>
    <n v="1"/>
    <n v="1"/>
    <s v="NL"/>
    <n v="0"/>
    <n v="0"/>
  </r>
  <r>
    <x v="7"/>
    <n v="11"/>
    <n v="638.66199999999992"/>
    <n v="1"/>
    <n v="1"/>
    <s v="NL"/>
    <n v="0"/>
    <n v="0"/>
  </r>
  <r>
    <x v="7"/>
    <n v="12"/>
    <n v="317.36399999999998"/>
    <n v="1"/>
    <n v="1"/>
    <s v="NL"/>
    <n v="0"/>
    <n v="0"/>
  </r>
  <r>
    <x v="7"/>
    <n v="13"/>
    <n v="285.59800000000001"/>
    <n v="1"/>
    <n v="1"/>
    <s v="NL"/>
    <n v="0"/>
    <n v="0"/>
  </r>
  <r>
    <x v="7"/>
    <n v="14"/>
    <n v="1016.313"/>
    <n v="1"/>
    <n v="1"/>
    <s v="NL"/>
    <n v="0"/>
    <n v="0"/>
  </r>
  <r>
    <x v="8"/>
    <n v="33"/>
    <n v="643"/>
    <n v="0.38765163297045102"/>
    <n v="0.9"/>
    <s v="NL"/>
    <n v="0"/>
    <n v="0"/>
  </r>
  <r>
    <x v="8"/>
    <n v="45"/>
    <n v="460"/>
    <n v="0.36299999999999999"/>
    <n v="0.9"/>
    <s v="NL"/>
    <n v="0"/>
    <n v="0"/>
  </r>
  <r>
    <x v="9"/>
    <n v="14"/>
    <n v="1.7679999999999969"/>
    <n v="0.3"/>
    <n v="0.74200913242009103"/>
    <s v="NL"/>
    <n v="0"/>
    <n v="0"/>
  </r>
  <r>
    <x v="10"/>
    <n v="6"/>
    <n v="444.2"/>
    <n v="0.58440792435839717"/>
    <n v="0.89171544349392173"/>
    <s v="NL"/>
    <n v="0"/>
    <n v="0"/>
  </r>
  <r>
    <x v="10"/>
    <n v="11"/>
    <n v="862.64"/>
    <n v="0.40999999999999992"/>
    <n v="0.9"/>
    <s v="NL"/>
    <n v="0"/>
    <n v="0"/>
  </r>
  <r>
    <x v="10"/>
    <n v="12"/>
    <n v="721"/>
    <n v="0.40999999999999992"/>
    <n v="0.9"/>
    <s v="NL"/>
    <n v="0"/>
    <n v="0"/>
  </r>
  <r>
    <x v="10"/>
    <n v="13"/>
    <n v="641"/>
    <n v="0.41"/>
    <n v="0.9"/>
    <s v="NL"/>
    <n v="0"/>
    <n v="0"/>
  </r>
  <r>
    <x v="10"/>
    <n v="14"/>
    <n v="739.29300000000001"/>
    <n v="0.29418898900706492"/>
    <n v="0.85153338326238082"/>
    <s v="NL"/>
    <n v="0"/>
    <n v="0"/>
  </r>
  <r>
    <x v="10"/>
    <n v="19"/>
    <n v="541.81700000000001"/>
    <n v="0.40885261998054689"/>
    <n v="0.80465495256227204"/>
    <s v="NL"/>
    <n v="0"/>
    <n v="0"/>
  </r>
  <r>
    <x v="10"/>
    <n v="20"/>
    <n v="557.93399999999997"/>
    <n v="0.41587463750192682"/>
    <n v="0.90357265448136415"/>
    <s v="NL"/>
    <n v="0"/>
    <n v="0"/>
  </r>
  <r>
    <x v="10"/>
    <n v="22"/>
    <n v="1040.24"/>
    <n v="0.35755348765669459"/>
    <n v="0.90748031496062997"/>
    <s v="NL"/>
    <n v="0"/>
    <n v="0"/>
  </r>
  <r>
    <x v="10"/>
    <n v="23"/>
    <n v="1101.962"/>
    <n v="0.4374676880872479"/>
    <n v="0.86452184587633829"/>
    <s v="NL"/>
    <n v="0"/>
    <n v="0"/>
  </r>
  <r>
    <x v="10"/>
    <n v="28"/>
    <n v="655.18101000000001"/>
    <n v="0.35211968384126402"/>
    <n v="0.83900354082941675"/>
    <s v="NL"/>
    <n v="0"/>
    <n v="0"/>
  </r>
  <r>
    <x v="10"/>
    <n v="29"/>
    <n v="385.096"/>
    <n v="0.37457672891954208"/>
    <n v="0.84204432141595875"/>
    <s v="NL"/>
    <n v="0"/>
    <n v="0"/>
  </r>
  <r>
    <x v="10"/>
    <n v="32"/>
    <n v="811.6"/>
    <n v="0.3692304313085264"/>
    <n v="0.88620009857072435"/>
    <s v="NL"/>
    <n v="0"/>
    <n v="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">
  <r>
    <n v="68"/>
    <x v="0"/>
    <x v="0"/>
    <n v="3.04"/>
    <n v="0.3"/>
    <n v="0.9"/>
    <s v="NL"/>
    <s v="ProducerNL"/>
    <n v="0"/>
    <n v="0"/>
  </r>
  <r>
    <n v="67"/>
    <x v="0"/>
    <x v="1"/>
    <n v="5"/>
    <n v="0.3"/>
    <n v="0.9"/>
    <s v="NL"/>
    <s v="ProducerNL"/>
    <n v="0"/>
    <n v="0"/>
  </r>
  <r>
    <n v="135"/>
    <x v="1"/>
    <x v="2"/>
    <n v="324"/>
    <n v="0.36299999999999999"/>
    <n v="0.9"/>
    <s v="NL"/>
    <s v="ProducerNL"/>
    <n v="0"/>
    <n v="0"/>
  </r>
  <r>
    <n v="136"/>
    <x v="1"/>
    <x v="2"/>
    <n v="136"/>
    <n v="0.36299999999999999"/>
    <n v="0.9"/>
    <s v="NL"/>
    <s v="ProducerNL"/>
    <n v="0"/>
    <n v="0"/>
  </r>
  <r>
    <n v="66"/>
    <x v="0"/>
    <x v="3"/>
    <n v="10.5"/>
    <n v="0.3"/>
    <n v="0.9"/>
    <s v="NL"/>
    <s v="ProducerNL"/>
    <n v="0"/>
    <n v="0"/>
  </r>
  <r>
    <n v="110"/>
    <x v="0"/>
    <x v="4"/>
    <n v="29"/>
    <n v="0.18"/>
    <n v="0.7"/>
    <s v="NL"/>
    <s v="ProducerNL"/>
    <n v="0"/>
    <n v="0"/>
  </r>
  <r>
    <n v="98"/>
    <x v="0"/>
    <x v="5"/>
    <n v="50"/>
    <n v="0.35828470000000001"/>
    <n v="0.9"/>
    <s v="NL"/>
    <s v="ProducerNL"/>
    <n v="0"/>
    <n v="0"/>
  </r>
  <r>
    <n v="112"/>
    <x v="0"/>
    <x v="5"/>
    <n v="27.5"/>
    <n v="0.27834370000000003"/>
    <n v="0.9"/>
    <s v="NL"/>
    <s v="ProducerNL"/>
    <n v="0"/>
    <n v="0"/>
  </r>
  <r>
    <n v="63"/>
    <x v="0"/>
    <x v="6"/>
    <n v="27"/>
    <n v="0.11"/>
    <n v="0.7"/>
    <s v="NL"/>
    <s v="ProducerNL"/>
    <n v="0"/>
    <n v="0"/>
  </r>
  <r>
    <n v="74"/>
    <x v="0"/>
    <x v="7"/>
    <n v="97"/>
    <n v="0.38"/>
    <n v="0.9"/>
    <s v="NL"/>
    <s v="ProducerNL"/>
    <n v="0"/>
    <n v="0"/>
  </r>
  <r>
    <n v="115"/>
    <x v="0"/>
    <x v="7"/>
    <n v="25"/>
    <n v="0.42"/>
    <n v="0.9"/>
    <s v="NL"/>
    <s v="ProducerNL"/>
    <n v="0"/>
    <n v="0"/>
  </r>
  <r>
    <n v="116"/>
    <x v="0"/>
    <x v="7"/>
    <n v="25"/>
    <n v="0.42"/>
    <n v="0.9"/>
    <s v="NL"/>
    <s v="ProducerNL"/>
    <n v="0"/>
    <n v="0"/>
  </r>
  <r>
    <n v="76"/>
    <x v="0"/>
    <x v="8"/>
    <n v="26"/>
    <n v="0.41"/>
    <n v="0.9"/>
    <s v="NL"/>
    <s v="ProducerNL"/>
    <n v="0"/>
    <n v="0"/>
  </r>
  <r>
    <n v="90"/>
    <x v="0"/>
    <x v="9"/>
    <n v="103"/>
    <n v="0.42"/>
    <n v="0.9"/>
    <s v="NL"/>
    <s v="ProducerNL"/>
    <n v="0"/>
    <n v="0"/>
  </r>
  <r>
    <n v="108"/>
    <x v="0"/>
    <x v="9"/>
    <n v="36.6"/>
    <n v="0.32"/>
    <n v="0.9"/>
    <s v="NL"/>
    <s v="ProducerNL"/>
    <n v="0"/>
    <n v="0"/>
  </r>
  <r>
    <n v="117"/>
    <x v="0"/>
    <x v="9"/>
    <n v="25"/>
    <n v="0.3"/>
    <n v="0.9"/>
    <s v="NL"/>
    <s v="ProducerNL"/>
    <n v="0"/>
    <n v="0"/>
  </r>
  <r>
    <n v="64"/>
    <x v="0"/>
    <x v="10"/>
    <n v="27"/>
    <n v="0.3"/>
    <n v="0.9"/>
    <s v="NL"/>
    <s v="ProducerNL"/>
    <n v="0"/>
    <n v="0"/>
  </r>
  <r>
    <n v="107"/>
    <x v="0"/>
    <x v="10"/>
    <n v="37"/>
    <n v="0.19315489999999999"/>
    <n v="0.9"/>
    <s v="NL"/>
    <s v="ProducerNL"/>
    <n v="0"/>
    <n v="0"/>
  </r>
  <r>
    <n v="140"/>
    <x v="1"/>
    <x v="10"/>
    <n v="375"/>
    <n v="0.38"/>
    <n v="0.9"/>
    <s v="NL"/>
    <s v="ProducerNL"/>
    <n v="0"/>
    <n v="0"/>
  </r>
  <r>
    <n v="75"/>
    <x v="0"/>
    <x v="11"/>
    <n v="81"/>
    <n v="0.42"/>
    <n v="0.9"/>
    <s v="NL"/>
    <s v="ProducerNL"/>
    <n v="0"/>
    <n v="0"/>
  </r>
  <r>
    <n v="84"/>
    <x v="0"/>
    <x v="11"/>
    <n v="180"/>
    <n v="0.45"/>
    <n v="0.9"/>
    <s v="NL"/>
    <s v="ProducerNL"/>
    <n v="0"/>
    <n v="0"/>
  </r>
  <r>
    <n v="111"/>
    <x v="0"/>
    <x v="12"/>
    <n v="28"/>
    <n v="0.41"/>
    <n v="0.9"/>
    <s v="NL"/>
    <s v="ProducerNL"/>
    <n v="0"/>
    <n v="0"/>
  </r>
  <r>
    <n v="83"/>
    <x v="0"/>
    <x v="13"/>
    <n v="217"/>
    <n v="0.42"/>
    <n v="0.9"/>
    <s v="NL"/>
    <s v="ProducerNL"/>
    <n v="0"/>
    <n v="0"/>
  </r>
  <r>
    <n v="94"/>
    <x v="0"/>
    <x v="13"/>
    <n v="78.129000000000005"/>
    <n v="0.25"/>
    <n v="0.9"/>
    <s v="NL"/>
    <s v="ProducerNL"/>
    <n v="0"/>
    <n v="0"/>
  </r>
  <r>
    <n v="97"/>
    <x v="0"/>
    <x v="13"/>
    <n v="50.8"/>
    <n v="0.38"/>
    <n v="0.9"/>
    <s v="NL"/>
    <s v="ProducerNL"/>
    <n v="0"/>
    <n v="0"/>
  </r>
  <r>
    <n v="125"/>
    <x v="0"/>
    <x v="13"/>
    <n v="11.167"/>
    <n v="0.25"/>
    <n v="0.5"/>
    <s v="NL"/>
    <s v="ProducerNL"/>
    <n v="0"/>
    <n v="0"/>
  </r>
  <r>
    <n v="85"/>
    <x v="0"/>
    <x v="14"/>
    <n v="137.6"/>
    <n v="0.39"/>
    <n v="0.9"/>
    <s v="NL"/>
    <s v="ProducerNL"/>
    <n v="0"/>
    <n v="0"/>
  </r>
  <r>
    <n v="86"/>
    <x v="0"/>
    <x v="14"/>
    <n v="134.35"/>
    <n v="0.39"/>
    <n v="0.5"/>
    <s v="NL"/>
    <s v="ProducerNL"/>
    <n v="0"/>
    <n v="0"/>
  </r>
  <r>
    <n v="87"/>
    <x v="0"/>
    <x v="14"/>
    <n v="114.60001"/>
    <n v="0.39"/>
    <n v="0.5"/>
    <s v="NL"/>
    <s v="ProducerNL"/>
    <n v="0"/>
    <n v="0"/>
  </r>
  <r>
    <n v="93"/>
    <x v="0"/>
    <x v="14"/>
    <n v="88.090999999999994"/>
    <n v="0.23"/>
    <n v="0.9"/>
    <s v="NL"/>
    <s v="ProducerNL"/>
    <n v="0"/>
    <n v="0"/>
  </r>
  <r>
    <n v="106"/>
    <x v="0"/>
    <x v="14"/>
    <n v="38"/>
    <n v="0.32"/>
    <n v="0.95"/>
    <s v="NL"/>
    <s v="ProducerNL"/>
    <n v="0"/>
    <n v="0"/>
  </r>
  <r>
    <n v="122"/>
    <x v="0"/>
    <x v="14"/>
    <n v="14.54"/>
    <n v="0.39"/>
    <n v="0.9"/>
    <s v="NL"/>
    <s v="ProducerNL"/>
    <n v="0"/>
    <n v="0"/>
  </r>
  <r>
    <n v="59"/>
    <x v="0"/>
    <x v="15"/>
    <n v="45"/>
    <n v="0.33"/>
    <n v="0.9"/>
    <s v="NL"/>
    <s v="ProducerNL"/>
    <n v="0"/>
    <n v="0"/>
  </r>
  <r>
    <n v="101"/>
    <x v="0"/>
    <x v="15"/>
    <n v="46"/>
    <n v="0.35828470000000001"/>
    <n v="0.9"/>
    <s v="NL"/>
    <s v="ProducerNL"/>
    <n v="0"/>
    <n v="0"/>
  </r>
  <r>
    <n v="114"/>
    <x v="0"/>
    <x v="15"/>
    <n v="25.5"/>
    <n v="0.3"/>
    <n v="0.9"/>
    <s v="NL"/>
    <s v="ProducerNL"/>
    <n v="0"/>
    <n v="0"/>
  </r>
  <r>
    <n v="123"/>
    <x v="0"/>
    <x v="15"/>
    <n v="11.5"/>
    <n v="0.25"/>
    <n v="0.9"/>
    <s v="NL"/>
    <s v="ProducerNL"/>
    <n v="0"/>
    <n v="0"/>
  </r>
  <r>
    <n v="20"/>
    <x v="2"/>
    <x v="16"/>
    <n v="631"/>
    <n v="0.42"/>
    <n v="0.8"/>
    <s v="NL"/>
    <s v="ProducerNL"/>
    <n v="0"/>
    <n v="0"/>
  </r>
  <r>
    <n v="60"/>
    <x v="0"/>
    <x v="16"/>
    <n v="40"/>
    <n v="0.30277680000000001"/>
    <n v="0.9"/>
    <s v="NL"/>
    <s v="ProducerNL"/>
    <n v="0"/>
    <n v="0"/>
  </r>
  <r>
    <n v="95"/>
    <x v="0"/>
    <x v="16"/>
    <n v="54"/>
    <n v="0.32418039999999998"/>
    <n v="0.9"/>
    <s v="NL"/>
    <s v="ProducerNL"/>
    <n v="0"/>
    <n v="0"/>
  </r>
  <r>
    <n v="100"/>
    <x v="0"/>
    <x v="16"/>
    <n v="48"/>
    <n v="0.35828470000000001"/>
    <n v="0.9"/>
    <s v="NL"/>
    <s v="ProducerNL"/>
    <n v="0"/>
    <n v="0"/>
  </r>
  <r>
    <n v="119"/>
    <x v="0"/>
    <x v="16"/>
    <n v="24.5"/>
    <n v="0.32451750000000001"/>
    <n v="0.9"/>
    <s v="NL"/>
    <s v="ProducerNL"/>
    <n v="0"/>
    <n v="0"/>
  </r>
  <r>
    <n v="127"/>
    <x v="0"/>
    <x v="16"/>
    <n v="3.74"/>
    <n v="0.27"/>
    <n v="0.7"/>
    <s v="NL"/>
    <s v="ProducerNL"/>
    <n v="0"/>
    <n v="0"/>
  </r>
  <r>
    <n v="58"/>
    <x v="0"/>
    <x v="17"/>
    <n v="48.4"/>
    <n v="0.39"/>
    <n v="0.9"/>
    <s v="NL"/>
    <s v="ProducerNL"/>
    <n v="0"/>
    <n v="0"/>
  </r>
  <r>
    <n v="109"/>
    <x v="0"/>
    <x v="17"/>
    <n v="33"/>
    <n v="0.43584050000000002"/>
    <n v="0.9"/>
    <s v="NL"/>
    <s v="ProducerNL"/>
    <n v="0"/>
    <n v="0"/>
  </r>
  <r>
    <n v="124"/>
    <x v="0"/>
    <x v="17"/>
    <n v="11.5"/>
    <n v="0.35828470000000001"/>
    <n v="0.9"/>
    <s v="NL"/>
    <s v="ProducerNL"/>
    <n v="0"/>
    <n v="0"/>
  </r>
  <r>
    <n v="128"/>
    <x v="3"/>
    <x v="17"/>
    <n v="630"/>
    <n v="0.41"/>
    <n v="0.9"/>
    <s v="NL"/>
    <s v="ProducerNL"/>
    <n v="0"/>
    <n v="0"/>
  </r>
  <r>
    <n v="28"/>
    <x v="4"/>
    <x v="18"/>
    <n v="341"/>
    <n v="0.52"/>
    <n v="0.9"/>
    <s v="NL"/>
    <s v="ProducerNL"/>
    <n v="0"/>
    <n v="0"/>
  </r>
  <r>
    <n v="49"/>
    <x v="0"/>
    <x v="18"/>
    <n v="150"/>
    <n v="0.4"/>
    <n v="0.9"/>
    <s v="NL"/>
    <s v="ProducerNL"/>
    <n v="0"/>
    <n v="0"/>
  </r>
  <r>
    <n v="71"/>
    <x v="0"/>
    <x v="18"/>
    <n v="266"/>
    <n v="0.48"/>
    <n v="0.9"/>
    <s v="NL"/>
    <s v="ProducerNL"/>
    <n v="0"/>
    <n v="0"/>
  </r>
  <r>
    <n v="82"/>
    <x v="0"/>
    <x v="18"/>
    <n v="247"/>
    <n v="0.53"/>
    <n v="0.9"/>
    <s v="NL"/>
    <s v="ProducerNL"/>
    <n v="0"/>
    <n v="0"/>
  </r>
  <r>
    <n v="88"/>
    <x v="0"/>
    <x v="18"/>
    <n v="110.366"/>
    <n v="0.4"/>
    <n v="0.5"/>
    <s v="NL"/>
    <s v="ProducerNL"/>
    <n v="0"/>
    <n v="0"/>
  </r>
  <r>
    <n v="99"/>
    <x v="0"/>
    <x v="18"/>
    <n v="49.456000000000003"/>
    <n v="0.4"/>
    <n v="0.9"/>
    <s v="NL"/>
    <s v="ProducerNL"/>
    <n v="0"/>
    <n v="0"/>
  </r>
  <r>
    <n v="120"/>
    <x v="0"/>
    <x v="18"/>
    <n v="16"/>
    <n v="0.4"/>
    <n v="0.9"/>
    <s v="NL"/>
    <s v="ProducerNL"/>
    <n v="0"/>
    <n v="0"/>
  </r>
  <r>
    <n v="29"/>
    <x v="4"/>
    <x v="19"/>
    <n v="341"/>
    <n v="0.52"/>
    <n v="0.9"/>
    <s v="NL"/>
    <s v="ProducerNL"/>
    <n v="0"/>
    <n v="0"/>
  </r>
  <r>
    <n v="30"/>
    <x v="4"/>
    <x v="19"/>
    <n v="341"/>
    <n v="0.52"/>
    <n v="0.9"/>
    <s v="NL"/>
    <s v="ProducerNL"/>
    <n v="0"/>
    <n v="0"/>
  </r>
  <r>
    <n v="54"/>
    <x v="0"/>
    <x v="19"/>
    <n v="80"/>
    <n v="0.4"/>
    <n v="0.9"/>
    <s v="NL"/>
    <s v="ProducerNL"/>
    <n v="0"/>
    <n v="0"/>
  </r>
  <r>
    <n v="72"/>
    <x v="0"/>
    <x v="19"/>
    <n v="220"/>
    <n v="0.42"/>
    <n v="0.9"/>
    <s v="NL"/>
    <s v="ProducerNL"/>
    <n v="0"/>
    <n v="0"/>
  </r>
  <r>
    <n v="73"/>
    <x v="0"/>
    <x v="19"/>
    <n v="144"/>
    <n v="0.41"/>
    <n v="0.9"/>
    <s v="NL"/>
    <s v="ProducerNL"/>
    <n v="0"/>
    <n v="0"/>
  </r>
  <r>
    <n v="78"/>
    <x v="0"/>
    <x v="19"/>
    <n v="369"/>
    <n v="0.35"/>
    <n v="0.9"/>
    <s v="NL"/>
    <s v="ProducerNL"/>
    <n v="0"/>
    <n v="0"/>
  </r>
  <r>
    <n v="91"/>
    <x v="0"/>
    <x v="19"/>
    <n v="97.64"/>
    <n v="0.14599999999999999"/>
    <n v="0.95"/>
    <s v="NL"/>
    <s v="ProducerNL"/>
    <n v="0"/>
    <n v="0"/>
  </r>
  <r>
    <n v="92"/>
    <x v="0"/>
    <x v="19"/>
    <n v="90.6"/>
    <n v="0.36"/>
    <n v="0.9"/>
    <s v="NL"/>
    <s v="ProducerNL"/>
    <n v="0"/>
    <n v="0"/>
  </r>
  <r>
    <n v="105"/>
    <x v="0"/>
    <x v="19"/>
    <n v="39"/>
    <n v="0.32"/>
    <n v="0.9"/>
    <s v="NL"/>
    <s v="ProducerNL"/>
    <n v="0"/>
    <n v="0"/>
  </r>
  <r>
    <n v="57"/>
    <x v="0"/>
    <x v="20"/>
    <n v="52.634"/>
    <n v="0.4"/>
    <n v="0.9"/>
    <s v="NL"/>
    <s v="ProducerNL"/>
    <n v="0"/>
    <n v="0"/>
  </r>
  <r>
    <n v="118"/>
    <x v="0"/>
    <x v="20"/>
    <n v="25"/>
    <n v="0.32"/>
    <n v="0.95"/>
    <s v="NL"/>
    <s v="ProducerNL"/>
    <n v="0"/>
    <n v="0"/>
  </r>
  <r>
    <n v="55"/>
    <x v="0"/>
    <x v="21"/>
    <n v="79.2"/>
    <n v="0.4"/>
    <n v="0.9"/>
    <s v="NL"/>
    <s v="ProducerNL"/>
    <n v="0"/>
    <n v="0"/>
  </r>
  <r>
    <n v="79"/>
    <x v="0"/>
    <x v="21"/>
    <n v="350"/>
    <n v="0.45"/>
    <n v="0.9"/>
    <s v="NL"/>
    <s v="ProducerNL"/>
    <n v="0"/>
    <n v="0"/>
  </r>
  <r>
    <n v="96"/>
    <x v="0"/>
    <x v="21"/>
    <n v="51.1"/>
    <n v="0.27"/>
    <n v="0.9"/>
    <s v="NL"/>
    <s v="ProducerNL"/>
    <n v="0"/>
    <n v="0"/>
  </r>
  <r>
    <n v="34"/>
    <x v="4"/>
    <x v="22"/>
    <n v="245"/>
    <n v="0.51"/>
    <n v="0.9"/>
    <s v="NL"/>
    <s v="ProducerNL"/>
    <n v="0"/>
    <n v="0"/>
  </r>
  <r>
    <n v="56"/>
    <x v="0"/>
    <x v="22"/>
    <n v="62.167000000000002"/>
    <n v="0.4"/>
    <n v="0.9"/>
    <s v="NL"/>
    <s v="ProducerNL"/>
    <n v="0"/>
    <n v="0"/>
  </r>
  <r>
    <n v="81"/>
    <x v="0"/>
    <x v="22"/>
    <n v="253"/>
    <n v="0.41"/>
    <n v="0.5"/>
    <s v="NL"/>
    <s v="ProducerNL"/>
    <n v="0"/>
    <n v="0"/>
  </r>
  <r>
    <n v="89"/>
    <x v="0"/>
    <x v="22"/>
    <n v="103.19799999999999"/>
    <n v="0.41"/>
    <n v="0.5"/>
    <s v="NL"/>
    <s v="ProducerNL"/>
    <n v="0"/>
    <n v="0"/>
  </r>
  <r>
    <n v="102"/>
    <x v="0"/>
    <x v="22"/>
    <n v="44.485999999999997"/>
    <n v="0.41"/>
    <n v="0.9"/>
    <s v="NL"/>
    <s v="ProducerNL"/>
    <n v="0"/>
    <n v="0"/>
  </r>
  <r>
    <n v="121"/>
    <x v="0"/>
    <x v="22"/>
    <n v="15"/>
    <n v="0.41"/>
    <n v="0.9"/>
    <s v="NL"/>
    <s v="ProducerNL"/>
    <n v="0"/>
    <n v="0"/>
  </r>
  <r>
    <n v="61"/>
    <x v="0"/>
    <x v="23"/>
    <n v="38.6"/>
    <n v="0.41"/>
    <n v="0.9"/>
    <s v="NL"/>
    <s v="ProducerNL"/>
    <n v="0"/>
    <n v="0"/>
  </r>
  <r>
    <n v="65"/>
    <x v="0"/>
    <x v="24"/>
    <n v="25.366"/>
    <n v="0.41"/>
    <n v="0.9"/>
    <s v="NL"/>
    <s v="ProducerNL"/>
    <n v="0"/>
    <n v="0"/>
  </r>
  <r>
    <n v="62"/>
    <x v="0"/>
    <x v="25"/>
    <n v="34"/>
    <n v="0.41"/>
    <n v="0.9"/>
    <s v="NL"/>
    <s v="ProducerNL"/>
    <n v="0"/>
    <n v="0"/>
  </r>
  <r>
    <n v="104"/>
    <x v="0"/>
    <x v="25"/>
    <n v="43"/>
    <n v="0.32"/>
    <n v="0.9"/>
    <s v="NL"/>
    <s v="ProducerNL"/>
    <n v="0"/>
    <n v="0"/>
  </r>
  <r>
    <n v="113"/>
    <x v="0"/>
    <x v="25"/>
    <n v="27.5"/>
    <n v="0.2621211"/>
    <n v="0.95"/>
    <s v="NL"/>
    <s v="ProducerNL"/>
    <n v="0"/>
    <n v="0"/>
  </r>
  <r>
    <n v="47"/>
    <x v="0"/>
    <x v="26"/>
    <n v="78"/>
    <n v="0.1"/>
    <n v="0.9"/>
    <s v="NL"/>
    <s v="ProducerNL"/>
    <n v="0"/>
    <n v="0"/>
  </r>
  <r>
    <n v="53"/>
    <x v="0"/>
    <x v="26"/>
    <n v="82"/>
    <n v="0.41"/>
    <n v="0.9"/>
    <s v="NL"/>
    <s v="ProducerNL"/>
    <n v="0"/>
    <n v="0"/>
  </r>
  <r>
    <n v="137"/>
    <x v="1"/>
    <x v="26"/>
    <n v="124"/>
    <n v="0.35"/>
    <n v="0.9"/>
    <s v="NL"/>
    <s v="ProducerNL"/>
    <n v="0"/>
    <n v="0"/>
  </r>
  <r>
    <n v="51"/>
    <x v="0"/>
    <x v="27"/>
    <n v="121.033"/>
    <n v="0.41"/>
    <n v="0.9"/>
    <s v="NL"/>
    <s v="ProducerNL"/>
    <n v="0"/>
    <n v="0"/>
  </r>
  <r>
    <n v="80"/>
    <x v="0"/>
    <x v="27"/>
    <n v="310"/>
    <n v="0.26"/>
    <n v="0.9"/>
    <s v="NL"/>
    <s v="ProducerNL"/>
    <n v="0"/>
    <n v="0"/>
  </r>
  <r>
    <n v="103"/>
    <x v="0"/>
    <x v="27"/>
    <n v="43.76"/>
    <n v="0.25"/>
    <n v="0.25"/>
    <s v="NL"/>
    <s v="ProducerNL"/>
    <n v="0"/>
    <n v="0"/>
  </r>
  <r>
    <n v="196"/>
    <x v="5"/>
    <x v="27"/>
    <n v="413.43299999999999"/>
    <n v="1"/>
    <n v="1"/>
    <s v="NL"/>
    <s v="ProducerNL"/>
    <n v="0"/>
    <n v="0"/>
  </r>
  <r>
    <n v="48"/>
    <x v="0"/>
    <x v="28"/>
    <n v="641"/>
    <n v="0.41"/>
    <n v="0.9"/>
    <s v="NL"/>
    <s v="ProducerNL"/>
    <n v="0"/>
    <n v="0"/>
  </r>
  <r>
    <n v="133"/>
    <x v="6"/>
    <x v="28"/>
    <n v="41.279000000000003"/>
    <n v="1"/>
    <n v="1"/>
    <s v="NL"/>
    <s v="ProducerNL"/>
    <n v="0"/>
    <n v="0"/>
  </r>
  <r>
    <n v="134"/>
    <x v="7"/>
    <x v="28"/>
    <n v="484"/>
    <n v="0.34"/>
    <n v="0.94999999975000005"/>
    <s v="NL"/>
    <s v="ProducerNL"/>
    <n v="0"/>
    <n v="0"/>
  </r>
  <r>
    <n v="171"/>
    <x v="8"/>
    <x v="28"/>
    <n v="24.495000000000001"/>
    <n v="1"/>
    <n v="1"/>
    <s v="NL"/>
    <s v="ProducerNL"/>
    <n v="0"/>
    <n v="0"/>
  </r>
  <r>
    <n v="204"/>
    <x v="5"/>
    <x v="28"/>
    <n v="285.59800000000001"/>
    <n v="1"/>
    <n v="1"/>
    <s v="NL"/>
    <s v="ProducerNL"/>
    <n v="0"/>
    <n v="0"/>
  </r>
  <r>
    <n v="69"/>
    <x v="0"/>
    <x v="29"/>
    <n v="721"/>
    <n v="0.41"/>
    <n v="0.9"/>
    <s v="NL"/>
    <s v="ProducerNL"/>
    <n v="0"/>
    <n v="0"/>
  </r>
  <r>
    <n v="172"/>
    <x v="8"/>
    <x v="29"/>
    <n v="57.546999999999997"/>
    <n v="1"/>
    <n v="1"/>
    <s v="NL"/>
    <s v="ProducerNL"/>
    <n v="0"/>
    <n v="0"/>
  </r>
  <r>
    <n v="203"/>
    <x v="5"/>
    <x v="29"/>
    <n v="317.36399999999998"/>
    <n v="1"/>
    <n v="1"/>
    <s v="NL"/>
    <s v="ProducerNL"/>
    <n v="0"/>
    <n v="0"/>
  </r>
  <r>
    <n v="70"/>
    <x v="0"/>
    <x v="30"/>
    <n v="615"/>
    <n v="0.41"/>
    <n v="0.9"/>
    <s v="NL"/>
    <s v="ProducerNL"/>
    <n v="0"/>
    <n v="0"/>
  </r>
  <r>
    <n v="173"/>
    <x v="8"/>
    <x v="30"/>
    <n v="144.99700000000001"/>
    <n v="1"/>
    <n v="1"/>
    <s v="NL"/>
    <s v="ProducerNL"/>
    <n v="0"/>
    <n v="0"/>
  </r>
  <r>
    <n v="193"/>
    <x v="5"/>
    <x v="30"/>
    <n v="442.11399999999998"/>
    <n v="1"/>
    <n v="1"/>
    <s v="NL"/>
    <s v="ProducerNL"/>
    <n v="0"/>
    <n v="0"/>
  </r>
  <r>
    <n v="22"/>
    <x v="4"/>
    <x v="31"/>
    <n v="435"/>
    <n v="0.59"/>
    <n v="0.9"/>
    <s v="NL"/>
    <s v="ProducerNL"/>
    <n v="0"/>
    <n v="0"/>
  </r>
  <r>
    <n v="23"/>
    <x v="4"/>
    <x v="31"/>
    <n v="435"/>
    <n v="0.59"/>
    <n v="0.9"/>
    <s v="NL"/>
    <s v="ProducerNL"/>
    <n v="0"/>
    <n v="0"/>
  </r>
  <r>
    <n v="50"/>
    <x v="0"/>
    <x v="31"/>
    <n v="132.63999999999999"/>
    <n v="0.41"/>
    <n v="0.9"/>
    <s v="NL"/>
    <s v="ProducerNL"/>
    <n v="0"/>
    <n v="0"/>
  </r>
  <r>
    <n v="24"/>
    <x v="4"/>
    <x v="32"/>
    <n v="435"/>
    <n v="0.58699999999999997"/>
    <n v="0.9"/>
    <s v="NL"/>
    <s v="ProducerNL"/>
    <n v="0"/>
    <n v="0"/>
  </r>
  <r>
    <n v="25"/>
    <x v="4"/>
    <x v="32"/>
    <n v="435"/>
    <n v="0.58699999999999997"/>
    <n v="0.9"/>
    <s v="NL"/>
    <s v="ProducerNL"/>
    <n v="0"/>
    <n v="0"/>
  </r>
  <r>
    <n v="27"/>
    <x v="4"/>
    <x v="32"/>
    <n v="425"/>
    <n v="0.59"/>
    <n v="0.9"/>
    <s v="NL"/>
    <s v="ProducerNL"/>
    <n v="0"/>
    <n v="0"/>
  </r>
  <r>
    <n v="52"/>
    <x v="0"/>
    <x v="32"/>
    <n v="115"/>
    <n v="0.41"/>
    <n v="0.9"/>
    <s v="NL"/>
    <s v="ProducerNL"/>
    <n v="0"/>
    <n v="0"/>
  </r>
  <r>
    <n v="208"/>
    <x v="5"/>
    <x v="32"/>
    <n v="157.977"/>
    <n v="1"/>
    <n v="1"/>
    <s v="NL"/>
    <s v="ProducerNL"/>
    <n v="0"/>
    <n v="0"/>
  </r>
  <r>
    <n v="26"/>
    <x v="4"/>
    <x v="33"/>
    <n v="426"/>
    <n v="0.57999999999999996"/>
    <n v="0.9"/>
    <s v="NL"/>
    <s v="ProducerNL"/>
    <n v="0"/>
    <n v="0"/>
  </r>
  <r>
    <n v="36"/>
    <x v="4"/>
    <x v="34"/>
    <n v="420"/>
    <n v="0.59"/>
    <n v="0.9"/>
    <s v="NL"/>
    <s v="ProducerNL"/>
    <n v="0"/>
    <n v="0"/>
  </r>
  <r>
    <n v="138"/>
    <x v="1"/>
    <x v="34"/>
    <n v="72"/>
    <n v="0.44"/>
    <n v="0.9"/>
    <s v="NL"/>
    <s v="ProducerNL"/>
    <n v="0"/>
    <n v="0"/>
  </r>
  <r>
    <n v="139"/>
    <x v="1"/>
    <x v="34"/>
    <n v="72"/>
    <n v="0.44"/>
    <n v="0.9"/>
    <s v="NL"/>
    <s v="ProducerNL"/>
    <n v="0"/>
    <n v="0"/>
  </r>
  <r>
    <n v="170"/>
    <x v="9"/>
    <x v="34"/>
    <n v="270.87700000000001"/>
    <n v="1"/>
    <n v="1"/>
    <s v="NL"/>
    <s v="ProducerNL"/>
    <n v="0"/>
    <n v="0"/>
  </r>
  <r>
    <n v="206"/>
    <x v="5"/>
    <x v="34"/>
    <n v="203.58"/>
    <n v="1"/>
    <n v="1"/>
    <s v="NL"/>
    <s v="ProducerNL"/>
    <n v="0"/>
    <n v="0"/>
  </r>
  <r>
    <n v="35"/>
    <x v="4"/>
    <x v="35"/>
    <n v="435"/>
    <n v="0.59"/>
    <n v="0.9"/>
    <s v="NL"/>
    <s v="ProducerNL"/>
    <n v="0"/>
    <n v="0"/>
  </r>
  <r>
    <n v="38"/>
    <x v="4"/>
    <x v="35"/>
    <n v="437"/>
    <n v="0.57999999999999996"/>
    <n v="0.9"/>
    <s v="NL"/>
    <s v="ProducerNL"/>
    <n v="0"/>
    <n v="0"/>
  </r>
  <r>
    <n v="77"/>
    <x v="0"/>
    <x v="35"/>
    <n v="435"/>
    <n v="0.59"/>
    <n v="0.9"/>
    <s v="NL"/>
    <s v="ProducerNL"/>
    <n v="0"/>
    <n v="0"/>
  </r>
  <r>
    <n v="169"/>
    <x v="9"/>
    <x v="35"/>
    <n v="377.86700000000002"/>
    <n v="1"/>
    <n v="1"/>
    <s v="NL"/>
    <s v="ProducerNL"/>
    <n v="0"/>
    <n v="0"/>
  </r>
  <r>
    <n v="126"/>
    <x v="0"/>
    <x v="36"/>
    <n v="9.1999999999999993"/>
    <n v="0.32"/>
    <n v="0.5"/>
    <s v="NL"/>
    <s v="ProducerNL"/>
    <n v="0"/>
    <n v="0"/>
  </r>
  <r>
    <n v="129"/>
    <x v="3"/>
    <x v="36"/>
    <n v="1070"/>
    <n v="0.46"/>
    <n v="0.9"/>
    <s v="NL"/>
    <s v="ProducerNL"/>
    <n v="0"/>
    <n v="0"/>
  </r>
  <r>
    <n v="130"/>
    <x v="3"/>
    <x v="36"/>
    <n v="790"/>
    <n v="0.46"/>
    <n v="0.9"/>
    <s v="NL"/>
    <s v="ProducerNL"/>
    <n v="0"/>
    <n v="0"/>
  </r>
  <r>
    <n v="132"/>
    <x v="3"/>
    <x v="36"/>
    <n v="780"/>
    <n v="0.46"/>
    <n v="0.9"/>
    <s v="NL"/>
    <s v="ProducerNL"/>
    <n v="0"/>
    <n v="0"/>
  </r>
  <r>
    <n v="168"/>
    <x v="9"/>
    <x v="36"/>
    <n v="492.642"/>
    <n v="1"/>
    <n v="1"/>
    <s v="NL"/>
    <s v="ProducerNL"/>
    <n v="0"/>
    <n v="0"/>
  </r>
  <r>
    <n v="37"/>
    <x v="4"/>
    <x v="37"/>
    <n v="420"/>
    <n v="0.59"/>
    <n v="0.9"/>
    <s v="NL"/>
    <s v="ProducerNL"/>
    <n v="0"/>
    <n v="0"/>
  </r>
  <r>
    <n v="131"/>
    <x v="3"/>
    <x v="37"/>
    <n v="790"/>
    <n v="0.46"/>
    <n v="0.9"/>
    <s v="NL"/>
    <s v="ProducerNL"/>
    <n v="0"/>
    <n v="0"/>
  </r>
  <r>
    <n v="167"/>
    <x v="9"/>
    <x v="37"/>
    <n v="498.2"/>
    <n v="1"/>
    <n v="1"/>
    <s v="NL"/>
    <s v="ProducerNL"/>
    <n v="0"/>
    <n v="0"/>
  </r>
  <r>
    <n v="174"/>
    <x v="8"/>
    <x v="37"/>
    <n v="128.06899999999999"/>
    <n v="1"/>
    <n v="1"/>
    <s v="NL"/>
    <s v="ProducerNL"/>
    <n v="0"/>
    <n v="0"/>
  </r>
  <r>
    <n v="207"/>
    <x v="5"/>
    <x v="37"/>
    <n v="162.80099999999999"/>
    <n v="1"/>
    <n v="1"/>
    <s v="NL"/>
    <s v="ProducerNL"/>
    <n v="0"/>
    <n v="0"/>
  </r>
  <r>
    <n v="39"/>
    <x v="4"/>
    <x v="38"/>
    <n v="437"/>
    <n v="0.57999999999999996"/>
    <n v="0.9"/>
    <s v="NL"/>
    <s v="ProducerNL"/>
    <n v="0"/>
    <n v="0"/>
  </r>
  <r>
    <n v="40"/>
    <x v="4"/>
    <x v="38"/>
    <n v="437"/>
    <n v="0.57999999999999996"/>
    <n v="0.9"/>
    <s v="NL"/>
    <s v="ProducerNL"/>
    <n v="0"/>
    <n v="0"/>
  </r>
  <r>
    <n v="161"/>
    <x v="9"/>
    <x v="38"/>
    <n v="633.91399999999999"/>
    <n v="1"/>
    <n v="1"/>
    <s v="NL"/>
    <s v="ProducerNL"/>
    <n v="0"/>
    <n v="0"/>
  </r>
  <r>
    <n v="175"/>
    <x v="8"/>
    <x v="38"/>
    <n v="403.875"/>
    <n v="1"/>
    <n v="1"/>
    <s v="NL"/>
    <s v="ProducerNL"/>
    <n v="0"/>
    <n v="0"/>
  </r>
  <r>
    <n v="201"/>
    <x v="5"/>
    <x v="38"/>
    <n v="331.66300000000001"/>
    <n v="1"/>
    <n v="1"/>
    <s v="NL"/>
    <s v="ProducerNL"/>
    <n v="0"/>
    <n v="0"/>
  </r>
  <r>
    <n v="41"/>
    <x v="4"/>
    <x v="39"/>
    <n v="400"/>
    <n v="0.56000000000000005"/>
    <n v="0.9"/>
    <s v="NL"/>
    <s v="ProducerNL"/>
    <n v="0"/>
    <n v="0"/>
  </r>
  <r>
    <n v="42"/>
    <x v="4"/>
    <x v="39"/>
    <n v="400"/>
    <n v="0.56000000000000005"/>
    <n v="0.9"/>
    <s v="NL"/>
    <s v="ProducerNL"/>
    <n v="0"/>
    <n v="0"/>
  </r>
  <r>
    <n v="166"/>
    <x v="9"/>
    <x v="39"/>
    <n v="588.56900000000007"/>
    <n v="1"/>
    <n v="1"/>
    <s v="NL"/>
    <s v="ProducerNL"/>
    <n v="0"/>
    <n v="0"/>
  </r>
  <r>
    <n v="176"/>
    <x v="8"/>
    <x v="39"/>
    <n v="203.696"/>
    <n v="1"/>
    <n v="1"/>
    <s v="NL"/>
    <s v="ProducerNL"/>
    <n v="0"/>
    <n v="0"/>
  </r>
  <r>
    <n v="189"/>
    <x v="5"/>
    <x v="39"/>
    <n v="551.90700000000004"/>
    <n v="1"/>
    <n v="1"/>
    <s v="NL"/>
    <s v="ProducerNL"/>
    <n v="0"/>
    <n v="0"/>
  </r>
  <r>
    <n v="31"/>
    <x v="4"/>
    <x v="40"/>
    <n v="341"/>
    <n v="0.52"/>
    <n v="0.9"/>
    <s v="NL"/>
    <s v="ProducerNL"/>
    <n v="0"/>
    <n v="0"/>
  </r>
  <r>
    <n v="158"/>
    <x v="9"/>
    <x v="40"/>
    <n v="1527.3040000000001"/>
    <n v="1"/>
    <n v="1"/>
    <s v="NL"/>
    <s v="ProducerNL"/>
    <n v="0"/>
    <n v="0"/>
  </r>
  <r>
    <n v="195"/>
    <x v="5"/>
    <x v="40"/>
    <n v="425.90300000000002"/>
    <n v="1"/>
    <n v="1"/>
    <s v="NL"/>
    <s v="ProducerNL"/>
    <n v="0"/>
    <n v="0"/>
  </r>
  <r>
    <n v="145"/>
    <x v="9"/>
    <x v="41"/>
    <n v="2400.5369999999998"/>
    <n v="1"/>
    <n v="1"/>
    <s v="NL"/>
    <s v="ProducerNL"/>
    <n v="0"/>
    <n v="0"/>
  </r>
  <r>
    <n v="199"/>
    <x v="5"/>
    <x v="41"/>
    <n v="341.774"/>
    <n v="1"/>
    <n v="1"/>
    <s v="NL"/>
    <s v="ProducerNL"/>
    <n v="0"/>
    <n v="0"/>
  </r>
  <r>
    <n v="32"/>
    <x v="4"/>
    <x v="42"/>
    <n v="341"/>
    <n v="0.52"/>
    <n v="0.9"/>
    <s v="NL"/>
    <s v="ProducerNL"/>
    <n v="0"/>
    <n v="0"/>
  </r>
  <r>
    <n v="33"/>
    <x v="4"/>
    <x v="42"/>
    <n v="341"/>
    <n v="0.52"/>
    <n v="0.9"/>
    <s v="NL"/>
    <s v="ProducerNL"/>
    <n v="0"/>
    <n v="0"/>
  </r>
  <r>
    <n v="43"/>
    <x v="4"/>
    <x v="42"/>
    <n v="435"/>
    <n v="0.56999999999999995"/>
    <n v="0.9"/>
    <s v="NL"/>
    <s v="ProducerNL"/>
    <n v="0"/>
    <n v="0"/>
  </r>
  <r>
    <n v="143"/>
    <x v="9"/>
    <x v="42"/>
    <n v="3095.0839999999998"/>
    <n v="1"/>
    <n v="1"/>
    <s v="NL"/>
    <s v="ProducerNL"/>
    <n v="0"/>
    <n v="0"/>
  </r>
  <r>
    <n v="181"/>
    <x v="8"/>
    <x v="42"/>
    <n v="1285.4280000000001"/>
    <n v="1"/>
    <n v="1"/>
    <s v="NL"/>
    <s v="ProducerNL"/>
    <n v="0"/>
    <n v="0"/>
  </r>
  <r>
    <n v="190"/>
    <x v="5"/>
    <x v="42"/>
    <n v="518.94199999999989"/>
    <n v="1"/>
    <n v="1"/>
    <s v="NL"/>
    <s v="ProducerNL"/>
    <n v="0"/>
    <n v="0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">
  <r>
    <x v="0"/>
    <n v="58"/>
    <n v="3.04"/>
    <n v="0.3"/>
  </r>
  <r>
    <x v="0"/>
    <n v="54"/>
    <n v="5"/>
    <n v="0.3"/>
  </r>
  <r>
    <x v="1"/>
    <n v="46"/>
    <n v="324"/>
    <n v="0.36299999999999999"/>
  </r>
  <r>
    <x v="1"/>
    <n v="46"/>
    <n v="136"/>
    <n v="0.36299999999999999"/>
  </r>
  <r>
    <x v="0"/>
    <n v="44"/>
    <n v="10.5"/>
    <n v="0.3"/>
  </r>
  <r>
    <x v="0"/>
    <n v="43"/>
    <n v="29"/>
    <n v="0.18"/>
  </r>
  <r>
    <x v="0"/>
    <n v="40"/>
    <n v="50"/>
    <n v="0.35828470000000001"/>
  </r>
  <r>
    <x v="0"/>
    <n v="40"/>
    <n v="27.5"/>
    <n v="0.27834370000000003"/>
  </r>
  <r>
    <x v="0"/>
    <n v="39"/>
    <n v="27"/>
    <n v="0.11"/>
  </r>
  <r>
    <x v="0"/>
    <n v="37"/>
    <n v="97"/>
    <n v="0.38"/>
  </r>
  <r>
    <x v="0"/>
    <n v="37"/>
    <n v="25"/>
    <n v="0.42"/>
  </r>
  <r>
    <x v="0"/>
    <n v="37"/>
    <n v="25"/>
    <n v="0.42"/>
  </r>
  <r>
    <x v="0"/>
    <n v="36"/>
    <n v="26"/>
    <n v="0.41"/>
  </r>
  <r>
    <x v="0"/>
    <n v="35"/>
    <n v="103"/>
    <n v="0.42"/>
  </r>
  <r>
    <x v="0"/>
    <n v="35"/>
    <n v="36.6"/>
    <n v="0.32"/>
  </r>
  <r>
    <x v="0"/>
    <n v="35"/>
    <n v="25"/>
    <n v="0.3"/>
  </r>
  <r>
    <x v="0"/>
    <n v="34"/>
    <n v="27"/>
    <n v="0.3"/>
  </r>
  <r>
    <x v="0"/>
    <n v="34"/>
    <n v="37"/>
    <n v="0.19315489999999999"/>
  </r>
  <r>
    <x v="1"/>
    <n v="34"/>
    <n v="375"/>
    <n v="0.38"/>
  </r>
  <r>
    <x v="0"/>
    <n v="33"/>
    <n v="81"/>
    <n v="0.42"/>
  </r>
  <r>
    <x v="0"/>
    <n v="33"/>
    <n v="180"/>
    <n v="0.45"/>
  </r>
  <r>
    <x v="0"/>
    <n v="31"/>
    <n v="28"/>
    <n v="0.41"/>
  </r>
  <r>
    <x v="0"/>
    <n v="30"/>
    <n v="217"/>
    <n v="0.42"/>
  </r>
  <r>
    <x v="0"/>
    <n v="30"/>
    <n v="78.129000000000005"/>
    <n v="0.25"/>
  </r>
  <r>
    <x v="0"/>
    <n v="30"/>
    <n v="50.8"/>
    <n v="0.38"/>
  </r>
  <r>
    <x v="0"/>
    <n v="30"/>
    <n v="11.167"/>
    <n v="0.25"/>
  </r>
  <r>
    <x v="0"/>
    <n v="29"/>
    <n v="137.6"/>
    <n v="0.39"/>
  </r>
  <r>
    <x v="0"/>
    <n v="29"/>
    <n v="134.35"/>
    <n v="0.39"/>
  </r>
  <r>
    <x v="0"/>
    <n v="29"/>
    <n v="114.60001"/>
    <n v="0.39"/>
  </r>
  <r>
    <x v="0"/>
    <n v="29"/>
    <n v="88.090999999999994"/>
    <n v="0.23"/>
  </r>
  <r>
    <x v="0"/>
    <n v="29"/>
    <n v="38"/>
    <n v="0.32"/>
  </r>
  <r>
    <x v="0"/>
    <n v="29"/>
    <n v="14.54"/>
    <n v="0.39"/>
  </r>
  <r>
    <x v="0"/>
    <n v="27"/>
    <n v="45"/>
    <n v="0.33"/>
  </r>
  <r>
    <x v="0"/>
    <n v="27"/>
    <n v="46"/>
    <n v="0.35828470000000001"/>
  </r>
  <r>
    <x v="0"/>
    <n v="27"/>
    <n v="25.5"/>
    <n v="0.3"/>
  </r>
  <r>
    <x v="0"/>
    <n v="27"/>
    <n v="11.5"/>
    <n v="0.25"/>
  </r>
  <r>
    <x v="2"/>
    <n v="26"/>
    <n v="631"/>
    <n v="0.42"/>
  </r>
  <r>
    <x v="0"/>
    <n v="26"/>
    <n v="40"/>
    <n v="0.30277680000000001"/>
  </r>
  <r>
    <x v="0"/>
    <n v="26"/>
    <n v="54"/>
    <n v="0.32418039999999998"/>
  </r>
  <r>
    <x v="0"/>
    <n v="26"/>
    <n v="48"/>
    <n v="0.35828470000000001"/>
  </r>
  <r>
    <x v="0"/>
    <n v="26"/>
    <n v="24.5"/>
    <n v="0.32451750000000001"/>
  </r>
  <r>
    <x v="0"/>
    <n v="26"/>
    <n v="3.74"/>
    <n v="0.27"/>
  </r>
  <r>
    <x v="0"/>
    <n v="25"/>
    <n v="48.4"/>
    <n v="0.39"/>
  </r>
  <r>
    <x v="0"/>
    <n v="25"/>
    <n v="33"/>
    <n v="0.43584050000000002"/>
  </r>
  <r>
    <x v="0"/>
    <n v="25"/>
    <n v="11.5"/>
    <n v="0.35828470000000001"/>
  </r>
  <r>
    <x v="3"/>
    <n v="25"/>
    <n v="630"/>
    <n v="0.41"/>
  </r>
  <r>
    <x v="4"/>
    <n v="24"/>
    <n v="341"/>
    <n v="0.52"/>
  </r>
  <r>
    <x v="0"/>
    <n v="24"/>
    <n v="150"/>
    <n v="0.4"/>
  </r>
  <r>
    <x v="0"/>
    <n v="24"/>
    <n v="266"/>
    <n v="0.48"/>
  </r>
  <r>
    <x v="0"/>
    <n v="24"/>
    <n v="247"/>
    <n v="0.53"/>
  </r>
  <r>
    <x v="0"/>
    <n v="24"/>
    <n v="110.366"/>
    <n v="0.4"/>
  </r>
  <r>
    <x v="0"/>
    <n v="24"/>
    <n v="49.456000000000003"/>
    <n v="0.4"/>
  </r>
  <r>
    <x v="0"/>
    <n v="24"/>
    <n v="16"/>
    <n v="0.4"/>
  </r>
  <r>
    <x v="4"/>
    <n v="23"/>
    <n v="341"/>
    <n v="0.52"/>
  </r>
  <r>
    <x v="4"/>
    <n v="23"/>
    <n v="341"/>
    <n v="0.52"/>
  </r>
  <r>
    <x v="0"/>
    <n v="23"/>
    <n v="80"/>
    <n v="0.4"/>
  </r>
  <r>
    <x v="0"/>
    <n v="23"/>
    <n v="220"/>
    <n v="0.42"/>
  </r>
  <r>
    <x v="0"/>
    <n v="23"/>
    <n v="144"/>
    <n v="0.41"/>
  </r>
  <r>
    <x v="0"/>
    <n v="23"/>
    <n v="369"/>
    <n v="0.35"/>
  </r>
  <r>
    <x v="0"/>
    <n v="23"/>
    <n v="97.64"/>
    <n v="0.14599999999999999"/>
  </r>
  <r>
    <x v="0"/>
    <n v="23"/>
    <n v="90.6"/>
    <n v="0.36"/>
  </r>
  <r>
    <x v="0"/>
    <n v="23"/>
    <n v="39"/>
    <n v="0.32"/>
  </r>
  <r>
    <x v="0"/>
    <n v="22"/>
    <n v="52.634"/>
    <n v="0.4"/>
  </r>
  <r>
    <x v="0"/>
    <n v="22"/>
    <n v="25"/>
    <n v="0.32"/>
  </r>
  <r>
    <x v="0"/>
    <n v="21"/>
    <n v="79.2"/>
    <n v="0.4"/>
  </r>
  <r>
    <x v="0"/>
    <n v="21"/>
    <n v="350"/>
    <n v="0.45"/>
  </r>
  <r>
    <x v="0"/>
    <n v="21"/>
    <n v="51.1"/>
    <n v="0.27"/>
  </r>
  <r>
    <x v="4"/>
    <n v="20"/>
    <n v="245"/>
    <n v="0.51"/>
  </r>
  <r>
    <x v="0"/>
    <n v="20"/>
    <n v="62.167000000000002"/>
    <n v="0.4"/>
  </r>
  <r>
    <x v="0"/>
    <n v="20"/>
    <n v="253"/>
    <n v="0.41"/>
  </r>
  <r>
    <x v="0"/>
    <n v="20"/>
    <n v="103.19799999999999"/>
    <n v="0.41"/>
  </r>
  <r>
    <x v="0"/>
    <n v="20"/>
    <n v="44.485999999999997"/>
    <n v="0.41"/>
  </r>
  <r>
    <x v="0"/>
    <n v="20"/>
    <n v="15"/>
    <n v="0.41"/>
  </r>
  <r>
    <x v="0"/>
    <n v="19"/>
    <n v="38.6"/>
    <n v="0.41"/>
  </r>
  <r>
    <x v="0"/>
    <n v="18"/>
    <n v="25.366"/>
    <n v="0.41"/>
  </r>
  <r>
    <x v="0"/>
    <n v="17"/>
    <n v="34"/>
    <n v="0.41"/>
  </r>
  <r>
    <x v="0"/>
    <n v="17"/>
    <n v="43"/>
    <n v="0.32"/>
  </r>
  <r>
    <x v="0"/>
    <n v="17"/>
    <n v="27.5"/>
    <n v="0.2621211"/>
  </r>
  <r>
    <x v="0"/>
    <n v="16"/>
    <n v="78"/>
    <n v="0.1"/>
  </r>
  <r>
    <x v="0"/>
    <n v="16"/>
    <n v="82"/>
    <n v="0.41"/>
  </r>
  <r>
    <x v="1"/>
    <n v="16"/>
    <n v="124"/>
    <n v="0.35"/>
  </r>
  <r>
    <x v="0"/>
    <n v="15"/>
    <n v="121.033"/>
    <n v="0.41"/>
  </r>
  <r>
    <x v="0"/>
    <n v="15"/>
    <n v="310"/>
    <n v="0.26"/>
  </r>
  <r>
    <x v="0"/>
    <n v="15"/>
    <n v="43.76"/>
    <n v="0.25"/>
  </r>
  <r>
    <x v="5"/>
    <n v="15"/>
    <n v="413.43299999999999"/>
    <n v="1"/>
  </r>
  <r>
    <x v="0"/>
    <n v="14"/>
    <n v="641"/>
    <n v="0.41"/>
  </r>
  <r>
    <x v="6"/>
    <n v="14"/>
    <n v="41.279000000000003"/>
    <n v="1"/>
  </r>
  <r>
    <x v="7"/>
    <n v="14"/>
    <n v="484"/>
    <n v="0.34"/>
  </r>
  <r>
    <x v="8"/>
    <n v="14"/>
    <n v="24.495000000000001"/>
    <n v="1"/>
  </r>
  <r>
    <x v="5"/>
    <n v="14"/>
    <n v="285.59800000000001"/>
    <n v="1"/>
  </r>
  <r>
    <x v="0"/>
    <n v="13"/>
    <n v="721"/>
    <n v="0.41"/>
  </r>
  <r>
    <x v="8"/>
    <n v="13"/>
    <n v="57.546999999999997"/>
    <n v="1"/>
  </r>
  <r>
    <x v="5"/>
    <n v="13"/>
    <n v="317.36399999999998"/>
    <n v="1"/>
  </r>
  <r>
    <x v="0"/>
    <n v="12"/>
    <n v="615"/>
    <n v="0.41"/>
  </r>
  <r>
    <x v="8"/>
    <n v="12"/>
    <n v="144.99700000000001"/>
    <n v="1"/>
  </r>
  <r>
    <x v="5"/>
    <n v="12"/>
    <n v="442.11399999999998"/>
    <n v="1"/>
  </r>
  <r>
    <x v="4"/>
    <n v="11"/>
    <n v="435"/>
    <n v="0.59"/>
  </r>
  <r>
    <x v="4"/>
    <n v="11"/>
    <n v="435"/>
    <n v="0.59"/>
  </r>
  <r>
    <x v="0"/>
    <n v="11"/>
    <n v="132.63999999999999"/>
    <n v="0.41"/>
  </r>
  <r>
    <x v="4"/>
    <n v="10"/>
    <n v="435"/>
    <n v="0.58699999999999997"/>
  </r>
  <r>
    <x v="4"/>
    <n v="10"/>
    <n v="435"/>
    <n v="0.58699999999999997"/>
  </r>
  <r>
    <x v="4"/>
    <n v="10"/>
    <n v="425"/>
    <n v="0.59"/>
  </r>
  <r>
    <x v="0"/>
    <n v="10"/>
    <n v="115"/>
    <n v="0.41"/>
  </r>
  <r>
    <x v="5"/>
    <n v="10"/>
    <n v="157.977"/>
    <n v="1"/>
  </r>
  <r>
    <x v="4"/>
    <n v="9"/>
    <n v="426"/>
    <n v="0.57999999999999996"/>
  </r>
  <r>
    <x v="4"/>
    <n v="8"/>
    <n v="420"/>
    <n v="0.59"/>
  </r>
  <r>
    <x v="1"/>
    <n v="8"/>
    <n v="72"/>
    <n v="0.44"/>
  </r>
  <r>
    <x v="1"/>
    <n v="8"/>
    <n v="72"/>
    <n v="0.44"/>
  </r>
  <r>
    <x v="9"/>
    <n v="8"/>
    <n v="270.87700000000001"/>
    <n v="1"/>
  </r>
  <r>
    <x v="5"/>
    <n v="8"/>
    <n v="203.58"/>
    <n v="1"/>
  </r>
  <r>
    <x v="4"/>
    <n v="7"/>
    <n v="435"/>
    <n v="0.59"/>
  </r>
  <r>
    <x v="4"/>
    <n v="7"/>
    <n v="437"/>
    <n v="0.57999999999999996"/>
  </r>
  <r>
    <x v="0"/>
    <n v="7"/>
    <n v="435"/>
    <n v="0.59"/>
  </r>
  <r>
    <x v="9"/>
    <n v="7"/>
    <n v="377.86700000000002"/>
    <n v="1"/>
  </r>
  <r>
    <x v="0"/>
    <n v="6"/>
    <n v="9.1999999999999993"/>
    <n v="0.32"/>
  </r>
  <r>
    <x v="3"/>
    <n v="6"/>
    <n v="1070"/>
    <n v="0.46"/>
  </r>
  <r>
    <x v="3"/>
    <n v="6"/>
    <n v="790"/>
    <n v="0.46"/>
  </r>
  <r>
    <x v="3"/>
    <n v="6"/>
    <n v="780"/>
    <n v="0.46"/>
  </r>
  <r>
    <x v="9"/>
    <n v="6"/>
    <n v="492.642"/>
    <n v="1"/>
  </r>
  <r>
    <x v="4"/>
    <n v="5"/>
    <n v="420"/>
    <n v="0.59"/>
  </r>
  <r>
    <x v="3"/>
    <n v="5"/>
    <n v="790"/>
    <n v="0.46"/>
  </r>
  <r>
    <x v="9"/>
    <n v="5"/>
    <n v="498.2"/>
    <n v="1"/>
  </r>
  <r>
    <x v="8"/>
    <n v="5"/>
    <n v="128.06899999999999"/>
    <n v="1"/>
  </r>
  <r>
    <x v="5"/>
    <n v="5"/>
    <n v="162.80099999999999"/>
    <n v="1"/>
  </r>
  <r>
    <x v="4"/>
    <n v="4"/>
    <n v="437"/>
    <n v="0.57999999999999996"/>
  </r>
  <r>
    <x v="4"/>
    <n v="4"/>
    <n v="437"/>
    <n v="0.57999999999999996"/>
  </r>
  <r>
    <x v="9"/>
    <n v="4"/>
    <n v="633.91399999999999"/>
    <n v="1"/>
  </r>
  <r>
    <x v="8"/>
    <n v="4"/>
    <n v="403.875"/>
    <n v="1"/>
  </r>
  <r>
    <x v="5"/>
    <n v="4"/>
    <n v="331.66300000000001"/>
    <n v="1"/>
  </r>
  <r>
    <x v="4"/>
    <n v="3"/>
    <n v="400"/>
    <n v="0.56000000000000005"/>
  </r>
  <r>
    <x v="4"/>
    <n v="3"/>
    <n v="400"/>
    <n v="0.56000000000000005"/>
  </r>
  <r>
    <x v="9"/>
    <n v="3"/>
    <n v="588.56900000000007"/>
    <n v="1"/>
  </r>
  <r>
    <x v="8"/>
    <n v="3"/>
    <n v="203.696"/>
    <n v="1"/>
  </r>
  <r>
    <x v="5"/>
    <n v="3"/>
    <n v="551.90700000000004"/>
    <n v="1"/>
  </r>
  <r>
    <x v="4"/>
    <n v="2"/>
    <n v="341"/>
    <n v="0.52"/>
  </r>
  <r>
    <x v="9"/>
    <n v="2"/>
    <n v="1527.3040000000001"/>
    <n v="1"/>
  </r>
  <r>
    <x v="5"/>
    <n v="2"/>
    <n v="425.90300000000002"/>
    <n v="1"/>
  </r>
  <r>
    <x v="9"/>
    <n v="1"/>
    <n v="2400.5369999999998"/>
    <n v="1"/>
  </r>
  <r>
    <x v="5"/>
    <n v="1"/>
    <n v="341.774"/>
    <n v="1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n v="25"/>
    <n v="631"/>
  </r>
  <r>
    <x v="1"/>
    <n v="4"/>
    <n v="790"/>
  </r>
  <r>
    <x v="1"/>
    <n v="5"/>
    <n v="2640"/>
  </r>
  <r>
    <x v="1"/>
    <n v="24"/>
    <n v="630"/>
  </r>
  <r>
    <x v="2"/>
    <n v="1"/>
    <n v="341"/>
  </r>
  <r>
    <x v="2"/>
    <n v="2"/>
    <n v="800"/>
  </r>
  <r>
    <x v="2"/>
    <n v="3"/>
    <n v="874"/>
  </r>
  <r>
    <x v="2"/>
    <n v="4"/>
    <n v="420"/>
  </r>
  <r>
    <x v="2"/>
    <n v="6"/>
    <n v="872"/>
  </r>
  <r>
    <x v="2"/>
    <n v="7"/>
    <n v="420"/>
  </r>
  <r>
    <x v="2"/>
    <n v="8"/>
    <n v="426"/>
  </r>
  <r>
    <x v="2"/>
    <n v="9"/>
    <n v="1295"/>
  </r>
  <r>
    <x v="2"/>
    <n v="10"/>
    <n v="870"/>
  </r>
  <r>
    <x v="2"/>
    <n v="19"/>
    <n v="245"/>
  </r>
  <r>
    <x v="2"/>
    <n v="22"/>
    <n v="682"/>
  </r>
  <r>
    <x v="2"/>
    <n v="23"/>
    <n v="341"/>
  </r>
  <r>
    <x v="3"/>
    <n v="27"/>
    <n v="484"/>
  </r>
  <r>
    <x v="4"/>
    <n v="0"/>
    <n v="2400.5369999999998"/>
  </r>
  <r>
    <x v="4"/>
    <n v="1"/>
    <n v="1527.3040000000001"/>
  </r>
  <r>
    <x v="4"/>
    <n v="2"/>
    <n v="588.56900000000007"/>
  </r>
  <r>
    <x v="4"/>
    <n v="3"/>
    <n v="633.91399999999999"/>
  </r>
  <r>
    <x v="4"/>
    <n v="4"/>
    <n v="498.2"/>
  </r>
  <r>
    <x v="4"/>
    <n v="5"/>
    <n v="492.642"/>
  </r>
  <r>
    <x v="4"/>
    <n v="6"/>
    <n v="648.74400000000003"/>
  </r>
  <r>
    <x v="5"/>
    <n v="2"/>
    <n v="203.696"/>
  </r>
  <r>
    <x v="5"/>
    <n v="3"/>
    <n v="758.99400000000003"/>
  </r>
  <r>
    <x v="6"/>
    <n v="0"/>
    <n v="341.774"/>
  </r>
  <r>
    <x v="6"/>
    <n v="1"/>
    <n v="425.90300000000002"/>
  </r>
  <r>
    <x v="6"/>
    <n v="2"/>
    <n v="551.90700000000004"/>
  </r>
  <r>
    <x v="6"/>
    <n v="3"/>
    <n v="659.47300000000007"/>
  </r>
  <r>
    <x v="6"/>
    <n v="11"/>
    <n v="638.66199999999992"/>
  </r>
  <r>
    <x v="6"/>
    <n v="12"/>
    <n v="317.36399999999998"/>
  </r>
  <r>
    <x v="6"/>
    <n v="13"/>
    <n v="285.59800000000001"/>
  </r>
  <r>
    <x v="6"/>
    <n v="14"/>
    <n v="1016.313"/>
  </r>
  <r>
    <x v="7"/>
    <n v="29"/>
    <n v="643"/>
  </r>
  <r>
    <x v="7"/>
    <n v="35"/>
    <n v="460"/>
  </r>
  <r>
    <x v="2"/>
    <n v="6"/>
    <n v="444.2"/>
  </r>
  <r>
    <x v="2"/>
    <n v="11"/>
    <n v="862.64"/>
  </r>
  <r>
    <x v="2"/>
    <n v="12"/>
    <n v="721"/>
  </r>
  <r>
    <x v="2"/>
    <n v="13"/>
    <n v="641"/>
  </r>
  <r>
    <x v="2"/>
    <n v="14"/>
    <n v="739.29300000000001"/>
  </r>
  <r>
    <x v="2"/>
    <n v="19"/>
    <n v="541.81700000000001"/>
  </r>
  <r>
    <x v="2"/>
    <n v="20"/>
    <n v="557.93399999999997"/>
  </r>
  <r>
    <x v="2"/>
    <n v="22"/>
    <n v="1040.24"/>
  </r>
  <r>
    <x v="2"/>
    <n v="23"/>
    <n v="1101.962"/>
  </r>
  <r>
    <x v="2"/>
    <n v="28"/>
    <n v="655.18101000000001"/>
  </r>
  <r>
    <x v="2"/>
    <n v="29"/>
    <n v="385.096"/>
  </r>
  <r>
    <x v="2"/>
    <n v="28"/>
    <n v="811.6"/>
  </r>
  <r>
    <x v="4"/>
    <n v="-1"/>
    <n v="3000"/>
  </r>
  <r>
    <x v="4"/>
    <n v="-2"/>
    <n v="3000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x v="0"/>
    <x v="0"/>
    <n v="631"/>
  </r>
  <r>
    <x v="1"/>
    <x v="1"/>
    <n v="790"/>
  </r>
  <r>
    <x v="1"/>
    <x v="2"/>
    <n v="2640"/>
  </r>
  <r>
    <x v="1"/>
    <x v="3"/>
    <n v="630"/>
  </r>
  <r>
    <x v="2"/>
    <x v="4"/>
    <n v="341"/>
  </r>
  <r>
    <x v="2"/>
    <x v="5"/>
    <n v="800"/>
  </r>
  <r>
    <x v="2"/>
    <x v="6"/>
    <n v="874"/>
  </r>
  <r>
    <x v="2"/>
    <x v="1"/>
    <n v="420"/>
  </r>
  <r>
    <x v="2"/>
    <x v="7"/>
    <n v="872"/>
  </r>
  <r>
    <x v="2"/>
    <x v="8"/>
    <n v="420"/>
  </r>
  <r>
    <x v="2"/>
    <x v="9"/>
    <n v="426"/>
  </r>
  <r>
    <x v="2"/>
    <x v="10"/>
    <n v="1295"/>
  </r>
  <r>
    <x v="2"/>
    <x v="11"/>
    <n v="870"/>
  </r>
  <r>
    <x v="2"/>
    <x v="12"/>
    <n v="245"/>
  </r>
  <r>
    <x v="2"/>
    <x v="13"/>
    <n v="682"/>
  </r>
  <r>
    <x v="2"/>
    <x v="14"/>
    <n v="341"/>
  </r>
  <r>
    <x v="3"/>
    <x v="15"/>
    <n v="484"/>
  </r>
  <r>
    <x v="4"/>
    <x v="16"/>
    <n v="2400.5369999999998"/>
  </r>
  <r>
    <x v="4"/>
    <x v="4"/>
    <n v="1527.3040000000001"/>
  </r>
  <r>
    <x v="4"/>
    <x v="5"/>
    <n v="588.56900000000007"/>
  </r>
  <r>
    <x v="4"/>
    <x v="6"/>
    <n v="633.91399999999999"/>
  </r>
  <r>
    <x v="4"/>
    <x v="1"/>
    <n v="498.2"/>
  </r>
  <r>
    <x v="4"/>
    <x v="2"/>
    <n v="492.642"/>
  </r>
  <r>
    <x v="4"/>
    <x v="7"/>
    <n v="648.74400000000003"/>
  </r>
  <r>
    <x v="5"/>
    <x v="5"/>
    <n v="203.696"/>
  </r>
  <r>
    <x v="5"/>
    <x v="6"/>
    <n v="758.99400000000003"/>
  </r>
  <r>
    <x v="6"/>
    <x v="16"/>
    <n v="341.774"/>
  </r>
  <r>
    <x v="6"/>
    <x v="4"/>
    <n v="425.90300000000002"/>
  </r>
  <r>
    <x v="6"/>
    <x v="5"/>
    <n v="551.90700000000004"/>
  </r>
  <r>
    <x v="6"/>
    <x v="6"/>
    <n v="659.47300000000007"/>
  </r>
  <r>
    <x v="6"/>
    <x v="17"/>
    <n v="638.66199999999992"/>
  </r>
  <r>
    <x v="6"/>
    <x v="18"/>
    <n v="317.36399999999998"/>
  </r>
  <r>
    <x v="6"/>
    <x v="19"/>
    <n v="285.59800000000001"/>
  </r>
  <r>
    <x v="6"/>
    <x v="20"/>
    <n v="1016.313"/>
  </r>
  <r>
    <x v="7"/>
    <x v="21"/>
    <n v="643"/>
  </r>
  <r>
    <x v="7"/>
    <x v="22"/>
    <n v="460"/>
  </r>
  <r>
    <x v="2"/>
    <x v="7"/>
    <n v="444.2"/>
  </r>
  <r>
    <x v="2"/>
    <x v="17"/>
    <n v="862.64"/>
  </r>
  <r>
    <x v="2"/>
    <x v="18"/>
    <n v="721"/>
  </r>
  <r>
    <x v="2"/>
    <x v="19"/>
    <n v="641"/>
  </r>
  <r>
    <x v="2"/>
    <x v="20"/>
    <n v="739.29300000000001"/>
  </r>
  <r>
    <x v="2"/>
    <x v="12"/>
    <n v="541.81700000000001"/>
  </r>
  <r>
    <x v="2"/>
    <x v="23"/>
    <n v="557.93399999999997"/>
  </r>
  <r>
    <x v="2"/>
    <x v="13"/>
    <n v="1040.24"/>
  </r>
  <r>
    <x v="2"/>
    <x v="14"/>
    <n v="1101.962"/>
  </r>
  <r>
    <x v="2"/>
    <x v="24"/>
    <n v="655.18101000000001"/>
  </r>
  <r>
    <x v="2"/>
    <x v="21"/>
    <n v="385.096"/>
  </r>
  <r>
    <x v="2"/>
    <x v="24"/>
    <n v="811.6"/>
  </r>
  <r>
    <x v="4"/>
    <x v="25"/>
    <n v="3000"/>
  </r>
  <r>
    <x v="4"/>
    <x v="26"/>
    <n v="3000"/>
  </r>
  <r>
    <x v="5"/>
    <x v="25"/>
    <n v="3000"/>
  </r>
  <r>
    <x v="5"/>
    <x v="26"/>
    <n v="3000"/>
  </r>
  <r>
    <x v="6"/>
    <x v="26"/>
    <n v="3000"/>
  </r>
  <r>
    <x v="6"/>
    <x v="25"/>
    <n v="3000"/>
  </r>
  <r>
    <x v="5"/>
    <x v="4"/>
    <n v="1500"/>
  </r>
  <r>
    <x v="5"/>
    <x v="2"/>
    <n v="3000"/>
  </r>
  <r>
    <x v="6"/>
    <x v="16"/>
    <n v="3000"/>
  </r>
  <r>
    <x v="4"/>
    <x v="5"/>
    <n v="3000"/>
  </r>
  <r>
    <x v="4"/>
    <x v="6"/>
    <n v="3000"/>
  </r>
  <r>
    <x v="4"/>
    <x v="1"/>
    <n v="3000"/>
  </r>
  <r>
    <x v="6"/>
    <x v="1"/>
    <n v="3000"/>
  </r>
  <r>
    <x v="5"/>
    <x v="7"/>
    <n v="3000"/>
  </r>
  <r>
    <x v="5"/>
    <x v="8"/>
    <n v="3000"/>
  </r>
  <r>
    <x v="4"/>
    <x v="2"/>
    <n v="3000"/>
  </r>
  <r>
    <x v="4"/>
    <x v="7"/>
    <n v="3000"/>
  </r>
  <r>
    <x v="5"/>
    <x v="1"/>
    <n v="1500"/>
  </r>
  <r>
    <x v="8"/>
    <x v="16"/>
    <n v="10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x v="0"/>
    <n v="25"/>
    <n v="631"/>
  </r>
  <r>
    <x v="1"/>
    <n v="4"/>
    <n v="790"/>
  </r>
  <r>
    <x v="1"/>
    <n v="5"/>
    <n v="2640"/>
  </r>
  <r>
    <x v="1"/>
    <n v="24"/>
    <n v="630"/>
  </r>
  <r>
    <x v="2"/>
    <n v="1"/>
    <n v="341"/>
  </r>
  <r>
    <x v="2"/>
    <n v="2"/>
    <n v="800"/>
  </r>
  <r>
    <x v="2"/>
    <n v="3"/>
    <n v="874"/>
  </r>
  <r>
    <x v="2"/>
    <n v="4"/>
    <n v="420"/>
  </r>
  <r>
    <x v="2"/>
    <n v="6"/>
    <n v="872"/>
  </r>
  <r>
    <x v="2"/>
    <n v="7"/>
    <n v="420"/>
  </r>
  <r>
    <x v="2"/>
    <n v="8"/>
    <n v="426"/>
  </r>
  <r>
    <x v="2"/>
    <n v="9"/>
    <n v="1295"/>
  </r>
  <r>
    <x v="2"/>
    <n v="10"/>
    <n v="870"/>
  </r>
  <r>
    <x v="2"/>
    <n v="19"/>
    <n v="245"/>
  </r>
  <r>
    <x v="2"/>
    <n v="22"/>
    <n v="682"/>
  </r>
  <r>
    <x v="2"/>
    <n v="23"/>
    <n v="341"/>
  </r>
  <r>
    <x v="3"/>
    <n v="27"/>
    <n v="484"/>
  </r>
  <r>
    <x v="4"/>
    <n v="0"/>
    <n v="2400.5369999999998"/>
  </r>
  <r>
    <x v="4"/>
    <n v="1"/>
    <n v="1527.3040000000001"/>
  </r>
  <r>
    <x v="4"/>
    <n v="2"/>
    <n v="588.56900000000007"/>
  </r>
  <r>
    <x v="4"/>
    <n v="3"/>
    <n v="633.91399999999999"/>
  </r>
  <r>
    <x v="4"/>
    <n v="4"/>
    <n v="498.2"/>
  </r>
  <r>
    <x v="4"/>
    <n v="5"/>
    <n v="492.642"/>
  </r>
  <r>
    <x v="4"/>
    <n v="6"/>
    <n v="648.74400000000003"/>
  </r>
  <r>
    <x v="5"/>
    <n v="2"/>
    <n v="203.696"/>
  </r>
  <r>
    <x v="5"/>
    <n v="3"/>
    <n v="758.99400000000003"/>
  </r>
  <r>
    <x v="6"/>
    <n v="0"/>
    <n v="341.774"/>
  </r>
  <r>
    <x v="6"/>
    <n v="1"/>
    <n v="425.90300000000002"/>
  </r>
  <r>
    <x v="6"/>
    <n v="2"/>
    <n v="551.90700000000004"/>
  </r>
  <r>
    <x v="6"/>
    <n v="3"/>
    <n v="659.47300000000007"/>
  </r>
  <r>
    <x v="6"/>
    <n v="11"/>
    <n v="638.66199999999992"/>
  </r>
  <r>
    <x v="6"/>
    <n v="12"/>
    <n v="317.36399999999998"/>
  </r>
  <r>
    <x v="6"/>
    <n v="13"/>
    <n v="285.59800000000001"/>
  </r>
  <r>
    <x v="6"/>
    <n v="14"/>
    <n v="1016.313"/>
  </r>
  <r>
    <x v="7"/>
    <n v="29"/>
    <n v="643"/>
  </r>
  <r>
    <x v="7"/>
    <n v="35"/>
    <n v="460"/>
  </r>
  <r>
    <x v="2"/>
    <n v="6"/>
    <n v="444.2"/>
  </r>
  <r>
    <x v="2"/>
    <n v="11"/>
    <n v="862.64"/>
  </r>
  <r>
    <x v="2"/>
    <n v="12"/>
    <n v="721"/>
  </r>
  <r>
    <x v="2"/>
    <n v="13"/>
    <n v="641"/>
  </r>
  <r>
    <x v="2"/>
    <n v="14"/>
    <n v="739.29300000000001"/>
  </r>
  <r>
    <x v="2"/>
    <n v="19"/>
    <n v="541.81700000000001"/>
  </r>
  <r>
    <x v="2"/>
    <n v="20"/>
    <n v="557.93399999999997"/>
  </r>
  <r>
    <x v="2"/>
    <n v="22"/>
    <n v="1040.24"/>
  </r>
  <r>
    <x v="2"/>
    <n v="23"/>
    <n v="1101.962"/>
  </r>
  <r>
    <x v="2"/>
    <n v="28"/>
    <n v="655.18101000000001"/>
  </r>
  <r>
    <x v="2"/>
    <n v="29"/>
    <n v="385.096"/>
  </r>
  <r>
    <x v="2"/>
    <n v="28"/>
    <n v="811.6"/>
  </r>
  <r>
    <x v="4"/>
    <n v="-1"/>
    <n v="3000"/>
  </r>
  <r>
    <x v="4"/>
    <n v="-2"/>
    <n v="3000"/>
  </r>
  <r>
    <x v="5"/>
    <n v="-1"/>
    <n v="3000"/>
  </r>
  <r>
    <x v="5"/>
    <n v="-2"/>
    <n v="3000"/>
  </r>
  <r>
    <x v="6"/>
    <n v="-2"/>
    <n v="3000"/>
  </r>
  <r>
    <x v="6"/>
    <n v="-1"/>
    <n v="3000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x v="0"/>
    <n v="35"/>
    <n v="460"/>
  </r>
  <r>
    <x v="0"/>
    <n v="29"/>
    <n v="643"/>
  </r>
  <r>
    <x v="1"/>
    <n v="29"/>
    <n v="385.096"/>
  </r>
  <r>
    <x v="1"/>
    <n v="28"/>
    <n v="655.18101000000001"/>
  </r>
  <r>
    <x v="1"/>
    <n v="28"/>
    <n v="811.6"/>
  </r>
  <r>
    <x v="2"/>
    <n v="27"/>
    <n v="484"/>
  </r>
  <r>
    <x v="3"/>
    <n v="25"/>
    <n v="631"/>
  </r>
  <r>
    <x v="4"/>
    <n v="24"/>
    <n v="630"/>
  </r>
  <r>
    <x v="1"/>
    <n v="23"/>
    <n v="341"/>
  </r>
  <r>
    <x v="1"/>
    <n v="23"/>
    <n v="1101.962"/>
  </r>
  <r>
    <x v="1"/>
    <n v="22"/>
    <n v="682"/>
  </r>
  <r>
    <x v="1"/>
    <n v="22"/>
    <n v="1040.24"/>
  </r>
  <r>
    <x v="1"/>
    <n v="20"/>
    <n v="557.93399999999997"/>
  </r>
  <r>
    <x v="1"/>
    <n v="19"/>
    <n v="245"/>
  </r>
  <r>
    <x v="1"/>
    <n v="19"/>
    <n v="541.81700000000001"/>
  </r>
  <r>
    <x v="5"/>
    <n v="14"/>
    <n v="1016.313"/>
  </r>
  <r>
    <x v="1"/>
    <n v="14"/>
    <n v="739.29300000000001"/>
  </r>
  <r>
    <x v="5"/>
    <n v="13"/>
    <n v="285.59800000000001"/>
  </r>
  <r>
    <x v="1"/>
    <n v="13"/>
    <n v="641"/>
  </r>
  <r>
    <x v="5"/>
    <n v="12"/>
    <n v="317.36399999999998"/>
  </r>
  <r>
    <x v="1"/>
    <n v="12"/>
    <n v="721"/>
  </r>
  <r>
    <x v="5"/>
    <n v="11"/>
    <n v="638.66199999999992"/>
  </r>
  <r>
    <x v="1"/>
    <n v="11"/>
    <n v="862.64"/>
  </r>
  <r>
    <x v="1"/>
    <n v="10"/>
    <n v="870"/>
  </r>
  <r>
    <x v="1"/>
    <n v="9"/>
    <n v="1295"/>
  </r>
  <r>
    <x v="1"/>
    <n v="8"/>
    <n v="426"/>
  </r>
  <r>
    <x v="1"/>
    <n v="7"/>
    <n v="420"/>
  </r>
  <r>
    <x v="6"/>
    <n v="7"/>
    <n v="3000"/>
  </r>
  <r>
    <x v="1"/>
    <n v="6"/>
    <n v="872"/>
  </r>
  <r>
    <x v="7"/>
    <n v="6"/>
    <n v="648.74400000000003"/>
  </r>
  <r>
    <x v="1"/>
    <n v="6"/>
    <n v="444.2"/>
  </r>
  <r>
    <x v="6"/>
    <n v="6"/>
    <n v="3000"/>
  </r>
  <r>
    <x v="7"/>
    <n v="6"/>
    <n v="3000"/>
  </r>
  <r>
    <x v="4"/>
    <n v="5"/>
    <n v="2640"/>
  </r>
  <r>
    <x v="7"/>
    <n v="5"/>
    <n v="492.642"/>
  </r>
  <r>
    <x v="6"/>
    <n v="5"/>
    <n v="3000"/>
  </r>
  <r>
    <x v="7"/>
    <n v="5"/>
    <n v="3000"/>
  </r>
  <r>
    <x v="4"/>
    <n v="4"/>
    <n v="790"/>
  </r>
  <r>
    <x v="1"/>
    <n v="4"/>
    <n v="420"/>
  </r>
  <r>
    <x v="7"/>
    <n v="4"/>
    <n v="498.2"/>
  </r>
  <r>
    <x v="7"/>
    <n v="4"/>
    <n v="3000"/>
  </r>
  <r>
    <x v="5"/>
    <n v="4"/>
    <n v="3000"/>
  </r>
  <r>
    <x v="6"/>
    <n v="4"/>
    <n v="1500"/>
  </r>
  <r>
    <x v="1"/>
    <n v="3"/>
    <n v="874"/>
  </r>
  <r>
    <x v="7"/>
    <n v="3"/>
    <n v="633.91399999999999"/>
  </r>
  <r>
    <x v="6"/>
    <n v="3"/>
    <n v="758.99400000000003"/>
  </r>
  <r>
    <x v="5"/>
    <n v="3"/>
    <n v="659.47300000000007"/>
  </r>
  <r>
    <x v="7"/>
    <n v="3"/>
    <n v="3000"/>
  </r>
  <r>
    <x v="1"/>
    <n v="2"/>
    <n v="800"/>
  </r>
  <r>
    <x v="7"/>
    <n v="2"/>
    <n v="588.56900000000007"/>
  </r>
  <r>
    <x v="6"/>
    <n v="2"/>
    <n v="203.696"/>
  </r>
  <r>
    <x v="5"/>
    <n v="2"/>
    <n v="551.90700000000004"/>
  </r>
  <r>
    <x v="7"/>
    <n v="2"/>
    <n v="3000"/>
  </r>
  <r>
    <x v="1"/>
    <n v="1"/>
    <n v="341"/>
  </r>
  <r>
    <x v="7"/>
    <n v="1"/>
    <n v="1527.3040000000001"/>
  </r>
  <r>
    <x v="5"/>
    <n v="1"/>
    <n v="425.90300000000002"/>
  </r>
  <r>
    <x v="6"/>
    <n v="1"/>
    <n v="1500"/>
  </r>
  <r>
    <x v="7"/>
    <n v="0"/>
    <n v="2400.5369999999998"/>
  </r>
  <r>
    <x v="5"/>
    <n v="0"/>
    <n v="341.774"/>
  </r>
  <r>
    <x v="5"/>
    <n v="0"/>
    <n v="3000"/>
  </r>
  <r>
    <x v="8"/>
    <n v="0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BABEF3-7A12-4A97-8F01-EC0882F5F9E8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1:O13" firstHeaderRow="1" firstDataRow="1" firstDataCol="1"/>
  <pivotFields count="8">
    <pivotField axis="axisRow" showAll="0">
      <items count="12">
        <item x="0"/>
        <item x="9"/>
        <item x="2"/>
        <item x="10"/>
        <item x="1"/>
        <item x="3"/>
        <item x="4"/>
        <item x="8"/>
        <item x="5"/>
        <item x="6"/>
        <item x="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Capacit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E75065-1955-465C-B072-D216E05170E7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P10" firstHeaderRow="1" firstDataRow="1" firstDataCol="1"/>
  <pivotFields count="3">
    <pivotField axis="axisRow" showAll="0">
      <items count="10">
        <item x="0"/>
        <item x="2"/>
        <item x="1"/>
        <item m="1" x="8"/>
        <item x="3"/>
        <item x="7"/>
        <item x="4"/>
        <item x="5"/>
        <item x="6"/>
        <item t="default"/>
      </items>
    </pivotField>
    <pivotField showAll="0"/>
    <pivotField dataField="1" showAll="0"/>
  </pivotFields>
  <rowFields count="1">
    <field x="0"/>
  </rowFields>
  <rowItems count="9">
    <i>
      <x/>
    </i>
    <i>
      <x v="1"/>
    </i>
    <i>
      <x v="2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Capacit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FF0A80-4D29-4179-9E74-7ECD39C9DA05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6:E26" firstHeaderRow="1" firstDataRow="1" firstDataCol="1"/>
  <pivotFields count="3">
    <pivotField axis="axisRow" showAll="0">
      <items count="10">
        <item x="3"/>
        <item x="1"/>
        <item x="4"/>
        <item x="8"/>
        <item x="2"/>
        <item x="0"/>
        <item x="7"/>
        <item x="6"/>
        <item x="5"/>
        <item t="default"/>
      </items>
    </pivotField>
    <pivotField showAll="0"/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Capacit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D064D8-9D2E-45A5-AEA1-8192021B29CE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 rowPageCount="1" colPageCount="1"/>
  <pivotFields count="3">
    <pivotField axis="axisRow" showAll="0">
      <items count="10">
        <item x="0"/>
        <item x="2"/>
        <item x="1"/>
        <item x="8"/>
        <item x="3"/>
        <item x="7"/>
        <item x="4"/>
        <item x="5"/>
        <item x="6"/>
        <item t="default"/>
      </items>
    </pivotField>
    <pivotField axis="axisPage" multipleItemSelectionAllowed="1" showAll="0">
      <items count="28">
        <item h="1" x="26"/>
        <item h="1" x="25"/>
        <item x="16"/>
        <item x="4"/>
        <item x="5"/>
        <item x="6"/>
        <item x="1"/>
        <item x="2"/>
        <item x="7"/>
        <item x="8"/>
        <item x="9"/>
        <item x="10"/>
        <item x="11"/>
        <item x="17"/>
        <item x="18"/>
        <item x="19"/>
        <item x="20"/>
        <item x="12"/>
        <item x="23"/>
        <item x="13"/>
        <item x="14"/>
        <item x="3"/>
        <item x="0"/>
        <item x="15"/>
        <item x="24"/>
        <item x="21"/>
        <item x="22"/>
        <item t="default"/>
      </items>
    </pivotField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" hier="-1"/>
  </pageFields>
  <dataFields count="1">
    <dataField name="Sum of Capacit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A8394E-6426-4190-9B93-7938DB755BBC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12" firstHeaderRow="1" firstDataRow="1" firstDataCol="1"/>
  <pivotFields count="3">
    <pivotField axis="axisRow" showAll="0">
      <items count="9">
        <item x="0"/>
        <item x="2"/>
        <item x="1"/>
        <item x="3"/>
        <item x="7"/>
        <item x="4"/>
        <item x="5"/>
        <item x="6"/>
        <item t="default"/>
      </items>
    </pivotField>
    <pivotField showAll="0"/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Capacit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1B6CC6-6461-474A-9FDB-17F5A6DE42F6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N8:O21" firstHeaderRow="1" firstDataRow="1" firstDataCol="1" rowPageCount="1" colPageCount="1"/>
  <pivotFields count="11">
    <pivotField showAll="0"/>
    <pivotField axis="axisRow" multipleItemSelectionAllowe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showAll="0">
      <items count="65">
        <item x="16"/>
        <item x="54"/>
        <item x="55"/>
        <item x="57"/>
        <item x="56"/>
        <item x="53"/>
        <item x="52"/>
        <item x="45"/>
        <item x="51"/>
        <item x="50"/>
        <item x="60"/>
        <item x="59"/>
        <item x="61"/>
        <item x="62"/>
        <item x="1"/>
        <item x="58"/>
        <item x="47"/>
        <item x="46"/>
        <item x="49"/>
        <item x="15"/>
        <item x="8"/>
        <item x="48"/>
        <item x="7"/>
        <item x="14"/>
        <item x="13"/>
        <item x="12"/>
        <item x="43"/>
        <item x="10"/>
        <item x="11"/>
        <item x="4"/>
        <item x="3"/>
        <item x="2"/>
        <item x="33"/>
        <item x="32"/>
        <item x="18"/>
        <item x="19"/>
        <item x="17"/>
        <item x="25"/>
        <item x="28"/>
        <item x="24"/>
        <item x="9"/>
        <item x="20"/>
        <item x="21"/>
        <item x="6"/>
        <item x="5"/>
        <item x="22"/>
        <item x="0"/>
        <item x="23"/>
        <item x="38"/>
        <item x="37"/>
        <item x="42"/>
        <item x="35"/>
        <item x="27"/>
        <item x="39"/>
        <item x="36"/>
        <item x="34"/>
        <item x="26"/>
        <item x="40"/>
        <item x="41"/>
        <item x="29"/>
        <item x="44"/>
        <item x="30"/>
        <item x="31"/>
        <item x="6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2" hier="-1"/>
  </pageFields>
  <dataFields count="1">
    <dataField name="Sum of Capacity" fld="3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AD12EE-97D8-411B-9FF6-EFD7D6CF28B9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6:V17" firstHeaderRow="1" firstDataRow="1" firstDataCol="1"/>
  <pivotFields count="4">
    <pivotField axis="axisRow" showAll="0">
      <items count="11">
        <item x="2"/>
        <item x="4"/>
        <item x="0"/>
        <item x="3"/>
        <item x="6"/>
        <item x="7"/>
        <item x="1"/>
        <item x="9"/>
        <item x="8"/>
        <item x="5"/>
        <item t="default"/>
      </items>
    </pivotField>
    <pivotField showAll="0"/>
    <pivotField dataField="1"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Capacit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85B147-C338-4298-BB48-DAAD5DB81760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6:S17" firstHeaderRow="1" firstDataRow="1" firstDataCol="1"/>
  <pivotFields count="10">
    <pivotField showAll="0"/>
    <pivotField axis="axisRow" showAll="0">
      <items count="11">
        <item x="2"/>
        <item x="4"/>
        <item x="0"/>
        <item x="3"/>
        <item x="6"/>
        <item x="7"/>
        <item x="1"/>
        <item x="9"/>
        <item x="8"/>
        <item x="5"/>
        <item t="default"/>
      </items>
    </pivotField>
    <pivotField showAll="0">
      <items count="44"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Capaci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B9EE56-CA82-4652-A089-20D343A6C0F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2:N12" firstHeaderRow="1" firstDataRow="1" firstDataCol="1"/>
  <pivotFields count="3">
    <pivotField axis="axisRow" showAll="0">
      <items count="13">
        <item m="1" x="10"/>
        <item x="2"/>
        <item m="1" x="11"/>
        <item x="4"/>
        <item x="5"/>
        <item x="6"/>
        <item x="7"/>
        <item x="8"/>
        <item m="1" x="9"/>
        <item x="3"/>
        <item x="1"/>
        <item x="0"/>
        <item t="default"/>
      </items>
    </pivotField>
    <pivotField showAll="0"/>
    <pivotField dataField="1" showAll="0"/>
  </pivotFields>
  <rowFields count="1">
    <field x="0"/>
  </rowFields>
  <rowItems count="10">
    <i>
      <x v="1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 t="grand">
      <x/>
    </i>
  </rowItems>
  <colItems count="1">
    <i/>
  </colItems>
  <dataFields count="1">
    <dataField name="Sum of Capacit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21BF19-FF47-46A9-B714-2923E27A754D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2:M11" firstHeaderRow="1" firstDataRow="1" firstDataCol="1"/>
  <pivotFields count="3">
    <pivotField axis="axisRow" showAll="0">
      <items count="10">
        <item x="0"/>
        <item m="1" x="8"/>
        <item x="2"/>
        <item x="3"/>
        <item x="4"/>
        <item x="1"/>
        <item x="5"/>
        <item x="6"/>
        <item x="7"/>
        <item t="default"/>
      </items>
    </pivotField>
    <pivotField showAll="0"/>
    <pivotField dataField="1" showAll="0"/>
  </pivotFields>
  <rowFields count="1">
    <field x="0"/>
  </rowFields>
  <rowItems count="9">
    <i>
      <x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Capacit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DF3433-EF20-454D-8329-33CF8700EADF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2:N12" firstHeaderRow="1" firstDataRow="1" firstDataCol="1"/>
  <pivotFields count="3">
    <pivotField axis="axisRow" showAll="0">
      <items count="13">
        <item m="1" x="10"/>
        <item x="2"/>
        <item m="1" x="11"/>
        <item x="4"/>
        <item x="5"/>
        <item x="6"/>
        <item x="7"/>
        <item x="8"/>
        <item m="1" x="9"/>
        <item x="3"/>
        <item x="1"/>
        <item x="0"/>
        <item t="default"/>
      </items>
    </pivotField>
    <pivotField showAll="0"/>
    <pivotField dataField="1" showAll="0"/>
  </pivotFields>
  <rowFields count="1">
    <field x="0"/>
  </rowFields>
  <rowItems count="10">
    <i>
      <x v="1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 t="grand">
      <x/>
    </i>
  </rowItems>
  <colItems count="1">
    <i/>
  </colItems>
  <dataFields count="1">
    <dataField name="Sum of Capacit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CCD9EA-0970-4B56-991F-5E17BA3890E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2:N12" firstHeaderRow="1" firstDataRow="1" firstDataCol="1"/>
  <pivotFields count="3">
    <pivotField axis="axisRow" showAll="0">
      <items count="13">
        <item m="1" x="10"/>
        <item x="2"/>
        <item m="1" x="11"/>
        <item x="4"/>
        <item x="5"/>
        <item x="6"/>
        <item x="7"/>
        <item x="8"/>
        <item m="1" x="9"/>
        <item x="3"/>
        <item x="1"/>
        <item x="0"/>
        <item t="default"/>
      </items>
    </pivotField>
    <pivotField showAll="0"/>
    <pivotField dataField="1" showAll="0"/>
  </pivotFields>
  <rowFields count="1">
    <field x="0"/>
  </rowFields>
  <rowItems count="10">
    <i>
      <x v="1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 t="grand">
      <x/>
    </i>
  </rowItems>
  <colItems count="1">
    <i/>
  </colItems>
  <dataFields count="1">
    <dataField name="Sum of Capacit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D1ECBC-A7C8-4A99-B4B2-F89CFCF70C3C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3:P13" firstHeaderRow="1" firstDataRow="1" firstDataCol="1"/>
  <pivotFields count="3">
    <pivotField axis="axisRow" showAll="0">
      <items count="10">
        <item x="8"/>
        <item x="4"/>
        <item x="7"/>
        <item x="0"/>
        <item x="5"/>
        <item x="2"/>
        <item x="3"/>
        <item x="1"/>
        <item x="6"/>
        <item t="default"/>
      </items>
    </pivotField>
    <pivotField showAll="0"/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Capacit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DB7B8B-0C79-4D4C-8E28-80C290F64FA5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4:L11" firstHeaderRow="1" firstDataRow="1" firstDataCol="1"/>
  <pivotFields count="7">
    <pivotField showAll="0"/>
    <pivotField axis="axisRow" showAll="0">
      <items count="7">
        <item x="4"/>
        <item x="0"/>
        <item x="5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Capaci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F26451-E31D-47E6-8F31-F8B5E9E2F19D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2:N11" firstHeaderRow="1" firstDataRow="1" firstDataCol="1"/>
  <pivotFields count="3">
    <pivotField axis="axisRow" showAll="0">
      <items count="9">
        <item x="7"/>
        <item x="4"/>
        <item x="6"/>
        <item x="0"/>
        <item x="2"/>
        <item x="3"/>
        <item x="1"/>
        <item x="5"/>
        <item t="default"/>
      </items>
    </pivotField>
    <pivotField showAll="0"/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Capacit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BDB821-21CE-43E4-8468-DFB3CEBCE60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/>
  <pivotFields count="10">
    <pivotField showAll="0"/>
    <pivotField axis="axisRow" showAll="0">
      <items count="12">
        <item x="0"/>
        <item x="9"/>
        <item x="2"/>
        <item x="10"/>
        <item x="1"/>
        <item x="3"/>
        <item x="4"/>
        <item x="8"/>
        <item x="5"/>
        <item x="6"/>
        <item x="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Capaci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5E67B3-2599-4954-A361-7612626F384A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7:K51" firstHeaderRow="1" firstDataRow="1" firstDataCol="1"/>
  <pivotFields count="7">
    <pivotField showAll="0"/>
    <pivotField axis="axisRow" showAll="0">
      <items count="14">
        <item x="3"/>
        <item x="4"/>
        <item x="2"/>
        <item x="1"/>
        <item x="6"/>
        <item x="5"/>
        <item x="11"/>
        <item x="7"/>
        <item x="0"/>
        <item x="8"/>
        <item x="9"/>
        <item x="10"/>
        <item x="12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Average of Capacity" fld="6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2-04-08T09:56:55.65" personId="{C0CD9C9B-24FD-4251-A7B4-F89F5A89869D}" id="{574280A0-A272-47A3-9DC8-5600895E43AD}">
    <text>name as in amiris</text>
  </threadedComment>
</ThreadedComment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1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12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13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14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1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ivotTable" Target="../pivotTables/pivotTable17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169AB-033B-41B8-B3FB-5B066D00AEA9}">
  <dimension ref="A1:K31"/>
  <sheetViews>
    <sheetView zoomScale="115" zoomScaleNormal="115" workbookViewId="0">
      <selection activeCell="J28" sqref="J28"/>
    </sheetView>
  </sheetViews>
  <sheetFormatPr defaultRowHeight="15"/>
  <cols>
    <col min="2" max="2" width="15" customWidth="1"/>
    <col min="3" max="3" width="11.28515625" customWidth="1"/>
    <col min="6" max="6" width="11.7109375" customWidth="1"/>
  </cols>
  <sheetData>
    <row r="1" spans="1:1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>
        <v>0</v>
      </c>
      <c r="B2" t="s">
        <v>11</v>
      </c>
      <c r="C2">
        <v>1</v>
      </c>
      <c r="D2">
        <v>1100</v>
      </c>
      <c r="E2">
        <v>0.1</v>
      </c>
      <c r="F2">
        <v>0.9</v>
      </c>
      <c r="G2" t="s">
        <v>12</v>
      </c>
      <c r="H2" t="s">
        <v>13</v>
      </c>
      <c r="I2">
        <v>0</v>
      </c>
      <c r="J2">
        <v>0</v>
      </c>
      <c r="K2">
        <v>0</v>
      </c>
    </row>
    <row r="3" spans="1:11">
      <c r="A3" s="1">
        <v>1</v>
      </c>
      <c r="B3" t="s">
        <v>11</v>
      </c>
      <c r="C3">
        <v>1</v>
      </c>
      <c r="D3">
        <v>1100</v>
      </c>
      <c r="E3">
        <v>0.11</v>
      </c>
      <c r="F3">
        <v>0.9</v>
      </c>
      <c r="G3" t="s">
        <v>12</v>
      </c>
      <c r="H3" t="s">
        <v>13</v>
      </c>
      <c r="I3">
        <v>0</v>
      </c>
      <c r="J3">
        <v>0</v>
      </c>
      <c r="K3">
        <v>0</v>
      </c>
    </row>
    <row r="4" spans="1:11">
      <c r="A4" s="1">
        <v>2</v>
      </c>
      <c r="B4" t="s">
        <v>11</v>
      </c>
      <c r="C4">
        <v>1</v>
      </c>
      <c r="D4">
        <v>1100</v>
      </c>
      <c r="E4">
        <v>0.12</v>
      </c>
      <c r="F4">
        <v>0.9</v>
      </c>
      <c r="G4" t="s">
        <v>12</v>
      </c>
      <c r="H4" t="s">
        <v>13</v>
      </c>
      <c r="I4">
        <v>0</v>
      </c>
      <c r="J4">
        <v>0</v>
      </c>
      <c r="K4">
        <v>0</v>
      </c>
    </row>
    <row r="5" spans="1:11">
      <c r="A5" s="1">
        <v>3</v>
      </c>
      <c r="B5" t="s">
        <v>11</v>
      </c>
      <c r="C5">
        <v>1</v>
      </c>
      <c r="D5">
        <v>1100</v>
      </c>
      <c r="E5">
        <v>0.13</v>
      </c>
      <c r="F5">
        <v>0.9</v>
      </c>
      <c r="G5" t="s">
        <v>12</v>
      </c>
      <c r="H5" t="s">
        <v>13</v>
      </c>
      <c r="I5">
        <v>0</v>
      </c>
      <c r="J5">
        <v>0</v>
      </c>
      <c r="K5">
        <v>0</v>
      </c>
    </row>
    <row r="6" spans="1:11">
      <c r="A6" s="1">
        <v>4</v>
      </c>
      <c r="B6" t="s">
        <v>11</v>
      </c>
      <c r="C6">
        <v>1</v>
      </c>
      <c r="D6">
        <v>1100</v>
      </c>
      <c r="E6">
        <v>0.14000000000000001</v>
      </c>
      <c r="F6">
        <v>0.9</v>
      </c>
      <c r="G6" t="s">
        <v>12</v>
      </c>
      <c r="H6" t="s">
        <v>13</v>
      </c>
      <c r="I6">
        <v>0</v>
      </c>
      <c r="J6">
        <v>0</v>
      </c>
      <c r="K6">
        <v>0</v>
      </c>
    </row>
    <row r="7" spans="1:11">
      <c r="A7" s="1">
        <v>5</v>
      </c>
      <c r="B7" t="s">
        <v>11</v>
      </c>
      <c r="C7">
        <v>1</v>
      </c>
      <c r="D7">
        <v>1100</v>
      </c>
      <c r="E7">
        <v>0.15</v>
      </c>
      <c r="F7">
        <v>0.9</v>
      </c>
      <c r="G7" t="s">
        <v>12</v>
      </c>
      <c r="H7" t="s">
        <v>13</v>
      </c>
      <c r="I7">
        <v>0</v>
      </c>
      <c r="J7">
        <v>0</v>
      </c>
      <c r="K7">
        <v>0</v>
      </c>
    </row>
    <row r="8" spans="1:11">
      <c r="A8" s="1">
        <v>6</v>
      </c>
      <c r="B8" t="s">
        <v>11</v>
      </c>
      <c r="C8">
        <v>1</v>
      </c>
      <c r="D8">
        <v>1100</v>
      </c>
      <c r="E8">
        <v>0.16</v>
      </c>
      <c r="F8">
        <v>0.9</v>
      </c>
      <c r="G8" t="s">
        <v>12</v>
      </c>
      <c r="H8" t="s">
        <v>13</v>
      </c>
      <c r="I8">
        <v>0</v>
      </c>
      <c r="J8">
        <v>0</v>
      </c>
      <c r="K8">
        <v>0</v>
      </c>
    </row>
    <row r="9" spans="1:11">
      <c r="A9" s="1">
        <v>7</v>
      </c>
      <c r="B9" t="s">
        <v>11</v>
      </c>
      <c r="C9">
        <v>1</v>
      </c>
      <c r="D9">
        <v>1100</v>
      </c>
      <c r="E9">
        <v>0.17</v>
      </c>
      <c r="F9">
        <v>0.9</v>
      </c>
      <c r="G9" t="s">
        <v>12</v>
      </c>
      <c r="H9" t="s">
        <v>13</v>
      </c>
      <c r="I9">
        <v>0</v>
      </c>
      <c r="J9">
        <v>0</v>
      </c>
      <c r="K9">
        <v>0</v>
      </c>
    </row>
    <row r="10" spans="1:11">
      <c r="A10" s="1">
        <v>8</v>
      </c>
      <c r="B10" t="s">
        <v>11</v>
      </c>
      <c r="C10">
        <v>1</v>
      </c>
      <c r="D10">
        <v>1100</v>
      </c>
      <c r="E10">
        <v>0.18</v>
      </c>
      <c r="F10">
        <v>0.9</v>
      </c>
      <c r="G10" t="s">
        <v>12</v>
      </c>
      <c r="H10" t="s">
        <v>13</v>
      </c>
      <c r="I10">
        <v>0</v>
      </c>
      <c r="J10">
        <v>0</v>
      </c>
      <c r="K10">
        <v>0</v>
      </c>
    </row>
    <row r="11" spans="1:11">
      <c r="A11" s="1">
        <v>9</v>
      </c>
      <c r="B11" t="s">
        <v>11</v>
      </c>
      <c r="C11">
        <v>1</v>
      </c>
      <c r="D11">
        <v>1100</v>
      </c>
      <c r="E11">
        <v>0.19</v>
      </c>
      <c r="F11">
        <v>0.9</v>
      </c>
      <c r="G11" t="s">
        <v>12</v>
      </c>
      <c r="H11" t="s">
        <v>13</v>
      </c>
      <c r="I11">
        <v>0</v>
      </c>
      <c r="J11">
        <v>0</v>
      </c>
      <c r="K11">
        <v>0</v>
      </c>
    </row>
    <row r="12" spans="1:11">
      <c r="A12" s="1">
        <v>10</v>
      </c>
      <c r="B12" t="s">
        <v>11</v>
      </c>
      <c r="C12">
        <v>1</v>
      </c>
      <c r="D12">
        <v>1100</v>
      </c>
      <c r="E12">
        <v>0.2</v>
      </c>
      <c r="F12">
        <v>0.9</v>
      </c>
      <c r="G12" t="s">
        <v>12</v>
      </c>
      <c r="H12" t="s">
        <v>13</v>
      </c>
      <c r="I12">
        <v>0</v>
      </c>
      <c r="J12">
        <v>0</v>
      </c>
      <c r="K12">
        <v>0</v>
      </c>
    </row>
    <row r="13" spans="1:11">
      <c r="A13" s="1">
        <v>11</v>
      </c>
      <c r="B13" t="s">
        <v>11</v>
      </c>
      <c r="C13">
        <v>1</v>
      </c>
      <c r="D13">
        <v>1100</v>
      </c>
      <c r="E13">
        <v>0.21</v>
      </c>
      <c r="F13">
        <v>0.9</v>
      </c>
      <c r="G13" t="s">
        <v>12</v>
      </c>
      <c r="H13" t="s">
        <v>13</v>
      </c>
      <c r="I13">
        <v>0</v>
      </c>
      <c r="J13">
        <v>0</v>
      </c>
      <c r="K13">
        <v>0</v>
      </c>
    </row>
    <row r="14" spans="1:11">
      <c r="A14" s="1">
        <v>12</v>
      </c>
      <c r="B14" t="s">
        <v>11</v>
      </c>
      <c r="C14">
        <v>1</v>
      </c>
      <c r="D14">
        <v>1100</v>
      </c>
      <c r="E14">
        <v>0.22</v>
      </c>
      <c r="F14">
        <v>0.9</v>
      </c>
      <c r="G14" t="s">
        <v>12</v>
      </c>
      <c r="H14" t="s">
        <v>13</v>
      </c>
      <c r="I14">
        <v>0</v>
      </c>
      <c r="J14">
        <v>0</v>
      </c>
      <c r="K14">
        <v>0</v>
      </c>
    </row>
    <row r="15" spans="1:11">
      <c r="A15" s="1">
        <v>13</v>
      </c>
      <c r="B15" t="s">
        <v>11</v>
      </c>
      <c r="C15">
        <v>1</v>
      </c>
      <c r="D15">
        <v>1100</v>
      </c>
      <c r="E15">
        <v>0.23</v>
      </c>
      <c r="F15">
        <v>0.9</v>
      </c>
      <c r="G15" t="s">
        <v>12</v>
      </c>
      <c r="H15" t="s">
        <v>13</v>
      </c>
      <c r="I15">
        <v>0</v>
      </c>
      <c r="J15">
        <v>0</v>
      </c>
      <c r="K15">
        <v>0</v>
      </c>
    </row>
    <row r="16" spans="1:11">
      <c r="A16" s="1">
        <v>14</v>
      </c>
      <c r="B16" t="s">
        <v>11</v>
      </c>
      <c r="C16">
        <v>1</v>
      </c>
      <c r="D16">
        <v>1100</v>
      </c>
      <c r="E16">
        <v>0.24</v>
      </c>
      <c r="F16">
        <v>0.9</v>
      </c>
      <c r="G16" t="s">
        <v>12</v>
      </c>
      <c r="H16" t="s">
        <v>13</v>
      </c>
      <c r="I16">
        <v>0</v>
      </c>
      <c r="J16">
        <v>0</v>
      </c>
      <c r="K16">
        <v>0</v>
      </c>
    </row>
    <row r="17" spans="1:11">
      <c r="A17" s="1">
        <v>15</v>
      </c>
      <c r="B17" t="s">
        <v>11</v>
      </c>
      <c r="C17">
        <v>1</v>
      </c>
      <c r="D17">
        <v>1100</v>
      </c>
      <c r="E17">
        <v>0.25</v>
      </c>
      <c r="F17">
        <v>0.9</v>
      </c>
      <c r="G17" t="s">
        <v>12</v>
      </c>
      <c r="H17" t="s">
        <v>13</v>
      </c>
      <c r="I17">
        <v>0</v>
      </c>
      <c r="J17">
        <v>0</v>
      </c>
      <c r="K17">
        <v>0</v>
      </c>
    </row>
    <row r="18" spans="1:11">
      <c r="A18" s="1">
        <v>16</v>
      </c>
      <c r="B18" t="s">
        <v>11</v>
      </c>
      <c r="C18">
        <v>1</v>
      </c>
      <c r="D18">
        <v>1100</v>
      </c>
      <c r="E18">
        <v>0.26</v>
      </c>
      <c r="F18">
        <v>0.9</v>
      </c>
      <c r="G18" t="s">
        <v>12</v>
      </c>
      <c r="H18" t="s">
        <v>13</v>
      </c>
      <c r="I18">
        <v>0</v>
      </c>
      <c r="J18">
        <v>0</v>
      </c>
      <c r="K18">
        <v>0</v>
      </c>
    </row>
    <row r="19" spans="1:11">
      <c r="A19" s="1">
        <v>17</v>
      </c>
      <c r="B19" t="s">
        <v>11</v>
      </c>
      <c r="C19">
        <v>1</v>
      </c>
      <c r="D19">
        <v>1100</v>
      </c>
      <c r="E19">
        <v>0.27</v>
      </c>
      <c r="F19">
        <v>0.9</v>
      </c>
      <c r="G19" t="s">
        <v>12</v>
      </c>
      <c r="H19" t="s">
        <v>13</v>
      </c>
      <c r="I19">
        <v>0</v>
      </c>
      <c r="J19">
        <v>0</v>
      </c>
      <c r="K19">
        <v>0</v>
      </c>
    </row>
    <row r="20" spans="1:11">
      <c r="A20" s="1">
        <v>18</v>
      </c>
      <c r="B20" t="s">
        <v>11</v>
      </c>
      <c r="C20">
        <v>1</v>
      </c>
      <c r="D20">
        <v>1100</v>
      </c>
      <c r="E20">
        <v>0.28000000000000003</v>
      </c>
      <c r="F20">
        <v>0.9</v>
      </c>
      <c r="G20" t="s">
        <v>12</v>
      </c>
      <c r="H20" t="s">
        <v>13</v>
      </c>
      <c r="I20">
        <v>0</v>
      </c>
      <c r="J20">
        <v>0</v>
      </c>
      <c r="K20">
        <v>0</v>
      </c>
    </row>
    <row r="21" spans="1:11">
      <c r="A21" s="1">
        <v>19</v>
      </c>
      <c r="B21" t="s">
        <v>11</v>
      </c>
      <c r="C21">
        <v>1</v>
      </c>
      <c r="D21">
        <v>1100</v>
      </c>
      <c r="E21">
        <v>0.28999999999999998</v>
      </c>
      <c r="F21">
        <v>0.9</v>
      </c>
      <c r="G21" t="s">
        <v>12</v>
      </c>
      <c r="H21" t="s">
        <v>13</v>
      </c>
      <c r="I21">
        <v>0</v>
      </c>
      <c r="J21">
        <v>0</v>
      </c>
      <c r="K21">
        <v>0</v>
      </c>
    </row>
    <row r="22" spans="1:11">
      <c r="A22" s="1">
        <v>20</v>
      </c>
      <c r="B22" t="s">
        <v>11</v>
      </c>
      <c r="C22">
        <v>1</v>
      </c>
      <c r="D22">
        <v>1100</v>
      </c>
      <c r="E22">
        <v>0.3</v>
      </c>
      <c r="F22">
        <v>0.9</v>
      </c>
      <c r="G22" t="s">
        <v>12</v>
      </c>
      <c r="H22" t="s">
        <v>13</v>
      </c>
      <c r="I22">
        <v>0</v>
      </c>
      <c r="J22">
        <v>0</v>
      </c>
      <c r="K22">
        <v>0</v>
      </c>
    </row>
    <row r="23" spans="1:11">
      <c r="A23" s="1">
        <v>21</v>
      </c>
      <c r="B23" t="s">
        <v>14</v>
      </c>
      <c r="C23">
        <v>1</v>
      </c>
      <c r="D23">
        <v>1</v>
      </c>
      <c r="E23">
        <v>1</v>
      </c>
      <c r="F23">
        <v>1</v>
      </c>
      <c r="G23" t="s">
        <v>12</v>
      </c>
      <c r="H23" t="s">
        <v>13</v>
      </c>
      <c r="I23">
        <v>0</v>
      </c>
      <c r="J23">
        <v>0</v>
      </c>
      <c r="K23">
        <v>0</v>
      </c>
    </row>
    <row r="24" spans="1:11">
      <c r="A24" s="1"/>
    </row>
    <row r="25" spans="1:11">
      <c r="A25" s="1"/>
    </row>
    <row r="26" spans="1:11">
      <c r="A26" s="1"/>
    </row>
    <row r="27" spans="1:11">
      <c r="A27" s="1"/>
    </row>
    <row r="28" spans="1:11">
      <c r="A28" s="1"/>
    </row>
    <row r="29" spans="1:11">
      <c r="A29" s="1"/>
    </row>
    <row r="30" spans="1:11">
      <c r="A30" s="9"/>
    </row>
    <row r="31" spans="1:11">
      <c r="A31" s="9"/>
    </row>
  </sheetData>
  <autoFilter ref="A1:J1" xr:uid="{BCCA0DB4-82B5-4F45-9627-77778B586330}">
    <sortState xmlns:xlrd2="http://schemas.microsoft.com/office/spreadsheetml/2017/richdata2" ref="A2:J21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4D45E-47BE-4484-8166-1FE6AE7D2D6F}">
  <sheetPr>
    <tabColor rgb="FFFFFF00"/>
  </sheetPr>
  <dimension ref="A1:A2"/>
  <sheetViews>
    <sheetView workbookViewId="0">
      <selection activeCell="C13" sqref="C13"/>
    </sheetView>
  </sheetViews>
  <sheetFormatPr defaultRowHeight="15"/>
  <sheetData>
    <row r="1" spans="1:1">
      <c r="A1" t="s">
        <v>15</v>
      </c>
    </row>
    <row r="2" spans="1:1">
      <c r="A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4957-C263-4562-A44D-8879B8EAAB8F}">
  <sheetPr>
    <tabColor rgb="FFFF0000"/>
  </sheetPr>
  <dimension ref="A1:O51"/>
  <sheetViews>
    <sheetView workbookViewId="0">
      <selection activeCell="K8" sqref="K8"/>
    </sheetView>
  </sheetViews>
  <sheetFormatPr defaultRowHeight="15"/>
  <cols>
    <col min="1" max="1" width="6" customWidth="1"/>
    <col min="2" max="2" width="29.7109375" customWidth="1"/>
    <col min="7" max="7" width="10.28515625" customWidth="1"/>
    <col min="9" max="9" width="17.140625" customWidth="1"/>
    <col min="14" max="14" width="30.28515625" bestFit="1" customWidth="1"/>
    <col min="15" max="15" width="15.140625" bestFit="1" customWidth="1"/>
  </cols>
  <sheetData>
    <row r="1" spans="1:15">
      <c r="A1" s="1" t="s">
        <v>17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</v>
      </c>
      <c r="G1" s="1" t="s">
        <v>6</v>
      </c>
      <c r="H1" s="1" t="s">
        <v>8</v>
      </c>
      <c r="I1" s="1" t="s">
        <v>9</v>
      </c>
      <c r="J1" s="1" t="s">
        <v>19</v>
      </c>
      <c r="N1" s="2" t="s">
        <v>20</v>
      </c>
      <c r="O1" t="s">
        <v>21</v>
      </c>
    </row>
    <row r="2" spans="1:15">
      <c r="A2">
        <v>20</v>
      </c>
      <c r="B2" t="s">
        <v>22</v>
      </c>
      <c r="C2">
        <v>25</v>
      </c>
      <c r="D2">
        <v>631</v>
      </c>
      <c r="E2">
        <v>0.42</v>
      </c>
      <c r="F2">
        <v>0.80000000000000016</v>
      </c>
      <c r="G2" t="s">
        <v>12</v>
      </c>
      <c r="H2">
        <v>0</v>
      </c>
      <c r="I2">
        <v>0</v>
      </c>
      <c r="N2" s="3" t="s">
        <v>22</v>
      </c>
      <c r="O2">
        <v>631</v>
      </c>
    </row>
    <row r="3" spans="1:15">
      <c r="A3">
        <v>21</v>
      </c>
      <c r="B3" t="s">
        <v>23</v>
      </c>
      <c r="C3">
        <v>4</v>
      </c>
      <c r="D3">
        <v>790</v>
      </c>
      <c r="E3">
        <v>0.46</v>
      </c>
      <c r="F3">
        <v>0.9</v>
      </c>
      <c r="G3" t="s">
        <v>12</v>
      </c>
      <c r="H3">
        <v>0</v>
      </c>
      <c r="I3">
        <v>0</v>
      </c>
      <c r="J3" s="19">
        <v>2025</v>
      </c>
      <c r="L3" t="s">
        <v>24</v>
      </c>
      <c r="N3" s="3" t="s">
        <v>25</v>
      </c>
      <c r="O3">
        <v>1.7679999999999969</v>
      </c>
    </row>
    <row r="4" spans="1:15">
      <c r="A4">
        <v>22</v>
      </c>
      <c r="B4" t="s">
        <v>23</v>
      </c>
      <c r="C4">
        <v>5</v>
      </c>
      <c r="D4">
        <v>2640</v>
      </c>
      <c r="E4">
        <v>0.46</v>
      </c>
      <c r="F4">
        <v>0.9</v>
      </c>
      <c r="G4" t="s">
        <v>12</v>
      </c>
      <c r="H4">
        <v>0</v>
      </c>
      <c r="I4">
        <v>0</v>
      </c>
      <c r="J4" s="19">
        <v>2030</v>
      </c>
      <c r="N4" s="3" t="s">
        <v>26</v>
      </c>
      <c r="O4">
        <v>7586</v>
      </c>
    </row>
    <row r="5" spans="1:15">
      <c r="A5">
        <v>23</v>
      </c>
      <c r="B5" t="s">
        <v>23</v>
      </c>
      <c r="C5">
        <v>24</v>
      </c>
      <c r="D5">
        <v>630</v>
      </c>
      <c r="E5">
        <v>0.41</v>
      </c>
      <c r="F5">
        <v>0.9</v>
      </c>
      <c r="G5" t="s">
        <v>12</v>
      </c>
      <c r="H5">
        <v>0</v>
      </c>
      <c r="I5">
        <v>0</v>
      </c>
      <c r="J5" s="19">
        <v>2030</v>
      </c>
      <c r="N5" s="3" t="s">
        <v>27</v>
      </c>
      <c r="O5">
        <v>8501.9630099999995</v>
      </c>
    </row>
    <row r="6" spans="1:15">
      <c r="A6">
        <v>24</v>
      </c>
      <c r="B6" t="s">
        <v>26</v>
      </c>
      <c r="C6">
        <v>1</v>
      </c>
      <c r="D6">
        <v>341</v>
      </c>
      <c r="E6">
        <v>0.52</v>
      </c>
      <c r="F6">
        <v>0.9</v>
      </c>
      <c r="G6" t="s">
        <v>12</v>
      </c>
      <c r="H6">
        <v>0</v>
      </c>
      <c r="I6">
        <v>0</v>
      </c>
      <c r="N6" s="3" t="s">
        <v>23</v>
      </c>
      <c r="O6">
        <v>4060</v>
      </c>
    </row>
    <row r="7" spans="1:15">
      <c r="A7">
        <v>25</v>
      </c>
      <c r="B7" t="s">
        <v>26</v>
      </c>
      <c r="C7">
        <v>2</v>
      </c>
      <c r="D7">
        <v>800</v>
      </c>
      <c r="E7">
        <v>0.56000000000000005</v>
      </c>
      <c r="F7">
        <v>0.9</v>
      </c>
      <c r="G7" t="s">
        <v>12</v>
      </c>
      <c r="H7">
        <v>0</v>
      </c>
      <c r="I7">
        <v>0</v>
      </c>
      <c r="N7" s="3" t="s">
        <v>28</v>
      </c>
      <c r="O7">
        <v>40.207000000000001</v>
      </c>
    </row>
    <row r="8" spans="1:15">
      <c r="A8">
        <v>26</v>
      </c>
      <c r="B8" t="s">
        <v>26</v>
      </c>
      <c r="C8">
        <v>3</v>
      </c>
      <c r="D8">
        <v>874</v>
      </c>
      <c r="E8">
        <v>0.57999999999999996</v>
      </c>
      <c r="F8">
        <v>0.9</v>
      </c>
      <c r="G8" t="s">
        <v>12</v>
      </c>
      <c r="H8">
        <v>0</v>
      </c>
      <c r="I8">
        <v>0</v>
      </c>
      <c r="N8" s="3" t="s">
        <v>29</v>
      </c>
      <c r="O8">
        <v>484</v>
      </c>
    </row>
    <row r="9" spans="1:15">
      <c r="A9">
        <v>27</v>
      </c>
      <c r="B9" t="s">
        <v>26</v>
      </c>
      <c r="C9">
        <v>4</v>
      </c>
      <c r="D9">
        <v>420</v>
      </c>
      <c r="E9">
        <v>0.59</v>
      </c>
      <c r="F9">
        <v>0.9</v>
      </c>
      <c r="G9" t="s">
        <v>12</v>
      </c>
      <c r="H9">
        <v>0</v>
      </c>
      <c r="I9">
        <v>0</v>
      </c>
      <c r="N9" s="3" t="s">
        <v>11</v>
      </c>
      <c r="O9">
        <v>1103</v>
      </c>
    </row>
    <row r="10" spans="1:15">
      <c r="A10">
        <v>28</v>
      </c>
      <c r="B10" t="s">
        <v>26</v>
      </c>
      <c r="C10">
        <v>6</v>
      </c>
      <c r="D10">
        <v>872</v>
      </c>
      <c r="E10">
        <v>0.58498853211009172</v>
      </c>
      <c r="F10">
        <v>0.9</v>
      </c>
      <c r="G10" t="s">
        <v>12</v>
      </c>
      <c r="H10">
        <v>0</v>
      </c>
      <c r="I10">
        <v>0</v>
      </c>
      <c r="N10" s="3" t="s">
        <v>30</v>
      </c>
      <c r="O10">
        <v>6789.9099999999989</v>
      </c>
    </row>
    <row r="11" spans="1:15">
      <c r="A11">
        <v>29</v>
      </c>
      <c r="B11" t="s">
        <v>26</v>
      </c>
      <c r="C11">
        <v>7</v>
      </c>
      <c r="D11">
        <v>420</v>
      </c>
      <c r="E11">
        <v>0.59</v>
      </c>
      <c r="F11">
        <v>0.9</v>
      </c>
      <c r="G11" t="s">
        <v>12</v>
      </c>
      <c r="H11">
        <v>0</v>
      </c>
      <c r="I11">
        <v>0</v>
      </c>
      <c r="N11" s="3" t="s">
        <v>14</v>
      </c>
      <c r="O11">
        <v>962.69</v>
      </c>
    </row>
    <row r="12" spans="1:15">
      <c r="A12">
        <v>30</v>
      </c>
      <c r="B12" t="s">
        <v>26</v>
      </c>
      <c r="C12">
        <v>8</v>
      </c>
      <c r="D12">
        <v>426</v>
      </c>
      <c r="E12">
        <v>0.57999999999999996</v>
      </c>
      <c r="F12">
        <v>0.9</v>
      </c>
      <c r="G12" t="s">
        <v>12</v>
      </c>
      <c r="H12">
        <v>0</v>
      </c>
      <c r="I12">
        <v>0</v>
      </c>
      <c r="N12" s="3" t="s">
        <v>31</v>
      </c>
      <c r="O12">
        <v>4236.9939999999997</v>
      </c>
    </row>
    <row r="13" spans="1:15">
      <c r="A13">
        <v>31</v>
      </c>
      <c r="B13" t="s">
        <v>26</v>
      </c>
      <c r="C13">
        <v>9</v>
      </c>
      <c r="D13">
        <v>1295</v>
      </c>
      <c r="E13">
        <v>0.58798455598455601</v>
      </c>
      <c r="F13">
        <v>0.9</v>
      </c>
      <c r="G13" t="s">
        <v>12</v>
      </c>
      <c r="H13">
        <v>0</v>
      </c>
      <c r="I13">
        <v>0</v>
      </c>
      <c r="N13" s="3" t="s">
        <v>32</v>
      </c>
      <c r="O13">
        <v>34397.532009999995</v>
      </c>
    </row>
    <row r="14" spans="1:15">
      <c r="A14">
        <v>32</v>
      </c>
      <c r="B14" t="s">
        <v>26</v>
      </c>
      <c r="C14">
        <v>10</v>
      </c>
      <c r="D14">
        <v>870</v>
      </c>
      <c r="E14">
        <v>0.59</v>
      </c>
      <c r="F14">
        <v>0.9</v>
      </c>
      <c r="G14" t="s">
        <v>12</v>
      </c>
      <c r="H14">
        <v>0</v>
      </c>
      <c r="I14">
        <v>0</v>
      </c>
    </row>
    <row r="15" spans="1:15">
      <c r="A15">
        <v>33</v>
      </c>
      <c r="B15" t="s">
        <v>26</v>
      </c>
      <c r="C15">
        <v>19</v>
      </c>
      <c r="D15">
        <v>245</v>
      </c>
      <c r="E15">
        <v>0.51</v>
      </c>
      <c r="F15">
        <v>0.9</v>
      </c>
      <c r="G15" t="s">
        <v>12</v>
      </c>
      <c r="H15">
        <v>0</v>
      </c>
      <c r="I15">
        <v>0</v>
      </c>
      <c r="N15" s="3" t="s">
        <v>33</v>
      </c>
    </row>
    <row r="16" spans="1:15">
      <c r="A16">
        <v>34</v>
      </c>
      <c r="B16" t="s">
        <v>26</v>
      </c>
      <c r="C16">
        <v>22</v>
      </c>
      <c r="D16">
        <v>682</v>
      </c>
      <c r="E16">
        <v>0.52</v>
      </c>
      <c r="F16">
        <v>0.9</v>
      </c>
      <c r="G16" t="s">
        <v>12</v>
      </c>
      <c r="H16">
        <v>0</v>
      </c>
      <c r="I16">
        <v>0</v>
      </c>
      <c r="N16" s="16" t="s">
        <v>34</v>
      </c>
    </row>
    <row r="17" spans="1:14" ht="14.65" customHeight="1">
      <c r="A17">
        <v>35</v>
      </c>
      <c r="B17" t="s">
        <v>26</v>
      </c>
      <c r="C17">
        <v>23</v>
      </c>
      <c r="D17">
        <v>341</v>
      </c>
      <c r="E17">
        <v>0.52</v>
      </c>
      <c r="F17">
        <v>0.9</v>
      </c>
      <c r="G17" t="s">
        <v>12</v>
      </c>
      <c r="H17">
        <v>0</v>
      </c>
      <c r="I17">
        <v>0</v>
      </c>
      <c r="N17" s="35"/>
    </row>
    <row r="18" spans="1:14">
      <c r="A18">
        <v>36</v>
      </c>
      <c r="B18" t="s">
        <v>28</v>
      </c>
      <c r="C18">
        <v>14</v>
      </c>
      <c r="D18">
        <v>40.207000000000001</v>
      </c>
      <c r="E18">
        <v>1</v>
      </c>
      <c r="F18">
        <v>1</v>
      </c>
      <c r="G18" t="s">
        <v>12</v>
      </c>
      <c r="H18">
        <v>0</v>
      </c>
      <c r="I18">
        <v>0</v>
      </c>
      <c r="N18" s="35"/>
    </row>
    <row r="19" spans="1:14">
      <c r="A19">
        <v>37</v>
      </c>
      <c r="B19" t="s">
        <v>29</v>
      </c>
      <c r="C19">
        <v>13</v>
      </c>
      <c r="D19">
        <v>484</v>
      </c>
      <c r="E19">
        <v>0.34</v>
      </c>
      <c r="F19">
        <v>0.94999999975000005</v>
      </c>
      <c r="G19" t="s">
        <v>12</v>
      </c>
      <c r="H19">
        <v>0</v>
      </c>
      <c r="I19">
        <v>0</v>
      </c>
      <c r="N19" s="35"/>
    </row>
    <row r="20" spans="1:14">
      <c r="A20">
        <v>38</v>
      </c>
      <c r="B20" t="s">
        <v>30</v>
      </c>
      <c r="C20">
        <v>0</v>
      </c>
      <c r="D20">
        <v>2400.5369999999998</v>
      </c>
      <c r="E20">
        <v>1</v>
      </c>
      <c r="F20">
        <v>1</v>
      </c>
      <c r="G20" t="s">
        <v>12</v>
      </c>
      <c r="H20">
        <v>0</v>
      </c>
      <c r="I20">
        <v>0</v>
      </c>
      <c r="N20" s="35"/>
    </row>
    <row r="21" spans="1:14">
      <c r="A21">
        <v>39</v>
      </c>
      <c r="B21" t="s">
        <v>30</v>
      </c>
      <c r="C21">
        <v>1</v>
      </c>
      <c r="D21">
        <v>1527.3040000000001</v>
      </c>
      <c r="E21">
        <v>1</v>
      </c>
      <c r="F21">
        <v>1</v>
      </c>
      <c r="G21" t="s">
        <v>12</v>
      </c>
      <c r="H21">
        <v>0</v>
      </c>
      <c r="I21">
        <v>0</v>
      </c>
      <c r="N21" s="35"/>
    </row>
    <row r="22" spans="1:14">
      <c r="A22">
        <v>40</v>
      </c>
      <c r="B22" t="s">
        <v>30</v>
      </c>
      <c r="C22">
        <v>2</v>
      </c>
      <c r="D22">
        <v>588.56900000000007</v>
      </c>
      <c r="E22">
        <v>1</v>
      </c>
      <c r="F22">
        <v>1</v>
      </c>
      <c r="G22" t="s">
        <v>12</v>
      </c>
      <c r="H22">
        <v>0</v>
      </c>
      <c r="I22">
        <v>0</v>
      </c>
      <c r="N22" s="35"/>
    </row>
    <row r="23" spans="1:14">
      <c r="A23">
        <v>41</v>
      </c>
      <c r="B23" t="s">
        <v>30</v>
      </c>
      <c r="C23">
        <v>3</v>
      </c>
      <c r="D23">
        <v>633.91399999999999</v>
      </c>
      <c r="E23">
        <v>1</v>
      </c>
      <c r="F23">
        <v>1</v>
      </c>
      <c r="G23" t="s">
        <v>12</v>
      </c>
      <c r="H23">
        <v>0</v>
      </c>
      <c r="I23">
        <v>0</v>
      </c>
    </row>
    <row r="24" spans="1:14">
      <c r="A24">
        <v>42</v>
      </c>
      <c r="B24" t="s">
        <v>30</v>
      </c>
      <c r="C24">
        <v>4</v>
      </c>
      <c r="D24">
        <v>498.2</v>
      </c>
      <c r="E24">
        <v>1</v>
      </c>
      <c r="F24">
        <v>1</v>
      </c>
      <c r="G24" t="s">
        <v>12</v>
      </c>
      <c r="H24">
        <v>0</v>
      </c>
      <c r="I24">
        <v>0</v>
      </c>
    </row>
    <row r="25" spans="1:14">
      <c r="A25">
        <v>43</v>
      </c>
      <c r="B25" t="s">
        <v>30</v>
      </c>
      <c r="C25">
        <v>5</v>
      </c>
      <c r="D25">
        <v>492.642</v>
      </c>
      <c r="E25">
        <v>1</v>
      </c>
      <c r="F25">
        <v>1</v>
      </c>
      <c r="G25" t="s">
        <v>12</v>
      </c>
      <c r="H25">
        <v>0</v>
      </c>
      <c r="I25">
        <v>0</v>
      </c>
    </row>
    <row r="26" spans="1:14">
      <c r="A26">
        <v>44</v>
      </c>
      <c r="B26" t="s">
        <v>30</v>
      </c>
      <c r="C26">
        <v>6</v>
      </c>
      <c r="D26">
        <v>648.74400000000003</v>
      </c>
      <c r="E26">
        <v>1</v>
      </c>
      <c r="F26">
        <v>1</v>
      </c>
      <c r="G26" t="s">
        <v>12</v>
      </c>
      <c r="H26">
        <v>0</v>
      </c>
      <c r="I26">
        <v>0</v>
      </c>
    </row>
    <row r="27" spans="1:14">
      <c r="A27">
        <v>45</v>
      </c>
      <c r="B27" t="s">
        <v>14</v>
      </c>
      <c r="C27">
        <v>2</v>
      </c>
      <c r="D27">
        <v>203.696</v>
      </c>
      <c r="E27">
        <v>1</v>
      </c>
      <c r="F27">
        <v>1</v>
      </c>
      <c r="G27" t="s">
        <v>12</v>
      </c>
      <c r="H27">
        <v>0</v>
      </c>
      <c r="I27">
        <v>0</v>
      </c>
    </row>
    <row r="28" spans="1:14">
      <c r="A28">
        <v>46</v>
      </c>
      <c r="B28" t="s">
        <v>14</v>
      </c>
      <c r="C28">
        <v>3</v>
      </c>
      <c r="D28">
        <v>758.99400000000003</v>
      </c>
      <c r="E28">
        <v>1</v>
      </c>
      <c r="F28">
        <v>1</v>
      </c>
      <c r="G28" t="s">
        <v>12</v>
      </c>
      <c r="H28">
        <v>0</v>
      </c>
      <c r="I28">
        <v>0</v>
      </c>
    </row>
    <row r="29" spans="1:14">
      <c r="A29">
        <v>47</v>
      </c>
      <c r="B29" t="s">
        <v>31</v>
      </c>
      <c r="C29">
        <v>0</v>
      </c>
      <c r="D29">
        <v>341.774</v>
      </c>
      <c r="E29">
        <v>1</v>
      </c>
      <c r="F29">
        <v>1</v>
      </c>
      <c r="G29" t="s">
        <v>12</v>
      </c>
      <c r="H29">
        <v>0</v>
      </c>
      <c r="I29">
        <v>0</v>
      </c>
    </row>
    <row r="30" spans="1:14">
      <c r="A30">
        <v>48</v>
      </c>
      <c r="B30" t="s">
        <v>31</v>
      </c>
      <c r="C30">
        <v>1</v>
      </c>
      <c r="D30">
        <v>425.90300000000002</v>
      </c>
      <c r="E30">
        <v>1</v>
      </c>
      <c r="F30">
        <v>1</v>
      </c>
      <c r="G30" t="s">
        <v>12</v>
      </c>
      <c r="H30">
        <v>0</v>
      </c>
      <c r="I30">
        <v>0</v>
      </c>
    </row>
    <row r="31" spans="1:14">
      <c r="A31">
        <v>49</v>
      </c>
      <c r="B31" t="s">
        <v>31</v>
      </c>
      <c r="C31">
        <v>2</v>
      </c>
      <c r="D31">
        <v>551.90700000000004</v>
      </c>
      <c r="E31">
        <v>1</v>
      </c>
      <c r="F31">
        <v>1</v>
      </c>
      <c r="G31" t="s">
        <v>12</v>
      </c>
      <c r="H31">
        <v>0</v>
      </c>
      <c r="I31">
        <v>0</v>
      </c>
    </row>
    <row r="32" spans="1:14">
      <c r="A32">
        <v>50</v>
      </c>
      <c r="B32" t="s">
        <v>31</v>
      </c>
      <c r="C32">
        <v>3</v>
      </c>
      <c r="D32">
        <v>659.47300000000007</v>
      </c>
      <c r="E32">
        <v>1</v>
      </c>
      <c r="F32">
        <v>1</v>
      </c>
      <c r="G32" t="s">
        <v>12</v>
      </c>
      <c r="H32">
        <v>0</v>
      </c>
      <c r="I32">
        <v>0</v>
      </c>
    </row>
    <row r="33" spans="1:9">
      <c r="A33">
        <v>51</v>
      </c>
      <c r="B33" t="s">
        <v>31</v>
      </c>
      <c r="C33">
        <v>11</v>
      </c>
      <c r="D33">
        <v>638.66199999999992</v>
      </c>
      <c r="E33">
        <v>1</v>
      </c>
      <c r="F33">
        <v>1</v>
      </c>
      <c r="G33" t="s">
        <v>12</v>
      </c>
      <c r="H33">
        <v>0</v>
      </c>
      <c r="I33">
        <v>0</v>
      </c>
    </row>
    <row r="34" spans="1:9">
      <c r="A34">
        <v>52</v>
      </c>
      <c r="B34" t="s">
        <v>31</v>
      </c>
      <c r="C34">
        <v>12</v>
      </c>
      <c r="D34">
        <v>317.36399999999998</v>
      </c>
      <c r="E34">
        <v>1</v>
      </c>
      <c r="F34">
        <v>1</v>
      </c>
      <c r="G34" t="s">
        <v>12</v>
      </c>
      <c r="H34">
        <v>0</v>
      </c>
      <c r="I34">
        <v>0</v>
      </c>
    </row>
    <row r="35" spans="1:9">
      <c r="A35">
        <v>53</v>
      </c>
      <c r="B35" t="s">
        <v>31</v>
      </c>
      <c r="C35">
        <v>13</v>
      </c>
      <c r="D35">
        <v>285.59800000000001</v>
      </c>
      <c r="E35">
        <v>1</v>
      </c>
      <c r="F35">
        <v>1</v>
      </c>
      <c r="G35" t="s">
        <v>12</v>
      </c>
      <c r="H35">
        <v>0</v>
      </c>
      <c r="I35">
        <v>0</v>
      </c>
    </row>
    <row r="36" spans="1:9">
      <c r="A36">
        <v>54</v>
      </c>
      <c r="B36" t="s">
        <v>31</v>
      </c>
      <c r="C36">
        <v>14</v>
      </c>
      <c r="D36">
        <v>1016.313</v>
      </c>
      <c r="E36">
        <v>1</v>
      </c>
      <c r="F36">
        <v>1</v>
      </c>
      <c r="G36" t="s">
        <v>12</v>
      </c>
      <c r="H36">
        <v>0</v>
      </c>
      <c r="I36">
        <v>0</v>
      </c>
    </row>
    <row r="37" spans="1:9">
      <c r="A37">
        <v>55</v>
      </c>
      <c r="B37" t="s">
        <v>11</v>
      </c>
      <c r="C37">
        <v>33</v>
      </c>
      <c r="D37">
        <v>643</v>
      </c>
      <c r="E37">
        <v>0.38765163297045102</v>
      </c>
      <c r="F37">
        <v>0.9</v>
      </c>
      <c r="G37" t="s">
        <v>12</v>
      </c>
      <c r="H37">
        <v>0</v>
      </c>
      <c r="I37">
        <v>0</v>
      </c>
    </row>
    <row r="38" spans="1:9">
      <c r="A38">
        <v>56</v>
      </c>
      <c r="B38" t="s">
        <v>11</v>
      </c>
      <c r="C38">
        <v>45</v>
      </c>
      <c r="D38">
        <v>460</v>
      </c>
      <c r="E38">
        <v>0.36299999999999999</v>
      </c>
      <c r="F38">
        <v>0.9</v>
      </c>
      <c r="G38" t="s">
        <v>12</v>
      </c>
      <c r="H38">
        <v>0</v>
      </c>
      <c r="I38">
        <v>0</v>
      </c>
    </row>
    <row r="39" spans="1:9">
      <c r="A39">
        <v>57</v>
      </c>
      <c r="B39" t="s">
        <v>25</v>
      </c>
      <c r="C39">
        <v>14</v>
      </c>
      <c r="D39">
        <v>1.7679999999999969</v>
      </c>
      <c r="E39">
        <v>0.3</v>
      </c>
      <c r="F39">
        <v>0.74200913242009103</v>
      </c>
      <c r="G39" t="s">
        <v>12</v>
      </c>
      <c r="H39">
        <v>0</v>
      </c>
      <c r="I39">
        <v>0</v>
      </c>
    </row>
    <row r="40" spans="1:9">
      <c r="A40">
        <v>58</v>
      </c>
      <c r="B40" t="s">
        <v>27</v>
      </c>
      <c r="C40">
        <v>6</v>
      </c>
      <c r="D40">
        <v>444.2</v>
      </c>
      <c r="E40">
        <v>0.58440792435839717</v>
      </c>
      <c r="F40">
        <v>0.89171544349392173</v>
      </c>
      <c r="G40" t="s">
        <v>12</v>
      </c>
      <c r="H40">
        <v>0</v>
      </c>
      <c r="I40">
        <v>0</v>
      </c>
    </row>
    <row r="41" spans="1:9">
      <c r="A41">
        <v>59</v>
      </c>
      <c r="B41" t="s">
        <v>27</v>
      </c>
      <c r="C41">
        <v>11</v>
      </c>
      <c r="D41">
        <v>862.64</v>
      </c>
      <c r="E41">
        <v>0.40999999999999992</v>
      </c>
      <c r="F41">
        <v>0.9</v>
      </c>
      <c r="G41" t="s">
        <v>12</v>
      </c>
      <c r="H41">
        <v>0</v>
      </c>
      <c r="I41">
        <v>0</v>
      </c>
    </row>
    <row r="42" spans="1:9">
      <c r="A42">
        <v>60</v>
      </c>
      <c r="B42" t="s">
        <v>27</v>
      </c>
      <c r="C42">
        <v>12</v>
      </c>
      <c r="D42">
        <v>721</v>
      </c>
      <c r="E42">
        <v>0.40999999999999992</v>
      </c>
      <c r="F42">
        <v>0.9</v>
      </c>
      <c r="G42" t="s">
        <v>12</v>
      </c>
      <c r="H42">
        <v>0</v>
      </c>
      <c r="I42">
        <v>0</v>
      </c>
    </row>
    <row r="43" spans="1:9">
      <c r="A43">
        <v>61</v>
      </c>
      <c r="B43" t="s">
        <v>27</v>
      </c>
      <c r="C43">
        <v>13</v>
      </c>
      <c r="D43">
        <v>641</v>
      </c>
      <c r="E43">
        <v>0.41</v>
      </c>
      <c r="F43">
        <v>0.9</v>
      </c>
      <c r="G43" t="s">
        <v>12</v>
      </c>
      <c r="H43">
        <v>0</v>
      </c>
      <c r="I43">
        <v>0</v>
      </c>
    </row>
    <row r="44" spans="1:9">
      <c r="A44">
        <v>62</v>
      </c>
      <c r="B44" t="s">
        <v>27</v>
      </c>
      <c r="C44">
        <v>14</v>
      </c>
      <c r="D44">
        <v>739.29300000000001</v>
      </c>
      <c r="E44">
        <v>0.29418898900706492</v>
      </c>
      <c r="F44">
        <v>0.85153338326238082</v>
      </c>
      <c r="G44" t="s">
        <v>12</v>
      </c>
      <c r="H44">
        <v>0</v>
      </c>
      <c r="I44">
        <v>0</v>
      </c>
    </row>
    <row r="45" spans="1:9">
      <c r="A45">
        <v>63</v>
      </c>
      <c r="B45" t="s">
        <v>27</v>
      </c>
      <c r="C45">
        <v>19</v>
      </c>
      <c r="D45">
        <v>541.81700000000001</v>
      </c>
      <c r="E45">
        <v>0.40885261998054689</v>
      </c>
      <c r="F45">
        <v>0.80465495256227204</v>
      </c>
      <c r="G45" t="s">
        <v>12</v>
      </c>
      <c r="H45">
        <v>0</v>
      </c>
      <c r="I45">
        <v>0</v>
      </c>
    </row>
    <row r="46" spans="1:9">
      <c r="A46">
        <v>64</v>
      </c>
      <c r="B46" t="s">
        <v>27</v>
      </c>
      <c r="C46">
        <v>20</v>
      </c>
      <c r="D46">
        <v>557.93399999999997</v>
      </c>
      <c r="E46">
        <v>0.41587463750192682</v>
      </c>
      <c r="F46">
        <v>0.90357265448136415</v>
      </c>
      <c r="G46" t="s">
        <v>12</v>
      </c>
      <c r="H46">
        <v>0</v>
      </c>
      <c r="I46">
        <v>0</v>
      </c>
    </row>
    <row r="47" spans="1:9">
      <c r="A47">
        <v>65</v>
      </c>
      <c r="B47" t="s">
        <v>27</v>
      </c>
      <c r="C47">
        <v>22</v>
      </c>
      <c r="D47">
        <v>1040.24</v>
      </c>
      <c r="E47">
        <v>0.35755348765669459</v>
      </c>
      <c r="F47">
        <v>0.90748031496062997</v>
      </c>
      <c r="G47" t="s">
        <v>12</v>
      </c>
      <c r="H47">
        <v>0</v>
      </c>
      <c r="I47">
        <v>0</v>
      </c>
    </row>
    <row r="48" spans="1:9">
      <c r="A48">
        <v>66</v>
      </c>
      <c r="B48" t="s">
        <v>27</v>
      </c>
      <c r="C48">
        <v>23</v>
      </c>
      <c r="D48">
        <v>1101.962</v>
      </c>
      <c r="E48">
        <v>0.4374676880872479</v>
      </c>
      <c r="F48">
        <v>0.86452184587633829</v>
      </c>
      <c r="G48" t="s">
        <v>12</v>
      </c>
      <c r="H48">
        <v>0</v>
      </c>
      <c r="I48">
        <v>0</v>
      </c>
    </row>
    <row r="49" spans="1:9">
      <c r="A49">
        <v>67</v>
      </c>
      <c r="B49" t="s">
        <v>27</v>
      </c>
      <c r="C49">
        <v>28</v>
      </c>
      <c r="D49">
        <v>655.18101000000001</v>
      </c>
      <c r="E49">
        <v>0.35211968384126402</v>
      </c>
      <c r="F49">
        <v>0.83900354082941675</v>
      </c>
      <c r="G49" t="s">
        <v>12</v>
      </c>
      <c r="H49">
        <v>0</v>
      </c>
      <c r="I49">
        <v>0</v>
      </c>
    </row>
    <row r="50" spans="1:9">
      <c r="A50">
        <v>68</v>
      </c>
      <c r="B50" t="s">
        <v>27</v>
      </c>
      <c r="C50">
        <v>29</v>
      </c>
      <c r="D50">
        <v>385.096</v>
      </c>
      <c r="E50">
        <v>0.37457672891954208</v>
      </c>
      <c r="F50">
        <v>0.84204432141595875</v>
      </c>
      <c r="G50" t="s">
        <v>12</v>
      </c>
      <c r="H50">
        <v>0</v>
      </c>
      <c r="I50">
        <v>0</v>
      </c>
    </row>
    <row r="51" spans="1:9">
      <c r="A51">
        <v>69</v>
      </c>
      <c r="B51" t="s">
        <v>27</v>
      </c>
      <c r="C51">
        <v>32</v>
      </c>
      <c r="D51">
        <v>811.6</v>
      </c>
      <c r="E51">
        <v>0.3692304313085264</v>
      </c>
      <c r="F51">
        <v>0.88620009857072435</v>
      </c>
      <c r="G51" t="s">
        <v>12</v>
      </c>
      <c r="H51">
        <v>0</v>
      </c>
      <c r="I51">
        <v>0</v>
      </c>
    </row>
  </sheetData>
  <autoFilter ref="A1:J51" xr:uid="{BAFC4957-C263-4562-A44D-8879B8EAAB8F}"/>
  <mergeCells count="1">
    <mergeCell ref="N17:N22"/>
  </mergeCell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4D665-47FB-4BBC-B1D3-6CD349F3A90C}">
  <sheetPr>
    <tabColor rgb="FFFF0000"/>
  </sheetPr>
  <dimension ref="A1:P68"/>
  <sheetViews>
    <sheetView tabSelected="1" topLeftCell="D9" zoomScale="175" zoomScaleNormal="175" workbookViewId="0">
      <selection activeCell="I48" sqref="I48"/>
    </sheetView>
  </sheetViews>
  <sheetFormatPr defaultRowHeight="15"/>
  <cols>
    <col min="1" max="1" width="6" customWidth="1"/>
    <col min="2" max="2" width="29.7109375" customWidth="1"/>
    <col min="4" max="4" width="10.5703125" bestFit="1" customWidth="1"/>
    <col min="6" max="6" width="10.28515625" customWidth="1"/>
    <col min="8" max="8" width="31.7109375" customWidth="1"/>
    <col min="9" max="9" width="30.28515625" customWidth="1"/>
    <col min="10" max="10" width="2.85546875" customWidth="1"/>
    <col min="14" max="14" width="30.28515625" bestFit="1" customWidth="1"/>
    <col min="15" max="15" width="14.140625" bestFit="1" customWidth="1"/>
    <col min="16" max="16" width="15.140625" bestFit="1" customWidth="1"/>
  </cols>
  <sheetData>
    <row r="1" spans="1:16">
      <c r="A1" s="1" t="s">
        <v>17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8</v>
      </c>
      <c r="H1" s="1" t="s">
        <v>9</v>
      </c>
      <c r="I1" s="1" t="s">
        <v>19</v>
      </c>
      <c r="J1" s="34"/>
      <c r="O1" s="2" t="s">
        <v>20</v>
      </c>
      <c r="P1" t="s">
        <v>21</v>
      </c>
    </row>
    <row r="2" spans="1:16">
      <c r="A2">
        <v>20</v>
      </c>
      <c r="B2" t="s">
        <v>35</v>
      </c>
      <c r="C2">
        <v>25</v>
      </c>
      <c r="D2" s="4">
        <v>631</v>
      </c>
      <c r="E2">
        <v>0.42</v>
      </c>
      <c r="F2" t="s">
        <v>12</v>
      </c>
      <c r="G2">
        <v>0</v>
      </c>
      <c r="H2">
        <v>0</v>
      </c>
      <c r="O2" s="3" t="s">
        <v>35</v>
      </c>
      <c r="P2">
        <v>631</v>
      </c>
    </row>
    <row r="3" spans="1:16">
      <c r="A3">
        <v>21</v>
      </c>
      <c r="B3" t="s">
        <v>36</v>
      </c>
      <c r="C3">
        <v>4</v>
      </c>
      <c r="D3" s="4">
        <v>790</v>
      </c>
      <c r="E3">
        <v>0.46</v>
      </c>
      <c r="F3" t="s">
        <v>12</v>
      </c>
      <c r="G3">
        <v>0</v>
      </c>
      <c r="H3">
        <v>0</v>
      </c>
      <c r="I3">
        <v>2030</v>
      </c>
      <c r="O3" s="3" t="s">
        <v>26</v>
      </c>
      <c r="P3">
        <v>16087.963009999999</v>
      </c>
    </row>
    <row r="4" spans="1:16">
      <c r="A4">
        <v>22</v>
      </c>
      <c r="B4" t="s">
        <v>36</v>
      </c>
      <c r="C4">
        <v>5</v>
      </c>
      <c r="D4" s="4">
        <v>2640</v>
      </c>
      <c r="E4">
        <v>0.46</v>
      </c>
      <c r="F4" t="s">
        <v>12</v>
      </c>
      <c r="G4">
        <v>0</v>
      </c>
      <c r="H4">
        <v>0</v>
      </c>
      <c r="I4">
        <v>2030</v>
      </c>
      <c r="O4" s="3" t="s">
        <v>36</v>
      </c>
      <c r="P4">
        <v>4060</v>
      </c>
    </row>
    <row r="5" spans="1:16">
      <c r="A5">
        <v>23</v>
      </c>
      <c r="B5" t="s">
        <v>36</v>
      </c>
      <c r="C5">
        <v>24</v>
      </c>
      <c r="D5" s="4">
        <v>630</v>
      </c>
      <c r="E5">
        <v>0.41</v>
      </c>
      <c r="F5" t="s">
        <v>12</v>
      </c>
      <c r="G5">
        <v>0</v>
      </c>
      <c r="H5">
        <v>0</v>
      </c>
      <c r="I5">
        <v>2020</v>
      </c>
      <c r="O5" s="3" t="s">
        <v>29</v>
      </c>
      <c r="P5">
        <v>484</v>
      </c>
    </row>
    <row r="6" spans="1:16">
      <c r="A6">
        <v>24</v>
      </c>
      <c r="B6" t="s">
        <v>26</v>
      </c>
      <c r="C6">
        <v>1</v>
      </c>
      <c r="D6" s="4">
        <v>341</v>
      </c>
      <c r="E6">
        <v>0.52</v>
      </c>
      <c r="F6" t="s">
        <v>12</v>
      </c>
      <c r="G6">
        <v>0</v>
      </c>
      <c r="H6">
        <v>0</v>
      </c>
      <c r="O6" s="3" t="s">
        <v>11</v>
      </c>
      <c r="P6">
        <v>1103</v>
      </c>
    </row>
    <row r="7" spans="1:16">
      <c r="A7">
        <v>25</v>
      </c>
      <c r="B7" t="s">
        <v>26</v>
      </c>
      <c r="C7">
        <v>2</v>
      </c>
      <c r="D7" s="4">
        <v>800</v>
      </c>
      <c r="E7">
        <v>0.56000000000000005</v>
      </c>
      <c r="F7" t="s">
        <v>12</v>
      </c>
      <c r="G7">
        <v>0</v>
      </c>
      <c r="H7">
        <v>0</v>
      </c>
      <c r="O7" s="3" t="s">
        <v>38</v>
      </c>
      <c r="P7">
        <v>12789.91</v>
      </c>
    </row>
    <row r="8" spans="1:16">
      <c r="A8">
        <v>26</v>
      </c>
      <c r="B8" t="s">
        <v>26</v>
      </c>
      <c r="C8">
        <v>3</v>
      </c>
      <c r="D8" s="4">
        <v>874</v>
      </c>
      <c r="E8">
        <v>0.57999999999999996</v>
      </c>
      <c r="F8" t="s">
        <v>12</v>
      </c>
      <c r="G8">
        <v>0</v>
      </c>
      <c r="H8">
        <v>0</v>
      </c>
      <c r="O8" s="3" t="s">
        <v>39</v>
      </c>
      <c r="P8">
        <v>962.69</v>
      </c>
    </row>
    <row r="9" spans="1:16">
      <c r="A9">
        <v>27</v>
      </c>
      <c r="B9" t="s">
        <v>26</v>
      </c>
      <c r="C9">
        <v>4</v>
      </c>
      <c r="D9" s="4">
        <v>420</v>
      </c>
      <c r="E9">
        <v>0.59</v>
      </c>
      <c r="F9" t="s">
        <v>12</v>
      </c>
      <c r="G9">
        <v>0</v>
      </c>
      <c r="H9">
        <v>0</v>
      </c>
      <c r="O9" s="3" t="s">
        <v>40</v>
      </c>
      <c r="P9">
        <v>4236.9939999999997</v>
      </c>
    </row>
    <row r="10" spans="1:16">
      <c r="A10">
        <v>28</v>
      </c>
      <c r="B10" t="s">
        <v>26</v>
      </c>
      <c r="C10">
        <v>6</v>
      </c>
      <c r="D10" s="4">
        <v>872</v>
      </c>
      <c r="E10">
        <v>0.58498853211009172</v>
      </c>
      <c r="F10" t="s">
        <v>12</v>
      </c>
      <c r="G10">
        <v>0</v>
      </c>
      <c r="H10">
        <v>0</v>
      </c>
      <c r="O10" s="3" t="s">
        <v>32</v>
      </c>
      <c r="P10">
        <v>40355.557009999997</v>
      </c>
    </row>
    <row r="11" spans="1:16">
      <c r="A11">
        <v>29</v>
      </c>
      <c r="B11" t="s">
        <v>26</v>
      </c>
      <c r="C11">
        <v>7</v>
      </c>
      <c r="D11" s="4">
        <v>420</v>
      </c>
      <c r="E11">
        <v>0.59</v>
      </c>
      <c r="F11" t="s">
        <v>12</v>
      </c>
      <c r="G11">
        <v>0</v>
      </c>
      <c r="H11">
        <v>0</v>
      </c>
    </row>
    <row r="12" spans="1:16">
      <c r="A12">
        <v>30</v>
      </c>
      <c r="B12" t="s">
        <v>26</v>
      </c>
      <c r="C12">
        <v>8</v>
      </c>
      <c r="D12" s="4">
        <v>426</v>
      </c>
      <c r="E12">
        <v>0.57999999999999996</v>
      </c>
      <c r="F12" t="s">
        <v>12</v>
      </c>
      <c r="G12">
        <v>0</v>
      </c>
      <c r="H12">
        <v>0</v>
      </c>
    </row>
    <row r="13" spans="1:16">
      <c r="A13">
        <v>31</v>
      </c>
      <c r="B13" t="s">
        <v>26</v>
      </c>
      <c r="C13">
        <v>9</v>
      </c>
      <c r="D13" s="4">
        <v>1295</v>
      </c>
      <c r="E13">
        <v>0.58798455598455601</v>
      </c>
      <c r="F13" t="s">
        <v>12</v>
      </c>
      <c r="G13">
        <v>0</v>
      </c>
      <c r="H13">
        <v>0</v>
      </c>
    </row>
    <row r="14" spans="1:16">
      <c r="A14">
        <v>32</v>
      </c>
      <c r="B14" t="s">
        <v>26</v>
      </c>
      <c r="C14">
        <v>10</v>
      </c>
      <c r="D14" s="4">
        <v>870</v>
      </c>
      <c r="E14">
        <v>0.59</v>
      </c>
      <c r="F14" t="s">
        <v>12</v>
      </c>
      <c r="G14">
        <v>0</v>
      </c>
      <c r="H14">
        <v>0</v>
      </c>
    </row>
    <row r="15" spans="1:16">
      <c r="A15">
        <v>33</v>
      </c>
      <c r="B15" t="s">
        <v>26</v>
      </c>
      <c r="C15">
        <v>19</v>
      </c>
      <c r="D15" s="4">
        <v>245</v>
      </c>
      <c r="E15">
        <v>0.51</v>
      </c>
      <c r="F15" t="s">
        <v>12</v>
      </c>
      <c r="G15">
        <v>0</v>
      </c>
      <c r="H15">
        <v>0</v>
      </c>
      <c r="N15" s="3" t="s">
        <v>33</v>
      </c>
    </row>
    <row r="16" spans="1:16">
      <c r="A16">
        <v>34</v>
      </c>
      <c r="B16" t="s">
        <v>26</v>
      </c>
      <c r="C16">
        <v>22</v>
      </c>
      <c r="D16" s="4">
        <v>682</v>
      </c>
      <c r="E16">
        <v>0.52</v>
      </c>
      <c r="F16" t="s">
        <v>12</v>
      </c>
      <c r="G16">
        <v>0</v>
      </c>
      <c r="H16">
        <v>0</v>
      </c>
      <c r="N16" s="16" t="s">
        <v>34</v>
      </c>
    </row>
    <row r="17" spans="1:14" ht="14.65" customHeight="1">
      <c r="A17">
        <v>35</v>
      </c>
      <c r="B17" t="s">
        <v>26</v>
      </c>
      <c r="C17">
        <v>23</v>
      </c>
      <c r="D17" s="4">
        <v>341</v>
      </c>
      <c r="E17">
        <v>0.52</v>
      </c>
      <c r="F17" t="s">
        <v>12</v>
      </c>
      <c r="G17">
        <v>0</v>
      </c>
      <c r="H17">
        <v>0</v>
      </c>
      <c r="N17" s="35" t="s">
        <v>41</v>
      </c>
    </row>
    <row r="18" spans="1:14">
      <c r="A18">
        <v>37</v>
      </c>
      <c r="B18" t="s">
        <v>29</v>
      </c>
      <c r="C18">
        <v>27</v>
      </c>
      <c r="D18" s="4">
        <v>484</v>
      </c>
      <c r="E18">
        <v>0.34</v>
      </c>
      <c r="F18" t="s">
        <v>12</v>
      </c>
      <c r="G18">
        <v>0</v>
      </c>
      <c r="H18">
        <v>0</v>
      </c>
      <c r="I18">
        <v>2033</v>
      </c>
      <c r="K18" t="s">
        <v>42</v>
      </c>
      <c r="N18" s="35"/>
    </row>
    <row r="19" spans="1:14">
      <c r="A19">
        <v>38</v>
      </c>
      <c r="B19" t="s">
        <v>38</v>
      </c>
      <c r="C19">
        <v>0</v>
      </c>
      <c r="D19" s="4">
        <v>2400.5369999999998</v>
      </c>
      <c r="E19">
        <v>1</v>
      </c>
      <c r="F19" t="s">
        <v>12</v>
      </c>
      <c r="G19">
        <v>0</v>
      </c>
      <c r="H19">
        <v>0</v>
      </c>
      <c r="N19" s="35"/>
    </row>
    <row r="20" spans="1:14">
      <c r="A20">
        <v>39</v>
      </c>
      <c r="B20" t="s">
        <v>38</v>
      </c>
      <c r="C20">
        <v>1</v>
      </c>
      <c r="D20" s="4">
        <v>1527.3040000000001</v>
      </c>
      <c r="E20">
        <v>1</v>
      </c>
      <c r="F20" t="s">
        <v>12</v>
      </c>
      <c r="G20">
        <v>0</v>
      </c>
      <c r="H20">
        <v>0</v>
      </c>
      <c r="N20" s="35"/>
    </row>
    <row r="21" spans="1:14">
      <c r="A21">
        <v>40</v>
      </c>
      <c r="B21" t="s">
        <v>38</v>
      </c>
      <c r="C21">
        <v>2</v>
      </c>
      <c r="D21" s="4">
        <v>588.56900000000007</v>
      </c>
      <c r="E21">
        <v>1</v>
      </c>
      <c r="F21" t="s">
        <v>12</v>
      </c>
      <c r="G21">
        <v>0</v>
      </c>
      <c r="H21">
        <v>0</v>
      </c>
      <c r="N21" s="35"/>
    </row>
    <row r="22" spans="1:14">
      <c r="A22">
        <v>41</v>
      </c>
      <c r="B22" t="s">
        <v>38</v>
      </c>
      <c r="C22">
        <v>3</v>
      </c>
      <c r="D22" s="4">
        <v>633.91399999999999</v>
      </c>
      <c r="E22">
        <v>1</v>
      </c>
      <c r="F22" t="s">
        <v>12</v>
      </c>
      <c r="G22">
        <v>0</v>
      </c>
      <c r="H22">
        <v>0</v>
      </c>
      <c r="N22" s="35"/>
    </row>
    <row r="23" spans="1:14">
      <c r="A23">
        <v>42</v>
      </c>
      <c r="B23" t="s">
        <v>38</v>
      </c>
      <c r="C23">
        <v>4</v>
      </c>
      <c r="D23" s="4">
        <v>498.2</v>
      </c>
      <c r="E23">
        <v>1</v>
      </c>
      <c r="F23" t="s">
        <v>12</v>
      </c>
      <c r="G23">
        <v>0</v>
      </c>
      <c r="H23">
        <v>0</v>
      </c>
    </row>
    <row r="24" spans="1:14">
      <c r="A24">
        <v>43</v>
      </c>
      <c r="B24" t="s">
        <v>38</v>
      </c>
      <c r="C24">
        <v>5</v>
      </c>
      <c r="D24" s="4">
        <v>492.642</v>
      </c>
      <c r="E24">
        <v>1</v>
      </c>
      <c r="F24" t="s">
        <v>12</v>
      </c>
      <c r="G24">
        <v>0</v>
      </c>
      <c r="H24">
        <v>0</v>
      </c>
      <c r="N24" t="s">
        <v>43</v>
      </c>
    </row>
    <row r="25" spans="1:14">
      <c r="A25">
        <v>44</v>
      </c>
      <c r="B25" t="s">
        <v>38</v>
      </c>
      <c r="C25">
        <v>6</v>
      </c>
      <c r="D25" s="4">
        <v>648.74400000000003</v>
      </c>
      <c r="E25">
        <v>1</v>
      </c>
      <c r="F25" t="s">
        <v>12</v>
      </c>
      <c r="G25">
        <v>0</v>
      </c>
      <c r="H25">
        <v>0</v>
      </c>
    </row>
    <row r="26" spans="1:14">
      <c r="A26">
        <v>45</v>
      </c>
      <c r="B26" t="s">
        <v>39</v>
      </c>
      <c r="C26">
        <v>2</v>
      </c>
      <c r="D26" s="4">
        <v>203.696</v>
      </c>
      <c r="E26">
        <v>1</v>
      </c>
      <c r="F26" t="s">
        <v>12</v>
      </c>
      <c r="G26">
        <v>0</v>
      </c>
      <c r="H26">
        <v>0</v>
      </c>
    </row>
    <row r="27" spans="1:14">
      <c r="A27">
        <v>46</v>
      </c>
      <c r="B27" t="s">
        <v>39</v>
      </c>
      <c r="C27">
        <v>3</v>
      </c>
      <c r="D27" s="4">
        <v>758.99400000000003</v>
      </c>
      <c r="E27">
        <v>1</v>
      </c>
      <c r="F27" t="s">
        <v>12</v>
      </c>
      <c r="G27">
        <v>0</v>
      </c>
      <c r="H27">
        <v>0</v>
      </c>
    </row>
    <row r="28" spans="1:14">
      <c r="A28">
        <v>47</v>
      </c>
      <c r="B28" t="s">
        <v>40</v>
      </c>
      <c r="C28">
        <v>0</v>
      </c>
      <c r="D28" s="4">
        <v>341.774</v>
      </c>
      <c r="E28">
        <v>1</v>
      </c>
      <c r="F28" t="s">
        <v>12</v>
      </c>
      <c r="G28">
        <v>0</v>
      </c>
      <c r="H28">
        <v>0</v>
      </c>
    </row>
    <row r="29" spans="1:14">
      <c r="A29">
        <v>48</v>
      </c>
      <c r="B29" t="s">
        <v>40</v>
      </c>
      <c r="C29">
        <v>1</v>
      </c>
      <c r="D29" s="4">
        <v>425.90300000000002</v>
      </c>
      <c r="E29">
        <v>1</v>
      </c>
      <c r="F29" t="s">
        <v>12</v>
      </c>
      <c r="G29">
        <v>0</v>
      </c>
      <c r="H29">
        <v>0</v>
      </c>
    </row>
    <row r="30" spans="1:14">
      <c r="A30">
        <v>49</v>
      </c>
      <c r="B30" t="s">
        <v>40</v>
      </c>
      <c r="C30">
        <v>2</v>
      </c>
      <c r="D30" s="4">
        <v>551.90700000000004</v>
      </c>
      <c r="E30">
        <v>1</v>
      </c>
      <c r="F30" t="s">
        <v>12</v>
      </c>
      <c r="G30">
        <v>0</v>
      </c>
      <c r="H30">
        <v>0</v>
      </c>
    </row>
    <row r="31" spans="1:14">
      <c r="A31">
        <v>50</v>
      </c>
      <c r="B31" t="s">
        <v>40</v>
      </c>
      <c r="C31">
        <v>3</v>
      </c>
      <c r="D31" s="4">
        <v>659.47300000000007</v>
      </c>
      <c r="E31">
        <v>1</v>
      </c>
      <c r="F31" t="s">
        <v>12</v>
      </c>
      <c r="G31">
        <v>0</v>
      </c>
      <c r="H31">
        <v>0</v>
      </c>
    </row>
    <row r="32" spans="1:14">
      <c r="A32">
        <v>51</v>
      </c>
      <c r="B32" t="s">
        <v>40</v>
      </c>
      <c r="C32">
        <v>11</v>
      </c>
      <c r="D32" s="4">
        <v>638.66199999999992</v>
      </c>
      <c r="E32">
        <v>1</v>
      </c>
      <c r="F32" t="s">
        <v>12</v>
      </c>
      <c r="G32">
        <v>0</v>
      </c>
      <c r="H32">
        <v>0</v>
      </c>
    </row>
    <row r="33" spans="1:11">
      <c r="A33">
        <v>52</v>
      </c>
      <c r="B33" t="s">
        <v>40</v>
      </c>
      <c r="C33">
        <v>12</v>
      </c>
      <c r="D33" s="4">
        <v>317.36399999999998</v>
      </c>
      <c r="E33">
        <v>1</v>
      </c>
      <c r="F33" t="s">
        <v>12</v>
      </c>
      <c r="G33">
        <v>0</v>
      </c>
      <c r="H33">
        <v>0</v>
      </c>
    </row>
    <row r="34" spans="1:11">
      <c r="A34">
        <v>53</v>
      </c>
      <c r="B34" t="s">
        <v>40</v>
      </c>
      <c r="C34">
        <v>13</v>
      </c>
      <c r="D34" s="4">
        <v>285.59800000000001</v>
      </c>
      <c r="E34">
        <v>1</v>
      </c>
      <c r="F34" t="s">
        <v>12</v>
      </c>
      <c r="G34">
        <v>0</v>
      </c>
      <c r="H34">
        <v>0</v>
      </c>
    </row>
    <row r="35" spans="1:11">
      <c r="A35">
        <v>54</v>
      </c>
      <c r="B35" t="s">
        <v>40</v>
      </c>
      <c r="C35">
        <v>14</v>
      </c>
      <c r="D35" s="4">
        <v>1016.313</v>
      </c>
      <c r="E35">
        <v>1</v>
      </c>
      <c r="F35" t="s">
        <v>12</v>
      </c>
      <c r="G35">
        <v>0</v>
      </c>
      <c r="H35">
        <v>0</v>
      </c>
    </row>
    <row r="36" spans="1:11">
      <c r="A36">
        <v>55</v>
      </c>
      <c r="B36" t="s">
        <v>11</v>
      </c>
      <c r="C36">
        <v>29</v>
      </c>
      <c r="D36" s="4">
        <v>643</v>
      </c>
      <c r="E36">
        <v>0.38765163297045102</v>
      </c>
      <c r="F36" t="s">
        <v>12</v>
      </c>
      <c r="G36">
        <v>0</v>
      </c>
      <c r="H36">
        <v>0</v>
      </c>
      <c r="K36" t="s">
        <v>44</v>
      </c>
    </row>
    <row r="37" spans="1:11">
      <c r="A37">
        <v>56</v>
      </c>
      <c r="B37" t="s">
        <v>11</v>
      </c>
      <c r="C37">
        <v>35</v>
      </c>
      <c r="D37" s="4">
        <v>460</v>
      </c>
      <c r="E37">
        <v>0.36299999999999999</v>
      </c>
      <c r="F37" t="s">
        <v>12</v>
      </c>
      <c r="G37">
        <v>0</v>
      </c>
      <c r="H37">
        <v>0</v>
      </c>
      <c r="K37" t="s">
        <v>45</v>
      </c>
    </row>
    <row r="38" spans="1:11">
      <c r="A38">
        <v>58</v>
      </c>
      <c r="B38" t="s">
        <v>26</v>
      </c>
      <c r="C38">
        <v>6</v>
      </c>
      <c r="D38" s="4">
        <v>444.2</v>
      </c>
      <c r="E38">
        <v>0.58440792435839717</v>
      </c>
      <c r="F38" t="s">
        <v>12</v>
      </c>
      <c r="G38">
        <v>0</v>
      </c>
      <c r="H38">
        <v>0</v>
      </c>
    </row>
    <row r="39" spans="1:11">
      <c r="A39">
        <v>59</v>
      </c>
      <c r="B39" t="s">
        <v>26</v>
      </c>
      <c r="C39">
        <v>11</v>
      </c>
      <c r="D39" s="4">
        <v>862.64</v>
      </c>
      <c r="E39">
        <v>0.40999999999999992</v>
      </c>
      <c r="F39" t="s">
        <v>12</v>
      </c>
      <c r="G39">
        <v>0</v>
      </c>
      <c r="H39">
        <v>0</v>
      </c>
    </row>
    <row r="40" spans="1:11">
      <c r="A40">
        <v>60</v>
      </c>
      <c r="B40" t="s">
        <v>26</v>
      </c>
      <c r="C40">
        <v>12</v>
      </c>
      <c r="D40" s="4">
        <v>721</v>
      </c>
      <c r="E40">
        <v>0.40999999999999992</v>
      </c>
      <c r="F40" t="s">
        <v>12</v>
      </c>
      <c r="G40">
        <v>0</v>
      </c>
      <c r="H40">
        <v>0</v>
      </c>
    </row>
    <row r="41" spans="1:11">
      <c r="A41">
        <v>61</v>
      </c>
      <c r="B41" t="s">
        <v>26</v>
      </c>
      <c r="C41">
        <v>13</v>
      </c>
      <c r="D41" s="4">
        <v>641</v>
      </c>
      <c r="E41">
        <v>0.41</v>
      </c>
      <c r="F41" t="s">
        <v>12</v>
      </c>
      <c r="G41">
        <v>0</v>
      </c>
      <c r="H41">
        <v>0</v>
      </c>
    </row>
    <row r="42" spans="1:11">
      <c r="A42">
        <v>62</v>
      </c>
      <c r="B42" t="s">
        <v>26</v>
      </c>
      <c r="C42">
        <v>14</v>
      </c>
      <c r="D42" s="4">
        <v>739.29300000000001</v>
      </c>
      <c r="E42">
        <v>0.29418898900706492</v>
      </c>
      <c r="F42" t="s">
        <v>12</v>
      </c>
      <c r="G42">
        <v>0</v>
      </c>
      <c r="H42">
        <v>0</v>
      </c>
    </row>
    <row r="43" spans="1:11">
      <c r="A43">
        <v>63</v>
      </c>
      <c r="B43" t="s">
        <v>26</v>
      </c>
      <c r="C43">
        <v>19</v>
      </c>
      <c r="D43" s="4">
        <v>541.81700000000001</v>
      </c>
      <c r="E43">
        <v>0.40885261998054689</v>
      </c>
      <c r="F43" t="s">
        <v>12</v>
      </c>
      <c r="G43">
        <v>0</v>
      </c>
      <c r="H43">
        <v>0</v>
      </c>
    </row>
    <row r="44" spans="1:11">
      <c r="A44">
        <v>64</v>
      </c>
      <c r="B44" t="s">
        <v>26</v>
      </c>
      <c r="C44">
        <v>20</v>
      </c>
      <c r="D44" s="4">
        <v>557.93399999999997</v>
      </c>
      <c r="E44">
        <v>0.41587463750192682</v>
      </c>
      <c r="F44" t="s">
        <v>12</v>
      </c>
      <c r="G44">
        <v>0</v>
      </c>
      <c r="H44">
        <v>0</v>
      </c>
    </row>
    <row r="45" spans="1:11">
      <c r="A45">
        <v>65</v>
      </c>
      <c r="B45" t="s">
        <v>26</v>
      </c>
      <c r="C45">
        <v>22</v>
      </c>
      <c r="D45" s="4">
        <v>1040.24</v>
      </c>
      <c r="E45">
        <v>0.35755348765669459</v>
      </c>
      <c r="F45" t="s">
        <v>12</v>
      </c>
      <c r="G45">
        <v>0</v>
      </c>
      <c r="H45">
        <v>0</v>
      </c>
    </row>
    <row r="46" spans="1:11">
      <c r="A46">
        <v>66</v>
      </c>
      <c r="B46" t="s">
        <v>26</v>
      </c>
      <c r="C46">
        <v>23</v>
      </c>
      <c r="D46" s="4">
        <v>1101.962</v>
      </c>
      <c r="E46">
        <v>0.4374676880872479</v>
      </c>
      <c r="F46" t="s">
        <v>12</v>
      </c>
      <c r="G46">
        <v>0</v>
      </c>
      <c r="H46">
        <v>0</v>
      </c>
    </row>
    <row r="47" spans="1:11">
      <c r="A47">
        <v>67</v>
      </c>
      <c r="B47" t="s">
        <v>26</v>
      </c>
      <c r="C47">
        <v>28</v>
      </c>
      <c r="D47" s="4">
        <v>655.18101000000001</v>
      </c>
      <c r="E47">
        <v>0.35211968384126402</v>
      </c>
      <c r="F47" t="s">
        <v>12</v>
      </c>
      <c r="G47">
        <v>0</v>
      </c>
      <c r="H47">
        <v>0</v>
      </c>
    </row>
    <row r="48" spans="1:11">
      <c r="A48">
        <v>68</v>
      </c>
      <c r="B48" t="s">
        <v>26</v>
      </c>
      <c r="C48">
        <v>29</v>
      </c>
      <c r="D48" s="4">
        <v>385.096</v>
      </c>
      <c r="E48">
        <v>0.37457672891954208</v>
      </c>
      <c r="F48" t="s">
        <v>12</v>
      </c>
      <c r="G48">
        <v>0</v>
      </c>
      <c r="H48">
        <v>0</v>
      </c>
    </row>
    <row r="49" spans="1:8">
      <c r="A49">
        <v>69</v>
      </c>
      <c r="B49" t="s">
        <v>26</v>
      </c>
      <c r="C49">
        <v>28</v>
      </c>
      <c r="D49" s="4">
        <v>811.6</v>
      </c>
      <c r="E49">
        <v>0.3692304313085264</v>
      </c>
      <c r="F49" t="s">
        <v>12</v>
      </c>
      <c r="G49">
        <v>0</v>
      </c>
      <c r="H49">
        <v>0</v>
      </c>
    </row>
    <row r="50" spans="1:8">
      <c r="A50">
        <v>76</v>
      </c>
      <c r="B50" t="s">
        <v>39</v>
      </c>
      <c r="C50">
        <v>1</v>
      </c>
      <c r="D50">
        <v>1500</v>
      </c>
      <c r="E50">
        <v>1</v>
      </c>
      <c r="F50" t="s">
        <v>12</v>
      </c>
      <c r="G50">
        <v>0</v>
      </c>
      <c r="H50">
        <v>0</v>
      </c>
    </row>
    <row r="51" spans="1:8">
      <c r="A51">
        <v>77</v>
      </c>
      <c r="B51" t="s">
        <v>39</v>
      </c>
      <c r="C51">
        <v>5</v>
      </c>
      <c r="D51">
        <v>3000</v>
      </c>
      <c r="E51">
        <v>1</v>
      </c>
      <c r="F51" t="s">
        <v>12</v>
      </c>
      <c r="G51">
        <v>0</v>
      </c>
      <c r="H51">
        <v>0</v>
      </c>
    </row>
    <row r="52" spans="1:8">
      <c r="A52">
        <v>78</v>
      </c>
      <c r="B52" t="s">
        <v>40</v>
      </c>
      <c r="C52">
        <v>0</v>
      </c>
      <c r="D52">
        <v>3000</v>
      </c>
      <c r="E52">
        <v>1</v>
      </c>
      <c r="F52" t="s">
        <v>12</v>
      </c>
      <c r="G52">
        <v>0</v>
      </c>
      <c r="H52">
        <v>0</v>
      </c>
    </row>
    <row r="53" spans="1:8">
      <c r="A53">
        <v>79</v>
      </c>
      <c r="B53" t="s">
        <v>38</v>
      </c>
      <c r="C53">
        <v>2</v>
      </c>
      <c r="D53">
        <v>3000</v>
      </c>
      <c r="E53">
        <v>1</v>
      </c>
      <c r="F53" t="s">
        <v>12</v>
      </c>
      <c r="G53">
        <v>0</v>
      </c>
      <c r="H53">
        <v>0</v>
      </c>
    </row>
    <row r="54" spans="1:8">
      <c r="A54">
        <v>80</v>
      </c>
      <c r="B54" t="s">
        <v>38</v>
      </c>
      <c r="C54">
        <v>3</v>
      </c>
      <c r="D54">
        <v>3000</v>
      </c>
      <c r="E54">
        <v>1</v>
      </c>
      <c r="F54" t="s">
        <v>12</v>
      </c>
      <c r="G54">
        <v>0</v>
      </c>
      <c r="H54">
        <v>0</v>
      </c>
    </row>
    <row r="55" spans="1:8">
      <c r="A55">
        <v>81</v>
      </c>
      <c r="B55" t="s">
        <v>38</v>
      </c>
      <c r="C55">
        <v>4</v>
      </c>
      <c r="D55">
        <v>3000</v>
      </c>
      <c r="E55">
        <v>1</v>
      </c>
      <c r="F55" t="s">
        <v>12</v>
      </c>
      <c r="G55">
        <v>0</v>
      </c>
      <c r="H55">
        <v>0</v>
      </c>
    </row>
    <row r="56" spans="1:8">
      <c r="A56">
        <v>82</v>
      </c>
      <c r="B56" t="s">
        <v>40</v>
      </c>
      <c r="C56">
        <v>4</v>
      </c>
      <c r="D56">
        <v>3000</v>
      </c>
      <c r="E56">
        <v>1</v>
      </c>
      <c r="F56" t="s">
        <v>12</v>
      </c>
      <c r="G56">
        <v>0</v>
      </c>
      <c r="H56">
        <v>0</v>
      </c>
    </row>
    <row r="57" spans="1:8">
      <c r="A57">
        <v>83</v>
      </c>
      <c r="B57" t="s">
        <v>39</v>
      </c>
      <c r="C57">
        <v>6</v>
      </c>
      <c r="D57">
        <v>3000</v>
      </c>
      <c r="E57">
        <v>1</v>
      </c>
      <c r="F57" t="s">
        <v>12</v>
      </c>
      <c r="G57">
        <v>0</v>
      </c>
      <c r="H57">
        <v>0</v>
      </c>
    </row>
    <row r="58" spans="1:8">
      <c r="A58">
        <v>84</v>
      </c>
      <c r="B58" t="s">
        <v>39</v>
      </c>
      <c r="C58">
        <v>7</v>
      </c>
      <c r="D58">
        <v>3000</v>
      </c>
      <c r="E58">
        <v>1</v>
      </c>
      <c r="F58" t="s">
        <v>12</v>
      </c>
      <c r="G58">
        <v>0</v>
      </c>
      <c r="H58">
        <v>0</v>
      </c>
    </row>
    <row r="59" spans="1:8">
      <c r="A59">
        <v>85</v>
      </c>
      <c r="B59" t="s">
        <v>38</v>
      </c>
      <c r="C59">
        <v>5</v>
      </c>
      <c r="D59">
        <v>3000</v>
      </c>
      <c r="E59">
        <v>1</v>
      </c>
      <c r="F59" t="s">
        <v>12</v>
      </c>
      <c r="G59">
        <v>0</v>
      </c>
      <c r="H59">
        <v>0</v>
      </c>
    </row>
    <row r="60" spans="1:8">
      <c r="A60">
        <v>86</v>
      </c>
      <c r="B60" t="s">
        <v>38</v>
      </c>
      <c r="C60">
        <v>6</v>
      </c>
      <c r="D60">
        <v>3000</v>
      </c>
      <c r="E60">
        <v>1</v>
      </c>
      <c r="F60" t="s">
        <v>12</v>
      </c>
      <c r="G60">
        <v>0</v>
      </c>
      <c r="H60">
        <v>0</v>
      </c>
    </row>
    <row r="61" spans="1:8">
      <c r="A61">
        <v>87</v>
      </c>
      <c r="B61" t="s">
        <v>39</v>
      </c>
      <c r="C61">
        <v>4</v>
      </c>
      <c r="D61">
        <v>1500</v>
      </c>
      <c r="E61">
        <v>1</v>
      </c>
      <c r="F61" t="s">
        <v>12</v>
      </c>
      <c r="G61">
        <v>0</v>
      </c>
      <c r="H61">
        <v>0</v>
      </c>
    </row>
    <row r="62" spans="1:8">
      <c r="A62">
        <v>88</v>
      </c>
      <c r="B62" t="s">
        <v>86</v>
      </c>
      <c r="C62">
        <v>0</v>
      </c>
      <c r="D62">
        <v>10</v>
      </c>
      <c r="E62">
        <v>1</v>
      </c>
      <c r="F62" t="s">
        <v>12</v>
      </c>
      <c r="G62">
        <v>0</v>
      </c>
      <c r="H62">
        <v>0.9</v>
      </c>
    </row>
    <row r="63" spans="1:8">
      <c r="D63" s="4"/>
    </row>
    <row r="64" spans="1:8">
      <c r="D64" s="4"/>
    </row>
    <row r="66" spans="4:4">
      <c r="D66" s="4"/>
    </row>
    <row r="67" spans="4:4">
      <c r="D67" s="4"/>
    </row>
    <row r="68" spans="4:4">
      <c r="D68" s="4"/>
    </row>
  </sheetData>
  <autoFilter ref="A1:I68" xr:uid="{BAFC4957-C263-4562-A44D-8879B8EAAB8F}">
    <sortState xmlns:xlrd2="http://schemas.microsoft.com/office/spreadsheetml/2017/richdata2" ref="A2:I68">
      <sortCondition ref="A1:A68"/>
    </sortState>
  </autoFilter>
  <mergeCells count="1">
    <mergeCell ref="N17:N22"/>
  </mergeCell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491FD-1457-46DC-B330-0B1EFEE64E12}">
  <sheetPr>
    <tabColor rgb="FFFF0000"/>
  </sheetPr>
  <dimension ref="A1:J26"/>
  <sheetViews>
    <sheetView workbookViewId="0">
      <selection activeCell="L18" sqref="L18"/>
    </sheetView>
  </sheetViews>
  <sheetFormatPr defaultRowHeight="15"/>
  <cols>
    <col min="1" max="1" width="19.5703125" bestFit="1" customWidth="1"/>
    <col min="2" max="2" width="17.85546875" bestFit="1" customWidth="1"/>
    <col min="3" max="3" width="11" bestFit="1" customWidth="1"/>
    <col min="4" max="4" width="19.5703125" bestFit="1" customWidth="1"/>
    <col min="5" max="5" width="15.140625" bestFit="1" customWidth="1"/>
  </cols>
  <sheetData>
    <row r="1" spans="1:10">
      <c r="A1" s="2" t="s">
        <v>2</v>
      </c>
      <c r="B1" t="s">
        <v>526</v>
      </c>
      <c r="D1" t="s">
        <v>527</v>
      </c>
    </row>
    <row r="3" spans="1:10">
      <c r="A3" s="2" t="s">
        <v>20</v>
      </c>
      <c r="B3" t="s">
        <v>21</v>
      </c>
      <c r="D3" s="2" t="s">
        <v>20</v>
      </c>
      <c r="E3" t="s">
        <v>21</v>
      </c>
    </row>
    <row r="4" spans="1:10">
      <c r="A4" s="3" t="s">
        <v>35</v>
      </c>
      <c r="B4">
        <v>631</v>
      </c>
      <c r="D4" s="3" t="s">
        <v>35</v>
      </c>
      <c r="E4">
        <v>631</v>
      </c>
    </row>
    <row r="5" spans="1:10">
      <c r="A5" s="3" t="s">
        <v>26</v>
      </c>
      <c r="B5">
        <v>16087.963009999999</v>
      </c>
      <c r="D5" s="3" t="s">
        <v>26</v>
      </c>
      <c r="E5">
        <v>16087.963009999999</v>
      </c>
    </row>
    <row r="6" spans="1:10">
      <c r="A6" s="3" t="s">
        <v>36</v>
      </c>
      <c r="B6">
        <v>4060</v>
      </c>
      <c r="D6" s="3" t="s">
        <v>36</v>
      </c>
      <c r="E6">
        <v>4060</v>
      </c>
    </row>
    <row r="7" spans="1:10">
      <c r="A7" s="3" t="s">
        <v>86</v>
      </c>
      <c r="B7">
        <v>10</v>
      </c>
      <c r="D7" s="3" t="s">
        <v>29</v>
      </c>
      <c r="E7">
        <v>484</v>
      </c>
    </row>
    <row r="8" spans="1:10">
      <c r="A8" s="3" t="s">
        <v>29</v>
      </c>
      <c r="B8">
        <v>484</v>
      </c>
      <c r="D8" s="3" t="s">
        <v>11</v>
      </c>
      <c r="E8">
        <v>1103</v>
      </c>
      <c r="H8" t="s">
        <v>525</v>
      </c>
      <c r="I8" t="s">
        <v>524</v>
      </c>
    </row>
    <row r="9" spans="1:10">
      <c r="A9" s="3" t="s">
        <v>11</v>
      </c>
      <c r="B9">
        <v>1103</v>
      </c>
      <c r="D9" s="3" t="s">
        <v>38</v>
      </c>
      <c r="E9">
        <v>12789.91</v>
      </c>
      <c r="G9" s="3" t="s">
        <v>38</v>
      </c>
      <c r="H9">
        <v>21789.91</v>
      </c>
      <c r="I9">
        <v>12789.91</v>
      </c>
      <c r="J9">
        <f>H9-I9</f>
        <v>9000</v>
      </c>
    </row>
    <row r="10" spans="1:10">
      <c r="A10" s="3" t="s">
        <v>38</v>
      </c>
      <c r="B10">
        <v>21789.91</v>
      </c>
      <c r="D10" s="3" t="s">
        <v>39</v>
      </c>
      <c r="E10">
        <v>6962.6900000000005</v>
      </c>
      <c r="G10" s="3" t="s">
        <v>39</v>
      </c>
      <c r="H10">
        <v>12962.69</v>
      </c>
      <c r="I10">
        <v>6962.6900000000005</v>
      </c>
      <c r="J10">
        <f t="shared" ref="J10:J11" si="0">H10-I10</f>
        <v>6000</v>
      </c>
    </row>
    <row r="11" spans="1:10">
      <c r="A11" s="3" t="s">
        <v>39</v>
      </c>
      <c r="B11">
        <v>12962.69</v>
      </c>
      <c r="D11" s="3" t="s">
        <v>40</v>
      </c>
      <c r="E11">
        <v>10236.993999999999</v>
      </c>
      <c r="G11" s="3" t="s">
        <v>40</v>
      </c>
      <c r="H11">
        <v>10236.993999999999</v>
      </c>
      <c r="I11">
        <v>10236.993999999999</v>
      </c>
      <c r="J11">
        <f t="shared" si="0"/>
        <v>0</v>
      </c>
    </row>
    <row r="12" spans="1:10">
      <c r="A12" s="3" t="s">
        <v>40</v>
      </c>
      <c r="B12">
        <v>10236.993999999999</v>
      </c>
      <c r="D12" s="3" t="s">
        <v>32</v>
      </c>
      <c r="E12">
        <v>52355.557009999997</v>
      </c>
    </row>
    <row r="13" spans="1:10">
      <c r="A13" s="3" t="s">
        <v>32</v>
      </c>
      <c r="B13">
        <v>67365.55700999999</v>
      </c>
    </row>
    <row r="16" spans="1:10">
      <c r="D16" s="2" t="s">
        <v>20</v>
      </c>
      <c r="E16" t="s">
        <v>21</v>
      </c>
    </row>
    <row r="17" spans="4:5">
      <c r="D17" s="3" t="s">
        <v>35</v>
      </c>
      <c r="E17" s="36">
        <v>631</v>
      </c>
    </row>
    <row r="18" spans="4:5">
      <c r="D18" s="3" t="s">
        <v>26</v>
      </c>
      <c r="E18" s="36">
        <v>16087.963009999999</v>
      </c>
    </row>
    <row r="19" spans="4:5">
      <c r="D19" s="3" t="s">
        <v>36</v>
      </c>
      <c r="E19" s="36">
        <v>4060</v>
      </c>
    </row>
    <row r="20" spans="4:5">
      <c r="D20" s="3" t="s">
        <v>86</v>
      </c>
      <c r="E20" s="36">
        <v>10</v>
      </c>
    </row>
    <row r="21" spans="4:5">
      <c r="D21" s="3" t="s">
        <v>29</v>
      </c>
      <c r="E21" s="36">
        <v>484</v>
      </c>
    </row>
    <row r="22" spans="4:5">
      <c r="D22" s="3" t="s">
        <v>11</v>
      </c>
      <c r="E22" s="36">
        <v>1103</v>
      </c>
    </row>
    <row r="23" spans="4:5">
      <c r="D23" s="3" t="s">
        <v>38</v>
      </c>
      <c r="E23" s="36">
        <v>21789.91</v>
      </c>
    </row>
    <row r="24" spans="4:5">
      <c r="D24" s="3" t="s">
        <v>39</v>
      </c>
      <c r="E24" s="36">
        <v>12962.69</v>
      </c>
    </row>
    <row r="25" spans="4:5">
      <c r="D25" s="3" t="s">
        <v>40</v>
      </c>
      <c r="E25" s="36">
        <v>10236.994000000001</v>
      </c>
    </row>
    <row r="26" spans="4:5">
      <c r="D26" s="3" t="s">
        <v>32</v>
      </c>
      <c r="E26" s="36">
        <v>67365.557010000004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28D0C-989B-4621-9BEF-8EE1D0A162DA}">
  <sheetPr>
    <tabColor rgb="FFFF0000"/>
  </sheetPr>
  <dimension ref="A1:P68"/>
  <sheetViews>
    <sheetView workbookViewId="0">
      <selection activeCell="K18" sqref="K18"/>
    </sheetView>
  </sheetViews>
  <sheetFormatPr defaultRowHeight="15"/>
  <cols>
    <col min="1" max="1" width="6" customWidth="1"/>
    <col min="2" max="2" width="29.7109375" customWidth="1"/>
    <col min="4" max="4" width="10.5703125" bestFit="1" customWidth="1"/>
    <col min="6" max="6" width="10.28515625" customWidth="1"/>
    <col min="8" max="8" width="31.7109375" customWidth="1"/>
    <col min="9" max="9" width="30.28515625" customWidth="1"/>
    <col min="10" max="10" width="2.85546875" customWidth="1"/>
    <col min="14" max="14" width="30.28515625" bestFit="1" customWidth="1"/>
    <col min="15" max="15" width="14.140625" bestFit="1" customWidth="1"/>
    <col min="16" max="16" width="15.140625" bestFit="1" customWidth="1"/>
  </cols>
  <sheetData>
    <row r="1" spans="1:14">
      <c r="A1" s="1" t="s">
        <v>17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8</v>
      </c>
      <c r="H1" s="1" t="s">
        <v>9</v>
      </c>
      <c r="I1" s="1" t="s">
        <v>19</v>
      </c>
      <c r="J1" s="34"/>
    </row>
    <row r="2" spans="1:14">
      <c r="A2">
        <v>20</v>
      </c>
      <c r="B2" t="s">
        <v>35</v>
      </c>
      <c r="C2">
        <v>25</v>
      </c>
      <c r="D2" s="4">
        <v>631</v>
      </c>
      <c r="E2">
        <v>0.42</v>
      </c>
      <c r="F2" t="s">
        <v>12</v>
      </c>
      <c r="G2">
        <v>0</v>
      </c>
      <c r="H2">
        <v>0</v>
      </c>
    </row>
    <row r="3" spans="1:14">
      <c r="A3">
        <v>21</v>
      </c>
      <c r="B3" t="s">
        <v>36</v>
      </c>
      <c r="C3">
        <v>4</v>
      </c>
      <c r="D3" s="4">
        <v>790</v>
      </c>
      <c r="E3">
        <v>0.46</v>
      </c>
      <c r="F3" t="s">
        <v>12</v>
      </c>
      <c r="G3">
        <v>0</v>
      </c>
      <c r="H3">
        <v>0</v>
      </c>
      <c r="I3">
        <v>2030</v>
      </c>
    </row>
    <row r="4" spans="1:14">
      <c r="A4">
        <v>22</v>
      </c>
      <c r="B4" t="s">
        <v>36</v>
      </c>
      <c r="C4">
        <v>5</v>
      </c>
      <c r="D4" s="4">
        <v>2640</v>
      </c>
      <c r="E4">
        <v>0.46</v>
      </c>
      <c r="F4" t="s">
        <v>12</v>
      </c>
      <c r="G4">
        <v>0</v>
      </c>
      <c r="H4">
        <v>0</v>
      </c>
      <c r="I4">
        <v>2030</v>
      </c>
    </row>
    <row r="5" spans="1:14">
      <c r="A5">
        <v>23</v>
      </c>
      <c r="B5" t="s">
        <v>36</v>
      </c>
      <c r="C5">
        <v>24</v>
      </c>
      <c r="D5" s="4">
        <v>630</v>
      </c>
      <c r="E5">
        <v>0.41</v>
      </c>
      <c r="F5" t="s">
        <v>12</v>
      </c>
      <c r="G5">
        <v>0</v>
      </c>
      <c r="H5">
        <v>0</v>
      </c>
      <c r="I5">
        <v>2020</v>
      </c>
    </row>
    <row r="6" spans="1:14">
      <c r="A6">
        <v>24</v>
      </c>
      <c r="B6" t="s">
        <v>26</v>
      </c>
      <c r="C6">
        <v>1</v>
      </c>
      <c r="D6" s="4">
        <v>341</v>
      </c>
      <c r="E6">
        <v>0.52</v>
      </c>
      <c r="F6" t="s">
        <v>12</v>
      </c>
      <c r="G6">
        <v>0</v>
      </c>
      <c r="H6">
        <v>0</v>
      </c>
    </row>
    <row r="7" spans="1:14">
      <c r="A7">
        <v>25</v>
      </c>
      <c r="B7" t="s">
        <v>26</v>
      </c>
      <c r="C7">
        <v>2</v>
      </c>
      <c r="D7" s="4">
        <v>800</v>
      </c>
      <c r="E7">
        <v>0.56000000000000005</v>
      </c>
      <c r="F7" t="s">
        <v>12</v>
      </c>
      <c r="G7">
        <v>0</v>
      </c>
      <c r="H7">
        <v>0</v>
      </c>
    </row>
    <row r="8" spans="1:14">
      <c r="A8">
        <v>26</v>
      </c>
      <c r="B8" t="s">
        <v>26</v>
      </c>
      <c r="C8">
        <v>3</v>
      </c>
      <c r="D8" s="4">
        <v>874</v>
      </c>
      <c r="E8">
        <v>0.57999999999999996</v>
      </c>
      <c r="F8" t="s">
        <v>12</v>
      </c>
      <c r="G8">
        <v>0</v>
      </c>
      <c r="H8">
        <v>0</v>
      </c>
    </row>
    <row r="9" spans="1:14">
      <c r="A9">
        <v>27</v>
      </c>
      <c r="B9" t="s">
        <v>26</v>
      </c>
      <c r="C9">
        <v>4</v>
      </c>
      <c r="D9" s="4">
        <v>420</v>
      </c>
      <c r="E9">
        <v>0.59</v>
      </c>
      <c r="F9" t="s">
        <v>12</v>
      </c>
      <c r="G9">
        <v>0</v>
      </c>
      <c r="H9">
        <v>0</v>
      </c>
    </row>
    <row r="10" spans="1:14">
      <c r="A10">
        <v>28</v>
      </c>
      <c r="B10" t="s">
        <v>26</v>
      </c>
      <c r="C10">
        <v>6</v>
      </c>
      <c r="D10" s="4">
        <v>872</v>
      </c>
      <c r="E10">
        <v>0.58498853211009172</v>
      </c>
      <c r="F10" t="s">
        <v>12</v>
      </c>
      <c r="G10">
        <v>0</v>
      </c>
      <c r="H10">
        <v>0</v>
      </c>
    </row>
    <row r="11" spans="1:14">
      <c r="A11">
        <v>29</v>
      </c>
      <c r="B11" t="s">
        <v>26</v>
      </c>
      <c r="C11">
        <v>7</v>
      </c>
      <c r="D11" s="4">
        <v>420</v>
      </c>
      <c r="E11">
        <v>0.59</v>
      </c>
      <c r="F11" t="s">
        <v>12</v>
      </c>
      <c r="G11">
        <v>0</v>
      </c>
      <c r="H11">
        <v>0</v>
      </c>
    </row>
    <row r="12" spans="1:14">
      <c r="A12">
        <v>30</v>
      </c>
      <c r="B12" t="s">
        <v>26</v>
      </c>
      <c r="C12">
        <v>8</v>
      </c>
      <c r="D12" s="4">
        <v>426</v>
      </c>
      <c r="E12">
        <v>0.57999999999999996</v>
      </c>
      <c r="F12" t="s">
        <v>12</v>
      </c>
      <c r="G12">
        <v>0</v>
      </c>
      <c r="H12">
        <v>0</v>
      </c>
    </row>
    <row r="13" spans="1:14">
      <c r="A13">
        <v>31</v>
      </c>
      <c r="B13" t="s">
        <v>26</v>
      </c>
      <c r="C13">
        <v>9</v>
      </c>
      <c r="D13" s="4">
        <v>1295</v>
      </c>
      <c r="E13">
        <v>0.58798455598455601</v>
      </c>
      <c r="F13" t="s">
        <v>12</v>
      </c>
      <c r="G13">
        <v>0</v>
      </c>
      <c r="H13">
        <v>0</v>
      </c>
    </row>
    <row r="14" spans="1:14">
      <c r="A14">
        <v>32</v>
      </c>
      <c r="B14" t="s">
        <v>26</v>
      </c>
      <c r="C14">
        <v>10</v>
      </c>
      <c r="D14" s="4">
        <v>870</v>
      </c>
      <c r="E14">
        <v>0.59</v>
      </c>
      <c r="F14" t="s">
        <v>12</v>
      </c>
      <c r="G14">
        <v>0</v>
      </c>
      <c r="H14">
        <v>0</v>
      </c>
    </row>
    <row r="15" spans="1:14">
      <c r="A15">
        <v>33</v>
      </c>
      <c r="B15" t="s">
        <v>26</v>
      </c>
      <c r="C15">
        <v>19</v>
      </c>
      <c r="D15" s="4">
        <v>245</v>
      </c>
      <c r="E15">
        <v>0.51</v>
      </c>
      <c r="F15" t="s">
        <v>12</v>
      </c>
      <c r="G15">
        <v>0</v>
      </c>
      <c r="H15">
        <v>0</v>
      </c>
      <c r="N15" s="3" t="s">
        <v>33</v>
      </c>
    </row>
    <row r="16" spans="1:14">
      <c r="A16">
        <v>34</v>
      </c>
      <c r="B16" t="s">
        <v>26</v>
      </c>
      <c r="C16">
        <v>22</v>
      </c>
      <c r="D16" s="4">
        <v>682</v>
      </c>
      <c r="E16">
        <v>0.52</v>
      </c>
      <c r="F16" t="s">
        <v>12</v>
      </c>
      <c r="G16">
        <v>0</v>
      </c>
      <c r="H16">
        <v>0</v>
      </c>
      <c r="N16" s="16" t="s">
        <v>34</v>
      </c>
    </row>
    <row r="17" spans="1:14" ht="14.65" customHeight="1">
      <c r="A17">
        <v>35</v>
      </c>
      <c r="B17" t="s">
        <v>26</v>
      </c>
      <c r="C17">
        <v>23</v>
      </c>
      <c r="D17" s="4">
        <v>341</v>
      </c>
      <c r="E17">
        <v>0.52</v>
      </c>
      <c r="F17" t="s">
        <v>12</v>
      </c>
      <c r="G17">
        <v>0</v>
      </c>
      <c r="H17">
        <v>0</v>
      </c>
      <c r="N17" s="35" t="s">
        <v>41</v>
      </c>
    </row>
    <row r="18" spans="1:14">
      <c r="A18">
        <v>37</v>
      </c>
      <c r="B18" t="s">
        <v>29</v>
      </c>
      <c r="C18">
        <v>27</v>
      </c>
      <c r="D18" s="4">
        <v>484</v>
      </c>
      <c r="E18">
        <v>0.34</v>
      </c>
      <c r="F18" t="s">
        <v>12</v>
      </c>
      <c r="G18">
        <v>0</v>
      </c>
      <c r="H18">
        <v>0</v>
      </c>
      <c r="I18">
        <v>2033</v>
      </c>
      <c r="K18" t="s">
        <v>42</v>
      </c>
      <c r="N18" s="35"/>
    </row>
    <row r="19" spans="1:14">
      <c r="A19">
        <v>38</v>
      </c>
      <c r="B19" t="s">
        <v>38</v>
      </c>
      <c r="C19">
        <v>0</v>
      </c>
      <c r="D19" s="4">
        <v>2400.5369999999998</v>
      </c>
      <c r="E19">
        <v>1</v>
      </c>
      <c r="F19" t="s">
        <v>12</v>
      </c>
      <c r="G19">
        <v>0</v>
      </c>
      <c r="H19">
        <v>0</v>
      </c>
      <c r="N19" s="35"/>
    </row>
    <row r="20" spans="1:14">
      <c r="A20">
        <v>39</v>
      </c>
      <c r="B20" t="s">
        <v>38</v>
      </c>
      <c r="C20">
        <v>1</v>
      </c>
      <c r="D20" s="4">
        <v>1527.3040000000001</v>
      </c>
      <c r="E20">
        <v>1</v>
      </c>
      <c r="F20" t="s">
        <v>12</v>
      </c>
      <c r="G20">
        <v>0</v>
      </c>
      <c r="H20">
        <v>0</v>
      </c>
      <c r="N20" s="35"/>
    </row>
    <row r="21" spans="1:14">
      <c r="A21">
        <v>40</v>
      </c>
      <c r="B21" t="s">
        <v>38</v>
      </c>
      <c r="C21">
        <v>2</v>
      </c>
      <c r="D21" s="4">
        <v>588.56900000000007</v>
      </c>
      <c r="E21">
        <v>1</v>
      </c>
      <c r="F21" t="s">
        <v>12</v>
      </c>
      <c r="G21">
        <v>0</v>
      </c>
      <c r="H21">
        <v>0</v>
      </c>
      <c r="N21" s="35"/>
    </row>
    <row r="22" spans="1:14">
      <c r="A22">
        <v>41</v>
      </c>
      <c r="B22" t="s">
        <v>38</v>
      </c>
      <c r="C22">
        <v>3</v>
      </c>
      <c r="D22" s="4">
        <v>633.91399999999999</v>
      </c>
      <c r="E22">
        <v>1</v>
      </c>
      <c r="F22" t="s">
        <v>12</v>
      </c>
      <c r="G22">
        <v>0</v>
      </c>
      <c r="H22">
        <v>0</v>
      </c>
      <c r="N22" s="35"/>
    </row>
    <row r="23" spans="1:14">
      <c r="A23">
        <v>42</v>
      </c>
      <c r="B23" t="s">
        <v>38</v>
      </c>
      <c r="C23">
        <v>4</v>
      </c>
      <c r="D23" s="4">
        <v>498.2</v>
      </c>
      <c r="E23">
        <v>1</v>
      </c>
      <c r="F23" t="s">
        <v>12</v>
      </c>
      <c r="G23">
        <v>0</v>
      </c>
      <c r="H23">
        <v>0</v>
      </c>
    </row>
    <row r="24" spans="1:14">
      <c r="A24">
        <v>43</v>
      </c>
      <c r="B24" t="s">
        <v>38</v>
      </c>
      <c r="C24">
        <v>5</v>
      </c>
      <c r="D24" s="4">
        <v>492.642</v>
      </c>
      <c r="E24">
        <v>1</v>
      </c>
      <c r="F24" t="s">
        <v>12</v>
      </c>
      <c r="G24">
        <v>0</v>
      </c>
      <c r="H24">
        <v>0</v>
      </c>
      <c r="N24" t="s">
        <v>43</v>
      </c>
    </row>
    <row r="25" spans="1:14">
      <c r="A25">
        <v>44</v>
      </c>
      <c r="B25" t="s">
        <v>38</v>
      </c>
      <c r="C25">
        <v>6</v>
      </c>
      <c r="D25" s="4">
        <v>648.74400000000003</v>
      </c>
      <c r="E25">
        <v>1</v>
      </c>
      <c r="F25" t="s">
        <v>12</v>
      </c>
      <c r="G25">
        <v>0</v>
      </c>
      <c r="H25">
        <v>0</v>
      </c>
    </row>
    <row r="26" spans="1:14">
      <c r="A26">
        <v>45</v>
      </c>
      <c r="B26" t="s">
        <v>39</v>
      </c>
      <c r="C26">
        <v>2</v>
      </c>
      <c r="D26" s="4">
        <v>203.696</v>
      </c>
      <c r="E26">
        <v>1</v>
      </c>
      <c r="F26" t="s">
        <v>12</v>
      </c>
      <c r="G26">
        <v>0</v>
      </c>
      <c r="H26">
        <v>0</v>
      </c>
    </row>
    <row r="27" spans="1:14">
      <c r="A27">
        <v>46</v>
      </c>
      <c r="B27" t="s">
        <v>39</v>
      </c>
      <c r="C27">
        <v>3</v>
      </c>
      <c r="D27" s="4">
        <v>758.99400000000003</v>
      </c>
      <c r="E27">
        <v>1</v>
      </c>
      <c r="F27" t="s">
        <v>12</v>
      </c>
      <c r="G27">
        <v>0</v>
      </c>
      <c r="H27">
        <v>0</v>
      </c>
    </row>
    <row r="28" spans="1:14">
      <c r="A28">
        <v>47</v>
      </c>
      <c r="B28" t="s">
        <v>40</v>
      </c>
      <c r="C28">
        <v>0</v>
      </c>
      <c r="D28" s="4">
        <v>341.774</v>
      </c>
      <c r="E28">
        <v>1</v>
      </c>
      <c r="F28" t="s">
        <v>12</v>
      </c>
      <c r="G28">
        <v>0</v>
      </c>
      <c r="H28">
        <v>0</v>
      </c>
    </row>
    <row r="29" spans="1:14">
      <c r="A29">
        <v>48</v>
      </c>
      <c r="B29" t="s">
        <v>40</v>
      </c>
      <c r="C29">
        <v>1</v>
      </c>
      <c r="D29" s="4">
        <v>425.90300000000002</v>
      </c>
      <c r="E29">
        <v>1</v>
      </c>
      <c r="F29" t="s">
        <v>12</v>
      </c>
      <c r="G29">
        <v>0</v>
      </c>
      <c r="H29">
        <v>0</v>
      </c>
    </row>
    <row r="30" spans="1:14">
      <c r="A30">
        <v>49</v>
      </c>
      <c r="B30" t="s">
        <v>40</v>
      </c>
      <c r="C30">
        <v>2</v>
      </c>
      <c r="D30" s="4">
        <v>551.90700000000004</v>
      </c>
      <c r="E30">
        <v>1</v>
      </c>
      <c r="F30" t="s">
        <v>12</v>
      </c>
      <c r="G30">
        <v>0</v>
      </c>
      <c r="H30">
        <v>0</v>
      </c>
    </row>
    <row r="31" spans="1:14">
      <c r="A31">
        <v>50</v>
      </c>
      <c r="B31" t="s">
        <v>40</v>
      </c>
      <c r="C31">
        <v>3</v>
      </c>
      <c r="D31" s="4">
        <v>659.47300000000007</v>
      </c>
      <c r="E31">
        <v>1</v>
      </c>
      <c r="F31" t="s">
        <v>12</v>
      </c>
      <c r="G31">
        <v>0</v>
      </c>
      <c r="H31">
        <v>0</v>
      </c>
    </row>
    <row r="32" spans="1:14">
      <c r="A32">
        <v>51</v>
      </c>
      <c r="B32" t="s">
        <v>40</v>
      </c>
      <c r="C32">
        <v>11</v>
      </c>
      <c r="D32" s="4">
        <v>638.66199999999992</v>
      </c>
      <c r="E32">
        <v>1</v>
      </c>
      <c r="F32" t="s">
        <v>12</v>
      </c>
      <c r="G32">
        <v>0</v>
      </c>
      <c r="H32">
        <v>0</v>
      </c>
    </row>
    <row r="33" spans="1:11">
      <c r="A33">
        <v>52</v>
      </c>
      <c r="B33" t="s">
        <v>40</v>
      </c>
      <c r="C33">
        <v>12</v>
      </c>
      <c r="D33" s="4">
        <v>317.36399999999998</v>
      </c>
      <c r="E33">
        <v>1</v>
      </c>
      <c r="F33" t="s">
        <v>12</v>
      </c>
      <c r="G33">
        <v>0</v>
      </c>
      <c r="H33">
        <v>0</v>
      </c>
    </row>
    <row r="34" spans="1:11">
      <c r="A34">
        <v>53</v>
      </c>
      <c r="B34" t="s">
        <v>40</v>
      </c>
      <c r="C34">
        <v>13</v>
      </c>
      <c r="D34" s="4">
        <v>285.59800000000001</v>
      </c>
      <c r="E34">
        <v>1</v>
      </c>
      <c r="F34" t="s">
        <v>12</v>
      </c>
      <c r="G34">
        <v>0</v>
      </c>
      <c r="H34">
        <v>0</v>
      </c>
    </row>
    <row r="35" spans="1:11">
      <c r="A35">
        <v>54</v>
      </c>
      <c r="B35" t="s">
        <v>40</v>
      </c>
      <c r="C35">
        <v>14</v>
      </c>
      <c r="D35" s="4">
        <v>1016.313</v>
      </c>
      <c r="E35">
        <v>1</v>
      </c>
      <c r="F35" t="s">
        <v>12</v>
      </c>
      <c r="G35">
        <v>0</v>
      </c>
      <c r="H35">
        <v>0</v>
      </c>
    </row>
    <row r="36" spans="1:11">
      <c r="A36">
        <v>55</v>
      </c>
      <c r="B36" t="s">
        <v>11</v>
      </c>
      <c r="C36">
        <v>29</v>
      </c>
      <c r="D36" s="4">
        <v>643</v>
      </c>
      <c r="E36">
        <v>0.38765163297045102</v>
      </c>
      <c r="F36" t="s">
        <v>12</v>
      </c>
      <c r="G36">
        <v>0</v>
      </c>
      <c r="H36">
        <v>0</v>
      </c>
      <c r="K36" t="s">
        <v>44</v>
      </c>
    </row>
    <row r="37" spans="1:11">
      <c r="A37">
        <v>56</v>
      </c>
      <c r="B37" t="s">
        <v>11</v>
      </c>
      <c r="C37">
        <v>35</v>
      </c>
      <c r="D37" s="4">
        <v>460</v>
      </c>
      <c r="E37">
        <v>0.36299999999999999</v>
      </c>
      <c r="F37" t="s">
        <v>12</v>
      </c>
      <c r="G37">
        <v>0</v>
      </c>
      <c r="H37">
        <v>0</v>
      </c>
      <c r="K37" t="s">
        <v>45</v>
      </c>
    </row>
    <row r="38" spans="1:11">
      <c r="A38">
        <v>58</v>
      </c>
      <c r="B38" t="s">
        <v>26</v>
      </c>
      <c r="C38">
        <v>6</v>
      </c>
      <c r="D38" s="4">
        <v>444.2</v>
      </c>
      <c r="E38">
        <v>0.58440792435839717</v>
      </c>
      <c r="F38" t="s">
        <v>12</v>
      </c>
      <c r="G38">
        <v>0</v>
      </c>
      <c r="H38">
        <v>0</v>
      </c>
    </row>
    <row r="39" spans="1:11">
      <c r="A39">
        <v>59</v>
      </c>
      <c r="B39" t="s">
        <v>26</v>
      </c>
      <c r="C39">
        <v>11</v>
      </c>
      <c r="D39" s="4">
        <v>862.64</v>
      </c>
      <c r="E39">
        <v>0.40999999999999992</v>
      </c>
      <c r="F39" t="s">
        <v>12</v>
      </c>
      <c r="G39">
        <v>0</v>
      </c>
      <c r="H39">
        <v>0</v>
      </c>
    </row>
    <row r="40" spans="1:11">
      <c r="A40">
        <v>60</v>
      </c>
      <c r="B40" t="s">
        <v>26</v>
      </c>
      <c r="C40">
        <v>12</v>
      </c>
      <c r="D40" s="4">
        <v>721</v>
      </c>
      <c r="E40">
        <v>0.40999999999999992</v>
      </c>
      <c r="F40" t="s">
        <v>12</v>
      </c>
      <c r="G40">
        <v>0</v>
      </c>
      <c r="H40">
        <v>0</v>
      </c>
    </row>
    <row r="41" spans="1:11">
      <c r="A41">
        <v>61</v>
      </c>
      <c r="B41" t="s">
        <v>26</v>
      </c>
      <c r="C41">
        <v>13</v>
      </c>
      <c r="D41" s="4">
        <v>641</v>
      </c>
      <c r="E41">
        <v>0.41</v>
      </c>
      <c r="F41" t="s">
        <v>12</v>
      </c>
      <c r="G41">
        <v>0</v>
      </c>
      <c r="H41">
        <v>0</v>
      </c>
    </row>
    <row r="42" spans="1:11">
      <c r="A42">
        <v>62</v>
      </c>
      <c r="B42" t="s">
        <v>26</v>
      </c>
      <c r="C42">
        <v>14</v>
      </c>
      <c r="D42" s="4">
        <v>739.29300000000001</v>
      </c>
      <c r="E42">
        <v>0.29418898900706492</v>
      </c>
      <c r="F42" t="s">
        <v>12</v>
      </c>
      <c r="G42">
        <v>0</v>
      </c>
      <c r="H42">
        <v>0</v>
      </c>
    </row>
    <row r="43" spans="1:11">
      <c r="A43">
        <v>63</v>
      </c>
      <c r="B43" t="s">
        <v>26</v>
      </c>
      <c r="C43">
        <v>19</v>
      </c>
      <c r="D43" s="4">
        <v>541.81700000000001</v>
      </c>
      <c r="E43">
        <v>0.40885261998054689</v>
      </c>
      <c r="F43" t="s">
        <v>12</v>
      </c>
      <c r="G43">
        <v>0</v>
      </c>
      <c r="H43">
        <v>0</v>
      </c>
    </row>
    <row r="44" spans="1:11">
      <c r="A44">
        <v>64</v>
      </c>
      <c r="B44" t="s">
        <v>26</v>
      </c>
      <c r="C44">
        <v>20</v>
      </c>
      <c r="D44" s="4">
        <v>557.93399999999997</v>
      </c>
      <c r="E44">
        <v>0.41587463750192682</v>
      </c>
      <c r="F44" t="s">
        <v>12</v>
      </c>
      <c r="G44">
        <v>0</v>
      </c>
      <c r="H44">
        <v>0</v>
      </c>
    </row>
    <row r="45" spans="1:11">
      <c r="A45">
        <v>65</v>
      </c>
      <c r="B45" t="s">
        <v>26</v>
      </c>
      <c r="C45">
        <v>22</v>
      </c>
      <c r="D45" s="4">
        <v>1040.24</v>
      </c>
      <c r="E45">
        <v>0.35755348765669459</v>
      </c>
      <c r="F45" t="s">
        <v>12</v>
      </c>
      <c r="G45">
        <v>0</v>
      </c>
      <c r="H45">
        <v>0</v>
      </c>
    </row>
    <row r="46" spans="1:11">
      <c r="A46">
        <v>66</v>
      </c>
      <c r="B46" t="s">
        <v>26</v>
      </c>
      <c r="C46">
        <v>23</v>
      </c>
      <c r="D46" s="4">
        <v>1101.962</v>
      </c>
      <c r="E46">
        <v>0.4374676880872479</v>
      </c>
      <c r="F46" t="s">
        <v>12</v>
      </c>
      <c r="G46">
        <v>0</v>
      </c>
      <c r="H46">
        <v>0</v>
      </c>
    </row>
    <row r="47" spans="1:11">
      <c r="A47">
        <v>67</v>
      </c>
      <c r="B47" t="s">
        <v>26</v>
      </c>
      <c r="C47">
        <v>28</v>
      </c>
      <c r="D47" s="4">
        <v>655.18101000000001</v>
      </c>
      <c r="E47">
        <v>0.35211968384126402</v>
      </c>
      <c r="F47" t="s">
        <v>12</v>
      </c>
      <c r="G47">
        <v>0</v>
      </c>
      <c r="H47">
        <v>0</v>
      </c>
    </row>
    <row r="48" spans="1:11">
      <c r="A48">
        <v>68</v>
      </c>
      <c r="B48" t="s">
        <v>26</v>
      </c>
      <c r="C48">
        <v>29</v>
      </c>
      <c r="D48" s="4">
        <v>385.096</v>
      </c>
      <c r="E48">
        <v>0.37457672891954208</v>
      </c>
      <c r="F48" t="s">
        <v>12</v>
      </c>
      <c r="G48">
        <v>0</v>
      </c>
      <c r="H48">
        <v>0</v>
      </c>
    </row>
    <row r="49" spans="1:16">
      <c r="A49">
        <v>69</v>
      </c>
      <c r="B49" t="s">
        <v>26</v>
      </c>
      <c r="C49">
        <v>28</v>
      </c>
      <c r="D49" s="4">
        <v>811.6</v>
      </c>
      <c r="E49">
        <v>0.3692304313085264</v>
      </c>
      <c r="F49" t="s">
        <v>12</v>
      </c>
      <c r="G49">
        <v>0</v>
      </c>
      <c r="H49">
        <v>0</v>
      </c>
      <c r="K49" t="s">
        <v>46</v>
      </c>
    </row>
    <row r="50" spans="1:16">
      <c r="A50">
        <v>70</v>
      </c>
      <c r="B50" t="s">
        <v>38</v>
      </c>
      <c r="C50">
        <v>-1</v>
      </c>
      <c r="D50" s="4">
        <v>3000</v>
      </c>
      <c r="E50">
        <v>1</v>
      </c>
      <c r="F50" t="s">
        <v>12</v>
      </c>
      <c r="G50">
        <v>0</v>
      </c>
      <c r="H50">
        <v>0</v>
      </c>
      <c r="K50">
        <v>36</v>
      </c>
      <c r="L50" t="s">
        <v>37</v>
      </c>
      <c r="M50">
        <v>14</v>
      </c>
      <c r="N50">
        <v>40.207000000000001</v>
      </c>
      <c r="O50">
        <v>1</v>
      </c>
      <c r="P50">
        <v>1</v>
      </c>
    </row>
    <row r="51" spans="1:16">
      <c r="A51">
        <v>71</v>
      </c>
      <c r="B51" t="s">
        <v>38</v>
      </c>
      <c r="C51">
        <v>-2</v>
      </c>
      <c r="D51" s="4">
        <v>3000</v>
      </c>
      <c r="E51">
        <v>1</v>
      </c>
      <c r="F51" t="s">
        <v>12</v>
      </c>
      <c r="G51">
        <v>0</v>
      </c>
      <c r="H51">
        <v>0</v>
      </c>
      <c r="K51">
        <v>57</v>
      </c>
      <c r="L51" t="s">
        <v>35</v>
      </c>
      <c r="M51">
        <v>14</v>
      </c>
      <c r="N51">
        <v>1.7679999999999969</v>
      </c>
      <c r="O51">
        <v>0.3</v>
      </c>
      <c r="P51">
        <v>0.74200913242009103</v>
      </c>
    </row>
    <row r="52" spans="1:16">
      <c r="A52">
        <v>72</v>
      </c>
      <c r="B52" t="s">
        <v>39</v>
      </c>
      <c r="C52">
        <v>-1</v>
      </c>
      <c r="D52" s="4">
        <v>3000</v>
      </c>
      <c r="E52">
        <v>1</v>
      </c>
      <c r="F52" t="s">
        <v>12</v>
      </c>
      <c r="G52">
        <v>0</v>
      </c>
      <c r="H52">
        <v>0</v>
      </c>
      <c r="K52" t="s">
        <v>47</v>
      </c>
    </row>
    <row r="53" spans="1:16">
      <c r="A53">
        <v>73</v>
      </c>
      <c r="B53" t="s">
        <v>39</v>
      </c>
      <c r="C53">
        <v>-2</v>
      </c>
      <c r="D53" s="4">
        <v>3000</v>
      </c>
      <c r="E53">
        <v>1</v>
      </c>
      <c r="F53" t="s">
        <v>12</v>
      </c>
      <c r="G53">
        <v>0</v>
      </c>
      <c r="H53">
        <v>0</v>
      </c>
      <c r="K53" t="s">
        <v>47</v>
      </c>
    </row>
    <row r="54" spans="1:16">
      <c r="A54">
        <v>74</v>
      </c>
      <c r="B54" t="s">
        <v>40</v>
      </c>
      <c r="C54">
        <v>-2</v>
      </c>
      <c r="D54" s="4">
        <v>3000</v>
      </c>
      <c r="E54">
        <v>1</v>
      </c>
      <c r="F54" t="s">
        <v>12</v>
      </c>
      <c r="G54">
        <v>0</v>
      </c>
      <c r="H54">
        <v>0</v>
      </c>
      <c r="K54" t="s">
        <v>47</v>
      </c>
    </row>
    <row r="55" spans="1:16">
      <c r="A55">
        <v>75</v>
      </c>
      <c r="B55" t="s">
        <v>40</v>
      </c>
      <c r="C55">
        <v>-1</v>
      </c>
      <c r="D55">
        <v>3000</v>
      </c>
      <c r="E55">
        <v>1</v>
      </c>
      <c r="F55" t="s">
        <v>12</v>
      </c>
      <c r="G55">
        <v>0</v>
      </c>
      <c r="H55">
        <v>0</v>
      </c>
      <c r="K55" t="s">
        <v>47</v>
      </c>
    </row>
    <row r="56" spans="1:16">
      <c r="A56">
        <v>76</v>
      </c>
      <c r="B56" t="s">
        <v>39</v>
      </c>
      <c r="C56">
        <v>1</v>
      </c>
      <c r="D56">
        <v>1500</v>
      </c>
      <c r="E56">
        <v>1</v>
      </c>
      <c r="F56" t="s">
        <v>12</v>
      </c>
      <c r="G56">
        <v>0</v>
      </c>
      <c r="H56">
        <v>0</v>
      </c>
      <c r="K56" t="s">
        <v>47</v>
      </c>
    </row>
    <row r="57" spans="1:16">
      <c r="A57">
        <v>77</v>
      </c>
      <c r="B57" t="s">
        <v>39</v>
      </c>
      <c r="C57">
        <v>5</v>
      </c>
      <c r="D57">
        <v>3000</v>
      </c>
      <c r="E57">
        <v>1</v>
      </c>
      <c r="F57" t="s">
        <v>12</v>
      </c>
      <c r="G57">
        <v>0</v>
      </c>
      <c r="H57">
        <v>0</v>
      </c>
      <c r="K57" t="s">
        <v>47</v>
      </c>
    </row>
    <row r="58" spans="1:16">
      <c r="A58">
        <v>78</v>
      </c>
      <c r="B58" t="s">
        <v>40</v>
      </c>
      <c r="C58">
        <v>0</v>
      </c>
      <c r="D58">
        <v>3000</v>
      </c>
      <c r="E58">
        <v>1</v>
      </c>
      <c r="F58" t="s">
        <v>12</v>
      </c>
      <c r="G58">
        <v>0</v>
      </c>
      <c r="H58">
        <v>0</v>
      </c>
      <c r="K58" t="s">
        <v>47</v>
      </c>
    </row>
    <row r="59" spans="1:16">
      <c r="A59">
        <v>79</v>
      </c>
      <c r="B59" t="s">
        <v>38</v>
      </c>
      <c r="C59">
        <v>2</v>
      </c>
      <c r="D59">
        <v>3000</v>
      </c>
      <c r="E59">
        <v>1</v>
      </c>
      <c r="F59" t="s">
        <v>12</v>
      </c>
      <c r="G59">
        <v>0</v>
      </c>
      <c r="H59">
        <v>0</v>
      </c>
      <c r="K59" t="s">
        <v>47</v>
      </c>
    </row>
    <row r="60" spans="1:16">
      <c r="A60">
        <v>80</v>
      </c>
      <c r="B60" t="s">
        <v>38</v>
      </c>
      <c r="C60">
        <v>3</v>
      </c>
      <c r="D60">
        <v>3000</v>
      </c>
      <c r="E60">
        <v>1</v>
      </c>
      <c r="F60" t="s">
        <v>12</v>
      </c>
      <c r="G60">
        <v>0</v>
      </c>
      <c r="H60">
        <v>0</v>
      </c>
      <c r="K60" t="s">
        <v>47</v>
      </c>
    </row>
    <row r="61" spans="1:16">
      <c r="A61">
        <v>81</v>
      </c>
      <c r="B61" t="s">
        <v>38</v>
      </c>
      <c r="C61">
        <v>4</v>
      </c>
      <c r="D61">
        <v>3000</v>
      </c>
      <c r="E61">
        <v>1</v>
      </c>
      <c r="F61" t="s">
        <v>12</v>
      </c>
      <c r="G61">
        <v>0</v>
      </c>
      <c r="H61">
        <v>0</v>
      </c>
      <c r="K61" t="s">
        <v>47</v>
      </c>
    </row>
    <row r="62" spans="1:16">
      <c r="A62">
        <v>82</v>
      </c>
      <c r="B62" t="s">
        <v>40</v>
      </c>
      <c r="C62">
        <v>4</v>
      </c>
      <c r="D62">
        <v>3000</v>
      </c>
      <c r="E62">
        <v>1</v>
      </c>
      <c r="F62" t="s">
        <v>12</v>
      </c>
      <c r="G62">
        <v>0</v>
      </c>
      <c r="H62">
        <v>0</v>
      </c>
      <c r="K62" t="s">
        <v>47</v>
      </c>
    </row>
    <row r="63" spans="1:16">
      <c r="A63">
        <v>83</v>
      </c>
      <c r="B63" t="s">
        <v>39</v>
      </c>
      <c r="C63">
        <v>6</v>
      </c>
      <c r="D63">
        <v>3000</v>
      </c>
      <c r="E63">
        <v>1</v>
      </c>
      <c r="F63" t="s">
        <v>12</v>
      </c>
      <c r="G63">
        <v>0</v>
      </c>
      <c r="H63">
        <v>0</v>
      </c>
      <c r="K63" t="s">
        <v>523</v>
      </c>
    </row>
    <row r="64" spans="1:16">
      <c r="A64">
        <v>84</v>
      </c>
      <c r="B64" t="s">
        <v>39</v>
      </c>
      <c r="C64">
        <v>7</v>
      </c>
      <c r="D64">
        <v>3000</v>
      </c>
      <c r="E64">
        <v>1</v>
      </c>
      <c r="F64" t="s">
        <v>12</v>
      </c>
      <c r="G64">
        <v>0</v>
      </c>
      <c r="H64">
        <v>0</v>
      </c>
      <c r="K64" t="s">
        <v>523</v>
      </c>
    </row>
    <row r="65" spans="1:11">
      <c r="A65">
        <v>85</v>
      </c>
      <c r="B65" t="s">
        <v>38</v>
      </c>
      <c r="C65">
        <v>5</v>
      </c>
      <c r="D65">
        <v>3000</v>
      </c>
      <c r="E65">
        <v>1</v>
      </c>
      <c r="F65" t="s">
        <v>12</v>
      </c>
      <c r="G65">
        <v>0</v>
      </c>
      <c r="H65">
        <v>0</v>
      </c>
      <c r="K65" t="s">
        <v>523</v>
      </c>
    </row>
    <row r="66" spans="1:11">
      <c r="A66">
        <v>86</v>
      </c>
      <c r="B66" t="s">
        <v>38</v>
      </c>
      <c r="C66">
        <v>6</v>
      </c>
      <c r="D66">
        <v>3000</v>
      </c>
      <c r="E66">
        <v>1</v>
      </c>
      <c r="F66" t="s">
        <v>12</v>
      </c>
      <c r="G66">
        <v>0</v>
      </c>
      <c r="H66">
        <v>0</v>
      </c>
      <c r="K66" t="s">
        <v>523</v>
      </c>
    </row>
    <row r="67" spans="1:11">
      <c r="A67">
        <v>87</v>
      </c>
      <c r="B67" t="s">
        <v>39</v>
      </c>
      <c r="C67">
        <v>4</v>
      </c>
      <c r="D67">
        <v>1500</v>
      </c>
      <c r="E67">
        <v>1</v>
      </c>
      <c r="F67" t="s">
        <v>12</v>
      </c>
      <c r="G67">
        <v>0</v>
      </c>
      <c r="H67">
        <v>0</v>
      </c>
      <c r="K67" t="s">
        <v>523</v>
      </c>
    </row>
    <row r="68" spans="1:11">
      <c r="A68">
        <v>88</v>
      </c>
      <c r="B68" t="s">
        <v>86</v>
      </c>
      <c r="C68">
        <v>0</v>
      </c>
      <c r="D68">
        <v>10</v>
      </c>
      <c r="E68">
        <v>1</v>
      </c>
      <c r="F68" t="s">
        <v>12</v>
      </c>
      <c r="G68">
        <v>0</v>
      </c>
      <c r="H68">
        <v>0.9</v>
      </c>
    </row>
  </sheetData>
  <autoFilter ref="A1:I67" xr:uid="{BAFC4957-C263-4562-A44D-8879B8EAAB8F}">
    <sortState xmlns:xlrd2="http://schemas.microsoft.com/office/spreadsheetml/2017/richdata2" ref="A2:I60">
      <sortCondition ref="A1:A60"/>
    </sortState>
  </autoFilter>
  <mergeCells count="1">
    <mergeCell ref="N17:N2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87D7E-8EA8-41FA-80A1-AD42ABF26600}">
  <dimension ref="A1:F14"/>
  <sheetViews>
    <sheetView workbookViewId="0">
      <selection activeCell="F37" sqref="F37"/>
    </sheetView>
  </sheetViews>
  <sheetFormatPr defaultRowHeight="15"/>
  <cols>
    <col min="1" max="1" width="43.42578125" customWidth="1"/>
    <col min="2" max="2" width="14.85546875" customWidth="1"/>
  </cols>
  <sheetData>
    <row r="1" spans="1:6">
      <c r="B1">
        <v>2020</v>
      </c>
      <c r="C1">
        <v>2030</v>
      </c>
      <c r="F1" t="s">
        <v>48</v>
      </c>
    </row>
    <row r="2" spans="1:6">
      <c r="A2" s="32" t="s">
        <v>49</v>
      </c>
      <c r="B2">
        <v>4236.9939999999997</v>
      </c>
      <c r="C2" s="33">
        <v>7432</v>
      </c>
      <c r="D2">
        <f>C2-B2</f>
        <v>3195.0060000000003</v>
      </c>
    </row>
    <row r="3" spans="1:6">
      <c r="A3" s="32" t="s">
        <v>50</v>
      </c>
      <c r="B3">
        <v>962.69</v>
      </c>
      <c r="C3" s="33">
        <v>21000</v>
      </c>
      <c r="D3">
        <f t="shared" ref="D3:D13" si="0">C3-B3</f>
        <v>20037.310000000001</v>
      </c>
    </row>
    <row r="4" spans="1:6">
      <c r="A4" s="32" t="s">
        <v>51</v>
      </c>
      <c r="B4">
        <v>6789.9099999999989</v>
      </c>
      <c r="C4" s="33">
        <v>25757</v>
      </c>
      <c r="D4">
        <f t="shared" si="0"/>
        <v>18967.09</v>
      </c>
    </row>
    <row r="5" spans="1:6">
      <c r="A5" s="32" t="s">
        <v>52</v>
      </c>
      <c r="B5">
        <f xml:space="preserve"> 16087 + 1103</f>
        <v>17190</v>
      </c>
      <c r="C5" s="33">
        <v>16180</v>
      </c>
      <c r="D5">
        <f t="shared" si="0"/>
        <v>-1010</v>
      </c>
    </row>
    <row r="6" spans="1:6">
      <c r="A6" s="32" t="s">
        <v>29</v>
      </c>
      <c r="B6">
        <v>484</v>
      </c>
      <c r="C6" s="33">
        <v>484</v>
      </c>
      <c r="D6">
        <f t="shared" si="0"/>
        <v>0</v>
      </c>
    </row>
    <row r="7" spans="1:6">
      <c r="A7" s="32" t="s">
        <v>53</v>
      </c>
      <c r="C7" s="33">
        <v>0</v>
      </c>
      <c r="D7">
        <f t="shared" si="0"/>
        <v>0</v>
      </c>
    </row>
    <row r="8" spans="1:6">
      <c r="A8" s="32" t="s">
        <v>54</v>
      </c>
      <c r="C8" s="33">
        <v>10430</v>
      </c>
      <c r="D8">
        <f t="shared" si="0"/>
        <v>10430</v>
      </c>
    </row>
    <row r="9" spans="1:6">
      <c r="A9" s="32" t="s">
        <v>55</v>
      </c>
      <c r="C9" s="33">
        <v>0</v>
      </c>
      <c r="D9">
        <f t="shared" si="0"/>
        <v>0</v>
      </c>
    </row>
    <row r="10" spans="1:6">
      <c r="A10" s="32" t="s">
        <v>56</v>
      </c>
      <c r="B10">
        <v>632.76800000000003</v>
      </c>
      <c r="C10" s="33">
        <v>1580</v>
      </c>
      <c r="D10">
        <f t="shared" si="0"/>
        <v>947.23199999999997</v>
      </c>
    </row>
    <row r="11" spans="1:6">
      <c r="A11" s="32" t="s">
        <v>57</v>
      </c>
      <c r="B11">
        <v>40.207000000000001</v>
      </c>
      <c r="C11" s="33">
        <v>42</v>
      </c>
      <c r="D11">
        <f t="shared" si="0"/>
        <v>1.7929999999999993</v>
      </c>
    </row>
    <row r="12" spans="1:6">
      <c r="A12" s="32" t="s">
        <v>58</v>
      </c>
      <c r="C12" s="33">
        <v>0</v>
      </c>
      <c r="D12">
        <f t="shared" si="0"/>
        <v>0</v>
      </c>
    </row>
    <row r="13" spans="1:6">
      <c r="A13" s="32" t="s">
        <v>59</v>
      </c>
      <c r="B13">
        <v>4060</v>
      </c>
      <c r="C13" s="33">
        <v>4147</v>
      </c>
      <c r="D13">
        <f t="shared" si="0"/>
        <v>87</v>
      </c>
    </row>
    <row r="14" spans="1:6">
      <c r="B14">
        <f>SUM(B2:B13)</f>
        <v>34396.568999999996</v>
      </c>
      <c r="C14">
        <f>SUM(C2:C13)</f>
        <v>87052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4089A-EE04-4A8F-A9CF-12445972E5C2}">
  <sheetPr filterMode="1">
    <tabColor rgb="FFFFC000"/>
  </sheetPr>
  <dimension ref="A1:V190"/>
  <sheetViews>
    <sheetView zoomScale="85" zoomScaleNormal="85" workbookViewId="0">
      <selection activeCell="N69" sqref="N69"/>
    </sheetView>
  </sheetViews>
  <sheetFormatPr defaultRowHeight="15"/>
  <cols>
    <col min="1" max="1" width="8.7109375" style="18"/>
    <col min="2" max="2" width="30.28515625" customWidth="1"/>
    <col min="8" max="8" width="14.28515625" customWidth="1"/>
    <col min="10" max="10" width="17.7109375" customWidth="1"/>
    <col min="14" max="14" width="31.5703125" bestFit="1" customWidth="1"/>
    <col min="15" max="15" width="15.140625" bestFit="1" customWidth="1"/>
    <col min="16" max="16" width="11" bestFit="1" customWidth="1"/>
    <col min="18" max="18" width="31.5703125" bestFit="1" customWidth="1"/>
    <col min="19" max="19" width="15.140625" bestFit="1" customWidth="1"/>
    <col min="21" max="21" width="31.5703125" bestFit="1" customWidth="1"/>
    <col min="22" max="22" width="15.140625" bestFit="1" customWidth="1"/>
  </cols>
  <sheetData>
    <row r="1" spans="1:22">
      <c r="A1" s="18" t="s">
        <v>60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t="s">
        <v>19</v>
      </c>
      <c r="O1" t="s">
        <v>61</v>
      </c>
    </row>
    <row r="2" spans="1:22" hidden="1">
      <c r="A2" s="18">
        <v>128</v>
      </c>
      <c r="B2" s="18" t="s">
        <v>23</v>
      </c>
      <c r="C2" s="18">
        <v>25</v>
      </c>
      <c r="D2" s="18">
        <v>630</v>
      </c>
      <c r="E2" s="18">
        <v>0.41</v>
      </c>
      <c r="F2" s="18">
        <v>0.9</v>
      </c>
      <c r="G2" s="18" t="s">
        <v>12</v>
      </c>
      <c r="H2" s="18" t="s">
        <v>13</v>
      </c>
      <c r="I2" s="18">
        <v>0</v>
      </c>
      <c r="J2" s="18">
        <v>0</v>
      </c>
      <c r="K2">
        <v>2020</v>
      </c>
      <c r="O2" t="s">
        <v>62</v>
      </c>
    </row>
    <row r="3" spans="1:22" hidden="1">
      <c r="A3" s="18">
        <v>47</v>
      </c>
      <c r="B3" s="18" t="s">
        <v>27</v>
      </c>
      <c r="C3" s="18">
        <v>16</v>
      </c>
      <c r="D3" s="18">
        <v>78</v>
      </c>
      <c r="E3" s="18">
        <v>0.1</v>
      </c>
      <c r="F3" s="18">
        <v>0.9</v>
      </c>
      <c r="G3" s="18" t="s">
        <v>12</v>
      </c>
      <c r="H3" s="18" t="s">
        <v>13</v>
      </c>
      <c r="I3" s="18">
        <v>0</v>
      </c>
      <c r="J3" s="18">
        <v>0</v>
      </c>
      <c r="K3">
        <v>2020</v>
      </c>
      <c r="O3" t="s">
        <v>63</v>
      </c>
    </row>
    <row r="4" spans="1:22" hidden="1">
      <c r="A4" s="18">
        <v>68</v>
      </c>
      <c r="B4" s="18" t="s">
        <v>27</v>
      </c>
      <c r="C4" s="18">
        <v>58</v>
      </c>
      <c r="D4" s="18">
        <v>3.04</v>
      </c>
      <c r="E4" s="18">
        <v>0.3</v>
      </c>
      <c r="F4" s="18">
        <v>0.9</v>
      </c>
      <c r="G4" s="18" t="s">
        <v>12</v>
      </c>
      <c r="H4" s="18" t="s">
        <v>13</v>
      </c>
      <c r="I4" s="18">
        <v>0</v>
      </c>
      <c r="J4" s="18">
        <v>0</v>
      </c>
      <c r="K4">
        <v>2025</v>
      </c>
    </row>
    <row r="5" spans="1:22" hidden="1">
      <c r="A5" s="18">
        <v>67</v>
      </c>
      <c r="B5" s="18" t="s">
        <v>27</v>
      </c>
      <c r="C5" s="18">
        <v>54</v>
      </c>
      <c r="D5" s="18">
        <v>5</v>
      </c>
      <c r="E5" s="18">
        <v>0.3</v>
      </c>
      <c r="F5" s="18">
        <v>0.9</v>
      </c>
      <c r="G5" s="18" t="s">
        <v>12</v>
      </c>
      <c r="H5" s="18" t="s">
        <v>13</v>
      </c>
      <c r="I5" s="18">
        <v>0</v>
      </c>
      <c r="J5" s="18">
        <v>0</v>
      </c>
      <c r="K5">
        <v>2025</v>
      </c>
      <c r="R5" t="s">
        <v>64</v>
      </c>
      <c r="U5" t="s">
        <v>65</v>
      </c>
    </row>
    <row r="6" spans="1:22" hidden="1">
      <c r="A6" s="18">
        <v>66</v>
      </c>
      <c r="B6" s="18" t="s">
        <v>27</v>
      </c>
      <c r="C6" s="18">
        <v>44</v>
      </c>
      <c r="D6" s="18">
        <v>10.5</v>
      </c>
      <c r="E6" s="18">
        <v>0.3</v>
      </c>
      <c r="F6" s="18">
        <v>0.9</v>
      </c>
      <c r="G6" s="18" t="s">
        <v>12</v>
      </c>
      <c r="H6" s="18" t="s">
        <v>13</v>
      </c>
      <c r="I6" s="18">
        <v>0</v>
      </c>
      <c r="J6" s="18">
        <v>0</v>
      </c>
      <c r="K6">
        <v>2025</v>
      </c>
      <c r="N6" s="2" t="s">
        <v>2</v>
      </c>
      <c r="O6" t="s">
        <v>66</v>
      </c>
      <c r="R6" s="2" t="s">
        <v>20</v>
      </c>
      <c r="S6" t="s">
        <v>21</v>
      </c>
      <c r="U6" s="2" t="s">
        <v>20</v>
      </c>
      <c r="V6" t="s">
        <v>21</v>
      </c>
    </row>
    <row r="7" spans="1:22" hidden="1">
      <c r="A7" s="18">
        <v>63</v>
      </c>
      <c r="B7" s="18" t="s">
        <v>27</v>
      </c>
      <c r="C7" s="18">
        <v>39</v>
      </c>
      <c r="D7" s="18">
        <v>27</v>
      </c>
      <c r="E7" s="18">
        <v>0.11</v>
      </c>
      <c r="F7" s="18">
        <v>0.7</v>
      </c>
      <c r="G7" s="18" t="s">
        <v>12</v>
      </c>
      <c r="H7" s="18" t="s">
        <v>13</v>
      </c>
      <c r="I7" s="18">
        <v>0</v>
      </c>
      <c r="J7" s="18">
        <v>0</v>
      </c>
      <c r="K7">
        <v>2025</v>
      </c>
      <c r="R7" s="3" t="s">
        <v>22</v>
      </c>
      <c r="S7">
        <v>631</v>
      </c>
      <c r="U7" s="3" t="s">
        <v>22</v>
      </c>
      <c r="V7">
        <v>631</v>
      </c>
    </row>
    <row r="8" spans="1:22" hidden="1">
      <c r="A8" s="18">
        <v>64</v>
      </c>
      <c r="B8" s="18" t="s">
        <v>27</v>
      </c>
      <c r="C8" s="18">
        <v>34</v>
      </c>
      <c r="D8" s="18">
        <v>27</v>
      </c>
      <c r="E8" s="18">
        <v>0.3</v>
      </c>
      <c r="F8" s="18">
        <v>0.9</v>
      </c>
      <c r="G8" s="18" t="s">
        <v>12</v>
      </c>
      <c r="H8" s="18" t="s">
        <v>13</v>
      </c>
      <c r="I8" s="18">
        <v>0</v>
      </c>
      <c r="J8" s="18">
        <v>0</v>
      </c>
      <c r="K8">
        <v>2025</v>
      </c>
      <c r="N8" s="2" t="s">
        <v>20</v>
      </c>
      <c r="O8" t="s">
        <v>21</v>
      </c>
      <c r="R8" s="3" t="s">
        <v>26</v>
      </c>
      <c r="S8">
        <v>8703</v>
      </c>
      <c r="U8" s="3" t="s">
        <v>26</v>
      </c>
      <c r="V8">
        <v>7586</v>
      </c>
    </row>
    <row r="9" spans="1:22" hidden="1">
      <c r="A9" s="18">
        <v>59</v>
      </c>
      <c r="B9" s="18" t="s">
        <v>27</v>
      </c>
      <c r="C9" s="18">
        <v>27</v>
      </c>
      <c r="D9" s="18">
        <v>45</v>
      </c>
      <c r="E9" s="18">
        <v>0.33</v>
      </c>
      <c r="F9" s="18">
        <v>0.9</v>
      </c>
      <c r="G9" s="18" t="s">
        <v>12</v>
      </c>
      <c r="H9" s="18" t="s">
        <v>13</v>
      </c>
      <c r="I9" s="18">
        <v>0</v>
      </c>
      <c r="J9" s="18">
        <v>0</v>
      </c>
      <c r="K9">
        <v>2025</v>
      </c>
      <c r="N9" s="3" t="s">
        <v>22</v>
      </c>
      <c r="O9">
        <v>631</v>
      </c>
      <c r="R9" s="3" t="s">
        <v>27</v>
      </c>
      <c r="S9">
        <v>8505.0030100000022</v>
      </c>
      <c r="U9" s="3" t="s">
        <v>27</v>
      </c>
      <c r="V9">
        <v>8505.0030100000022</v>
      </c>
    </row>
    <row r="10" spans="1:22" hidden="1">
      <c r="A10" s="18">
        <v>60</v>
      </c>
      <c r="B10" s="18" t="s">
        <v>27</v>
      </c>
      <c r="C10" s="18">
        <v>26</v>
      </c>
      <c r="D10" s="18">
        <v>40</v>
      </c>
      <c r="E10" s="18">
        <v>0.30277680000000001</v>
      </c>
      <c r="F10" s="18">
        <v>0.9</v>
      </c>
      <c r="G10" s="18" t="s">
        <v>12</v>
      </c>
      <c r="H10" s="18" t="s">
        <v>13</v>
      </c>
      <c r="I10" s="18">
        <v>0</v>
      </c>
      <c r="J10" s="18">
        <v>0</v>
      </c>
      <c r="K10">
        <v>2025</v>
      </c>
      <c r="N10" s="3" t="s">
        <v>25</v>
      </c>
      <c r="O10">
        <v>1.488</v>
      </c>
      <c r="R10" s="3" t="s">
        <v>23</v>
      </c>
      <c r="S10">
        <v>4060</v>
      </c>
      <c r="U10" s="3" t="s">
        <v>23</v>
      </c>
      <c r="V10">
        <v>4060</v>
      </c>
    </row>
    <row r="11" spans="1:22" hidden="1">
      <c r="A11" s="18">
        <v>58</v>
      </c>
      <c r="B11" s="18" t="s">
        <v>27</v>
      </c>
      <c r="C11" s="18">
        <v>25</v>
      </c>
      <c r="D11" s="18">
        <v>48.4</v>
      </c>
      <c r="E11" s="18">
        <v>0.39</v>
      </c>
      <c r="F11" s="18">
        <v>0.9</v>
      </c>
      <c r="G11" s="18" t="s">
        <v>12</v>
      </c>
      <c r="H11" s="18" t="s">
        <v>13</v>
      </c>
      <c r="I11" s="18">
        <v>0</v>
      </c>
      <c r="J11" s="18">
        <v>0</v>
      </c>
      <c r="K11">
        <v>2025</v>
      </c>
      <c r="N11" s="3" t="s">
        <v>26</v>
      </c>
      <c r="O11">
        <v>12304.164953660949</v>
      </c>
      <c r="R11" s="3" t="s">
        <v>28</v>
      </c>
      <c r="S11">
        <v>41.279000000000003</v>
      </c>
      <c r="U11" s="3" t="s">
        <v>28</v>
      </c>
      <c r="V11">
        <v>41.279000000000003</v>
      </c>
    </row>
    <row r="12" spans="1:22" hidden="1">
      <c r="A12" s="18">
        <v>49</v>
      </c>
      <c r="B12" s="18" t="s">
        <v>27</v>
      </c>
      <c r="C12" s="18">
        <v>24</v>
      </c>
      <c r="D12" s="18">
        <v>150</v>
      </c>
      <c r="E12" s="18">
        <v>0.4</v>
      </c>
      <c r="F12" s="18">
        <v>0.9</v>
      </c>
      <c r="G12" s="18" t="s">
        <v>12</v>
      </c>
      <c r="H12" s="18" t="s">
        <v>13</v>
      </c>
      <c r="I12" s="18">
        <v>0</v>
      </c>
      <c r="J12" s="18">
        <v>0</v>
      </c>
      <c r="K12">
        <v>2025</v>
      </c>
      <c r="N12" s="3" t="s">
        <v>27</v>
      </c>
      <c r="O12">
        <v>8505.003010000004</v>
      </c>
      <c r="R12" s="3" t="s">
        <v>29</v>
      </c>
      <c r="S12">
        <v>484</v>
      </c>
      <c r="U12" s="3" t="s">
        <v>29</v>
      </c>
      <c r="V12">
        <v>484</v>
      </c>
    </row>
    <row r="13" spans="1:22" hidden="1">
      <c r="A13" s="18">
        <v>54</v>
      </c>
      <c r="B13" s="18" t="s">
        <v>27</v>
      </c>
      <c r="C13" s="18">
        <v>23</v>
      </c>
      <c r="D13" s="18">
        <v>80</v>
      </c>
      <c r="E13" s="18">
        <v>0.4</v>
      </c>
      <c r="F13" s="18">
        <v>0.9</v>
      </c>
      <c r="G13" s="18" t="s">
        <v>12</v>
      </c>
      <c r="H13" s="18" t="s">
        <v>13</v>
      </c>
      <c r="I13" s="18">
        <v>0</v>
      </c>
      <c r="J13" s="18">
        <v>0</v>
      </c>
      <c r="K13">
        <v>2025</v>
      </c>
      <c r="N13" s="3" t="s">
        <v>23</v>
      </c>
      <c r="O13">
        <v>4060</v>
      </c>
      <c r="R13" s="3" t="s">
        <v>11</v>
      </c>
      <c r="S13">
        <v>1103</v>
      </c>
      <c r="U13" s="3" t="s">
        <v>11</v>
      </c>
      <c r="V13">
        <v>1103</v>
      </c>
    </row>
    <row r="14" spans="1:22" hidden="1">
      <c r="A14" s="18">
        <v>57</v>
      </c>
      <c r="B14" s="18" t="s">
        <v>27</v>
      </c>
      <c r="C14" s="18">
        <v>22</v>
      </c>
      <c r="D14" s="18">
        <v>52.634</v>
      </c>
      <c r="E14" s="18">
        <v>0.4</v>
      </c>
      <c r="F14" s="18">
        <v>0.9</v>
      </c>
      <c r="G14" s="18" t="s">
        <v>12</v>
      </c>
      <c r="H14" s="18" t="s">
        <v>13</v>
      </c>
      <c r="I14" s="18">
        <v>0</v>
      </c>
      <c r="J14" s="18">
        <v>0</v>
      </c>
      <c r="K14">
        <v>2025</v>
      </c>
      <c r="N14" s="3" t="s">
        <v>28</v>
      </c>
      <c r="O14">
        <v>41.279000000000003</v>
      </c>
      <c r="R14" s="3" t="s">
        <v>30</v>
      </c>
      <c r="S14">
        <v>9884.9939999999988</v>
      </c>
      <c r="U14" s="3" t="s">
        <v>30</v>
      </c>
      <c r="V14">
        <v>6789.91</v>
      </c>
    </row>
    <row r="15" spans="1:22" hidden="1">
      <c r="A15" s="18">
        <v>55</v>
      </c>
      <c r="B15" s="18" t="s">
        <v>27</v>
      </c>
      <c r="C15" s="18">
        <v>21</v>
      </c>
      <c r="D15" s="18">
        <v>79.2</v>
      </c>
      <c r="E15" s="18">
        <v>0.4</v>
      </c>
      <c r="F15" s="18">
        <v>0.9</v>
      </c>
      <c r="G15" s="18" t="s">
        <v>12</v>
      </c>
      <c r="H15" s="18" t="s">
        <v>13</v>
      </c>
      <c r="I15" s="18">
        <v>0</v>
      </c>
      <c r="J15" s="18">
        <v>0</v>
      </c>
      <c r="K15">
        <v>2025</v>
      </c>
      <c r="N15" s="3" t="s">
        <v>29</v>
      </c>
      <c r="O15">
        <v>484</v>
      </c>
      <c r="R15" s="3" t="s">
        <v>14</v>
      </c>
      <c r="S15">
        <v>2248.107</v>
      </c>
      <c r="U15" s="3" t="s">
        <v>14</v>
      </c>
      <c r="V15">
        <v>962.67899999999997</v>
      </c>
    </row>
    <row r="16" spans="1:22" hidden="1">
      <c r="A16" s="18">
        <v>56</v>
      </c>
      <c r="B16" s="18" t="s">
        <v>27</v>
      </c>
      <c r="C16" s="18">
        <v>20</v>
      </c>
      <c r="D16" s="18">
        <v>62.167000000000002</v>
      </c>
      <c r="E16" s="18">
        <v>0.4</v>
      </c>
      <c r="F16" s="18">
        <v>0.9</v>
      </c>
      <c r="G16" s="18" t="s">
        <v>12</v>
      </c>
      <c r="H16" s="18" t="s">
        <v>13</v>
      </c>
      <c r="I16" s="18">
        <v>0</v>
      </c>
      <c r="J16" s="18">
        <v>0</v>
      </c>
      <c r="K16">
        <v>2025</v>
      </c>
      <c r="N16" s="3" t="s">
        <v>11</v>
      </c>
      <c r="O16">
        <v>3328.24</v>
      </c>
      <c r="R16" s="3" t="s">
        <v>31</v>
      </c>
      <c r="S16">
        <v>4153.0559999999996</v>
      </c>
      <c r="U16" s="3" t="s">
        <v>31</v>
      </c>
      <c r="V16">
        <v>3634.114</v>
      </c>
    </row>
    <row r="17" spans="1:22" hidden="1">
      <c r="A17" s="18">
        <v>61</v>
      </c>
      <c r="B17" s="18" t="s">
        <v>27</v>
      </c>
      <c r="C17" s="18">
        <v>19</v>
      </c>
      <c r="D17" s="18">
        <v>38.6</v>
      </c>
      <c r="E17" s="18">
        <v>0.41</v>
      </c>
      <c r="F17" s="18">
        <v>0.9</v>
      </c>
      <c r="G17" s="18" t="s">
        <v>12</v>
      </c>
      <c r="H17" s="18" t="s">
        <v>13</v>
      </c>
      <c r="I17" s="18">
        <v>0</v>
      </c>
      <c r="J17" s="18">
        <v>0</v>
      </c>
      <c r="K17">
        <v>2025</v>
      </c>
      <c r="N17" s="3" t="s">
        <v>30</v>
      </c>
      <c r="O17">
        <v>42578.866999999998</v>
      </c>
      <c r="R17" s="3" t="s">
        <v>32</v>
      </c>
      <c r="S17">
        <v>39813.439010000002</v>
      </c>
      <c r="U17" s="3" t="s">
        <v>32</v>
      </c>
      <c r="V17">
        <v>33796.985009999997</v>
      </c>
    </row>
    <row r="18" spans="1:22" hidden="1">
      <c r="A18" s="18">
        <v>65</v>
      </c>
      <c r="B18" s="18" t="s">
        <v>27</v>
      </c>
      <c r="C18" s="18">
        <v>18</v>
      </c>
      <c r="D18" s="18">
        <v>25.366</v>
      </c>
      <c r="E18" s="18">
        <v>0.41</v>
      </c>
      <c r="F18" s="18">
        <v>0.9</v>
      </c>
      <c r="G18" s="18" t="s">
        <v>12</v>
      </c>
      <c r="H18" s="18" t="s">
        <v>13</v>
      </c>
      <c r="I18" s="18">
        <v>0</v>
      </c>
      <c r="J18" s="18">
        <v>0</v>
      </c>
      <c r="K18">
        <v>2025</v>
      </c>
      <c r="N18" s="3" t="s">
        <v>14</v>
      </c>
      <c r="O18">
        <v>22147.101000000002</v>
      </c>
    </row>
    <row r="19" spans="1:22" hidden="1">
      <c r="A19" s="18">
        <v>62</v>
      </c>
      <c r="B19" s="18" t="s">
        <v>27</v>
      </c>
      <c r="C19" s="18">
        <v>17</v>
      </c>
      <c r="D19" s="18">
        <v>34</v>
      </c>
      <c r="E19" s="18">
        <v>0.41</v>
      </c>
      <c r="F19" s="18">
        <v>0.9</v>
      </c>
      <c r="G19" s="18" t="s">
        <v>12</v>
      </c>
      <c r="H19" s="18" t="s">
        <v>13</v>
      </c>
      <c r="I19" s="18">
        <v>0</v>
      </c>
      <c r="J19" s="18">
        <v>0</v>
      </c>
      <c r="K19">
        <v>2025</v>
      </c>
      <c r="N19" s="3" t="s">
        <v>31</v>
      </c>
      <c r="O19">
        <v>7173.9139999999998</v>
      </c>
    </row>
    <row r="20" spans="1:22" hidden="1">
      <c r="A20" s="18">
        <v>53</v>
      </c>
      <c r="B20" s="18" t="s">
        <v>27</v>
      </c>
      <c r="C20" s="18">
        <v>16</v>
      </c>
      <c r="D20" s="18">
        <v>82</v>
      </c>
      <c r="E20" s="18">
        <v>0.41</v>
      </c>
      <c r="F20" s="18">
        <v>0.9</v>
      </c>
      <c r="G20" s="18" t="s">
        <v>12</v>
      </c>
      <c r="H20" s="18" t="s">
        <v>13</v>
      </c>
      <c r="I20" s="18">
        <v>0</v>
      </c>
      <c r="J20" s="18">
        <v>0</v>
      </c>
      <c r="K20">
        <v>2025</v>
      </c>
      <c r="N20" s="3" t="s">
        <v>67</v>
      </c>
    </row>
    <row r="21" spans="1:22" hidden="1">
      <c r="A21" s="18">
        <v>51</v>
      </c>
      <c r="B21" s="18" t="s">
        <v>27</v>
      </c>
      <c r="C21" s="18">
        <v>15</v>
      </c>
      <c r="D21" s="18">
        <v>121.033</v>
      </c>
      <c r="E21" s="18">
        <v>0.41</v>
      </c>
      <c r="F21" s="18">
        <v>0.9</v>
      </c>
      <c r="G21" s="18" t="s">
        <v>12</v>
      </c>
      <c r="H21" s="18" t="s">
        <v>13</v>
      </c>
      <c r="I21" s="18">
        <v>0</v>
      </c>
      <c r="J21" s="18">
        <v>0</v>
      </c>
      <c r="K21">
        <v>2025</v>
      </c>
      <c r="N21" s="3" t="s">
        <v>32</v>
      </c>
      <c r="O21">
        <v>101255.05696366094</v>
      </c>
    </row>
    <row r="22" spans="1:22" hidden="1">
      <c r="A22" s="18">
        <v>48</v>
      </c>
      <c r="B22" s="18" t="s">
        <v>27</v>
      </c>
      <c r="C22" s="18">
        <v>14</v>
      </c>
      <c r="D22" s="18">
        <v>641</v>
      </c>
      <c r="E22" s="18">
        <v>0.41</v>
      </c>
      <c r="F22" s="18">
        <v>0.9</v>
      </c>
      <c r="G22" s="18" t="s">
        <v>12</v>
      </c>
      <c r="H22" s="18" t="s">
        <v>13</v>
      </c>
      <c r="I22" s="18">
        <v>0</v>
      </c>
      <c r="J22" s="18">
        <v>0</v>
      </c>
      <c r="K22">
        <v>2025</v>
      </c>
    </row>
    <row r="23" spans="1:22" hidden="1">
      <c r="A23" s="18">
        <v>50</v>
      </c>
      <c r="B23" s="18" t="s">
        <v>27</v>
      </c>
      <c r="C23" s="18">
        <v>11</v>
      </c>
      <c r="D23" s="18">
        <v>132.63999999999999</v>
      </c>
      <c r="E23" s="18">
        <v>0.41</v>
      </c>
      <c r="F23" s="18">
        <v>0.9</v>
      </c>
      <c r="G23" s="18" t="s">
        <v>12</v>
      </c>
      <c r="H23" s="18" t="s">
        <v>13</v>
      </c>
      <c r="I23" s="18">
        <v>0</v>
      </c>
      <c r="J23" s="18">
        <v>0</v>
      </c>
      <c r="K23">
        <v>2025</v>
      </c>
    </row>
    <row r="24" spans="1:22" hidden="1">
      <c r="A24" s="18">
        <v>52</v>
      </c>
      <c r="B24" s="18" t="s">
        <v>27</v>
      </c>
      <c r="C24" s="18">
        <v>10</v>
      </c>
      <c r="D24" s="18">
        <v>115</v>
      </c>
      <c r="E24" s="18">
        <v>0.41</v>
      </c>
      <c r="F24" s="18">
        <v>0.9</v>
      </c>
      <c r="G24" s="18" t="s">
        <v>12</v>
      </c>
      <c r="H24" s="18" t="s">
        <v>13</v>
      </c>
      <c r="I24" s="18">
        <v>0</v>
      </c>
      <c r="J24" s="18">
        <v>0</v>
      </c>
      <c r="K24">
        <v>2025</v>
      </c>
    </row>
    <row r="25" spans="1:22" hidden="1">
      <c r="A25" s="18">
        <v>135</v>
      </c>
      <c r="B25" s="18" t="s">
        <v>11</v>
      </c>
      <c r="C25" s="18">
        <v>46</v>
      </c>
      <c r="D25" s="18">
        <v>324</v>
      </c>
      <c r="E25" s="18">
        <v>0.36299999999999999</v>
      </c>
      <c r="F25" s="18">
        <v>0.9</v>
      </c>
      <c r="G25" s="18" t="s">
        <v>12</v>
      </c>
      <c r="H25" s="18" t="s">
        <v>13</v>
      </c>
      <c r="I25" s="18">
        <v>0</v>
      </c>
      <c r="J25" s="18">
        <v>0</v>
      </c>
      <c r="K25">
        <v>2027</v>
      </c>
    </row>
    <row r="26" spans="1:22" hidden="1">
      <c r="A26" s="18">
        <v>136</v>
      </c>
      <c r="B26" s="18" t="s">
        <v>11</v>
      </c>
      <c r="C26" s="18">
        <v>46</v>
      </c>
      <c r="D26" s="18">
        <v>136</v>
      </c>
      <c r="E26" s="18">
        <v>0.36299999999999999</v>
      </c>
      <c r="F26" s="18">
        <v>0.9</v>
      </c>
      <c r="G26" s="18" t="s">
        <v>12</v>
      </c>
      <c r="H26" s="18" t="s">
        <v>13</v>
      </c>
      <c r="I26" s="18">
        <v>0</v>
      </c>
      <c r="J26" s="18">
        <v>0</v>
      </c>
      <c r="K26">
        <v>2027</v>
      </c>
    </row>
    <row r="27" spans="1:22" hidden="1">
      <c r="A27" s="18">
        <v>20</v>
      </c>
      <c r="B27" s="18" t="s">
        <v>22</v>
      </c>
      <c r="C27" s="18">
        <v>26</v>
      </c>
      <c r="D27" s="18">
        <v>631</v>
      </c>
      <c r="E27" s="18">
        <v>0.42</v>
      </c>
      <c r="F27" s="18">
        <v>0.8</v>
      </c>
      <c r="G27" s="18" t="s">
        <v>12</v>
      </c>
      <c r="H27" s="18" t="s">
        <v>13</v>
      </c>
      <c r="I27" s="18">
        <v>0</v>
      </c>
      <c r="J27" s="18">
        <v>0</v>
      </c>
      <c r="K27">
        <v>2027</v>
      </c>
    </row>
    <row r="28" spans="1:22" hidden="1">
      <c r="A28" s="18">
        <v>171</v>
      </c>
      <c r="B28" s="18" t="s">
        <v>14</v>
      </c>
      <c r="C28" s="18">
        <v>14</v>
      </c>
      <c r="D28" s="18">
        <v>24.495000000000001</v>
      </c>
      <c r="E28" s="18">
        <v>1</v>
      </c>
      <c r="F28" s="18">
        <v>1</v>
      </c>
      <c r="G28" s="18" t="s">
        <v>12</v>
      </c>
      <c r="H28" s="18" t="s">
        <v>13</v>
      </c>
      <c r="I28" s="18">
        <v>0</v>
      </c>
      <c r="J28" s="18">
        <v>0</v>
      </c>
      <c r="K28">
        <v>2027</v>
      </c>
    </row>
    <row r="29" spans="1:22" hidden="1">
      <c r="A29" s="18">
        <v>172</v>
      </c>
      <c r="B29" s="18" t="s">
        <v>14</v>
      </c>
      <c r="C29" s="18">
        <v>13</v>
      </c>
      <c r="D29" s="18">
        <v>57.546999999999997</v>
      </c>
      <c r="E29" s="18">
        <v>1</v>
      </c>
      <c r="F29" s="18">
        <v>1</v>
      </c>
      <c r="G29" s="18" t="s">
        <v>12</v>
      </c>
      <c r="H29" s="18" t="s">
        <v>13</v>
      </c>
      <c r="I29" s="18">
        <v>0</v>
      </c>
      <c r="J29" s="18">
        <v>0</v>
      </c>
      <c r="K29">
        <v>2028</v>
      </c>
    </row>
    <row r="30" spans="1:22" hidden="1">
      <c r="A30" s="18">
        <v>173</v>
      </c>
      <c r="B30" s="18" t="s">
        <v>14</v>
      </c>
      <c r="C30" s="18">
        <v>12</v>
      </c>
      <c r="D30" s="18">
        <v>144.99700000000001</v>
      </c>
      <c r="E30" s="18">
        <v>1</v>
      </c>
      <c r="F30" s="18">
        <v>1</v>
      </c>
      <c r="G30" s="18" t="s">
        <v>12</v>
      </c>
      <c r="H30" s="18" t="s">
        <v>13</v>
      </c>
      <c r="I30" s="18">
        <v>0</v>
      </c>
      <c r="J30" s="18">
        <v>0</v>
      </c>
      <c r="K30">
        <v>2029</v>
      </c>
    </row>
    <row r="31" spans="1:22" hidden="1">
      <c r="A31" s="18">
        <v>69</v>
      </c>
      <c r="B31" s="18" t="s">
        <v>27</v>
      </c>
      <c r="C31" s="18">
        <v>13</v>
      </c>
      <c r="D31" s="18">
        <v>721</v>
      </c>
      <c r="E31" s="18">
        <v>0.41</v>
      </c>
      <c r="F31" s="18">
        <v>0.9</v>
      </c>
      <c r="G31" s="18" t="s">
        <v>12</v>
      </c>
      <c r="H31" s="18" t="s">
        <v>13</v>
      </c>
      <c r="I31" s="18">
        <v>0</v>
      </c>
      <c r="J31" s="18">
        <v>0</v>
      </c>
      <c r="K31">
        <v>2030</v>
      </c>
    </row>
    <row r="32" spans="1:22" hidden="1">
      <c r="A32" s="18">
        <v>129</v>
      </c>
      <c r="B32" s="18" t="s">
        <v>23</v>
      </c>
      <c r="C32" s="18">
        <v>6</v>
      </c>
      <c r="D32" s="18">
        <v>1070</v>
      </c>
      <c r="E32" s="18">
        <v>0.46</v>
      </c>
      <c r="F32" s="18">
        <v>0.9</v>
      </c>
      <c r="G32" s="18" t="s">
        <v>12</v>
      </c>
      <c r="H32" s="18" t="s">
        <v>13</v>
      </c>
      <c r="I32" s="18">
        <v>0</v>
      </c>
      <c r="J32" s="18">
        <v>0</v>
      </c>
      <c r="K32">
        <v>2030</v>
      </c>
    </row>
    <row r="33" spans="1:14" hidden="1">
      <c r="A33" s="18">
        <v>130</v>
      </c>
      <c r="B33" s="18" t="s">
        <v>23</v>
      </c>
      <c r="C33" s="18">
        <v>6</v>
      </c>
      <c r="D33" s="18">
        <v>790</v>
      </c>
      <c r="E33" s="18">
        <v>0.46</v>
      </c>
      <c r="F33" s="18">
        <v>0.9</v>
      </c>
      <c r="G33" s="18" t="s">
        <v>12</v>
      </c>
      <c r="H33" s="18" t="s">
        <v>13</v>
      </c>
      <c r="I33" s="18">
        <v>0</v>
      </c>
      <c r="J33" s="18">
        <v>0</v>
      </c>
      <c r="K33">
        <v>2030</v>
      </c>
    </row>
    <row r="34" spans="1:14" hidden="1">
      <c r="A34" s="18">
        <v>132</v>
      </c>
      <c r="B34" s="18" t="s">
        <v>23</v>
      </c>
      <c r="C34" s="18">
        <v>6</v>
      </c>
      <c r="D34" s="18">
        <v>780</v>
      </c>
      <c r="E34" s="18">
        <v>0.46</v>
      </c>
      <c r="F34" s="18">
        <v>0.9</v>
      </c>
      <c r="G34" s="18" t="s">
        <v>12</v>
      </c>
      <c r="H34" s="18" t="s">
        <v>13</v>
      </c>
      <c r="I34" s="18">
        <v>0</v>
      </c>
      <c r="J34" s="18">
        <v>0</v>
      </c>
      <c r="K34">
        <v>2030</v>
      </c>
    </row>
    <row r="35" spans="1:14" hidden="1">
      <c r="A35" s="18">
        <v>131</v>
      </c>
      <c r="B35" s="18" t="s">
        <v>23</v>
      </c>
      <c r="C35" s="18">
        <v>5</v>
      </c>
      <c r="D35" s="18">
        <v>790</v>
      </c>
      <c r="E35" s="18">
        <v>0.46</v>
      </c>
      <c r="F35" s="18">
        <v>0.9</v>
      </c>
      <c r="G35" s="18" t="s">
        <v>12</v>
      </c>
      <c r="H35" s="18" t="s">
        <v>13</v>
      </c>
      <c r="I35" s="18">
        <v>0</v>
      </c>
      <c r="J35" s="18">
        <v>0</v>
      </c>
      <c r="K35">
        <v>2030</v>
      </c>
    </row>
    <row r="36" spans="1:14" hidden="1">
      <c r="A36" s="18">
        <v>134</v>
      </c>
      <c r="B36" s="18" t="s">
        <v>29</v>
      </c>
      <c r="C36" s="18">
        <v>14</v>
      </c>
      <c r="D36" s="18">
        <v>484</v>
      </c>
      <c r="E36" s="18">
        <v>0.34</v>
      </c>
      <c r="F36" s="18">
        <v>0.94999999975000005</v>
      </c>
      <c r="G36" s="18" t="s">
        <v>12</v>
      </c>
      <c r="H36" s="18" t="s">
        <v>13</v>
      </c>
      <c r="I36" s="18">
        <v>0</v>
      </c>
      <c r="J36" s="18">
        <v>0</v>
      </c>
      <c r="K36">
        <v>2034</v>
      </c>
    </row>
    <row r="37" spans="1:14" hidden="1">
      <c r="A37" s="18">
        <v>174</v>
      </c>
      <c r="B37" s="18" t="s">
        <v>14</v>
      </c>
      <c r="C37" s="18">
        <v>5</v>
      </c>
      <c r="D37" s="18">
        <v>128.06899999999999</v>
      </c>
      <c r="E37" s="18">
        <v>1</v>
      </c>
      <c r="F37" s="18">
        <v>1</v>
      </c>
      <c r="G37" s="18" t="s">
        <v>12</v>
      </c>
      <c r="H37" s="18" t="s">
        <v>13</v>
      </c>
      <c r="I37" s="18">
        <v>0</v>
      </c>
      <c r="J37" s="18">
        <v>0</v>
      </c>
      <c r="K37">
        <v>2036</v>
      </c>
    </row>
    <row r="38" spans="1:14" hidden="1">
      <c r="A38" s="18">
        <v>175</v>
      </c>
      <c r="B38" s="18" t="s">
        <v>14</v>
      </c>
      <c r="C38" s="18">
        <v>4</v>
      </c>
      <c r="D38" s="18">
        <v>403.875</v>
      </c>
      <c r="E38" s="18">
        <v>1</v>
      </c>
      <c r="F38" s="18">
        <v>1</v>
      </c>
      <c r="G38" s="18" t="s">
        <v>12</v>
      </c>
      <c r="H38" s="18" t="s">
        <v>13</v>
      </c>
      <c r="I38" s="18">
        <v>0</v>
      </c>
      <c r="J38" s="18">
        <v>0</v>
      </c>
      <c r="K38">
        <v>2037</v>
      </c>
    </row>
    <row r="39" spans="1:14" hidden="1">
      <c r="A39" s="18">
        <v>70</v>
      </c>
      <c r="B39" s="18" t="s">
        <v>27</v>
      </c>
      <c r="C39" s="18">
        <v>12</v>
      </c>
      <c r="D39" s="18">
        <v>615</v>
      </c>
      <c r="E39" s="18">
        <v>0.41</v>
      </c>
      <c r="F39" s="18">
        <v>0.9</v>
      </c>
      <c r="G39" s="18" t="s">
        <v>12</v>
      </c>
      <c r="H39" s="18" t="s">
        <v>13</v>
      </c>
      <c r="I39" s="18">
        <v>0</v>
      </c>
      <c r="J39" s="18">
        <v>0</v>
      </c>
      <c r="K39">
        <v>2038</v>
      </c>
    </row>
    <row r="40" spans="1:14" hidden="1">
      <c r="A40" s="18">
        <v>176</v>
      </c>
      <c r="B40" s="18" t="s">
        <v>14</v>
      </c>
      <c r="C40" s="18">
        <v>3</v>
      </c>
      <c r="D40" s="18">
        <v>203.696</v>
      </c>
      <c r="E40" s="18">
        <v>1</v>
      </c>
      <c r="F40" s="18">
        <v>1</v>
      </c>
      <c r="G40" s="18" t="s">
        <v>12</v>
      </c>
      <c r="H40" s="18" t="s">
        <v>13</v>
      </c>
      <c r="I40" s="18">
        <v>0</v>
      </c>
      <c r="J40" s="18">
        <v>0</v>
      </c>
      <c r="K40">
        <v>2038</v>
      </c>
    </row>
    <row r="41" spans="1:14" hidden="1">
      <c r="A41" s="18">
        <v>74</v>
      </c>
      <c r="B41" s="18" t="s">
        <v>27</v>
      </c>
      <c r="C41" s="18">
        <v>37</v>
      </c>
      <c r="D41" s="18">
        <v>97</v>
      </c>
      <c r="E41" s="18">
        <v>0.38</v>
      </c>
      <c r="F41" s="18">
        <v>0.9</v>
      </c>
      <c r="G41" s="18" t="s">
        <v>12</v>
      </c>
      <c r="H41" s="18" t="s">
        <v>13</v>
      </c>
      <c r="I41" s="18">
        <v>0</v>
      </c>
      <c r="J41" s="18">
        <v>0</v>
      </c>
      <c r="K41">
        <v>2041</v>
      </c>
    </row>
    <row r="42" spans="1:14" hidden="1">
      <c r="A42" s="18">
        <v>76</v>
      </c>
      <c r="B42" s="18" t="s">
        <v>27</v>
      </c>
      <c r="C42" s="18">
        <v>36</v>
      </c>
      <c r="D42" s="18">
        <v>26</v>
      </c>
      <c r="E42" s="18">
        <v>0.41</v>
      </c>
      <c r="F42" s="18">
        <v>0.9</v>
      </c>
      <c r="G42" s="18" t="s">
        <v>12</v>
      </c>
      <c r="H42" s="18" t="s">
        <v>13</v>
      </c>
      <c r="I42" s="18">
        <v>0</v>
      </c>
      <c r="J42" s="18">
        <v>0</v>
      </c>
      <c r="K42">
        <v>2041</v>
      </c>
    </row>
    <row r="43" spans="1:14" hidden="1">
      <c r="A43" s="18">
        <v>75</v>
      </c>
      <c r="B43" s="18" t="s">
        <v>27</v>
      </c>
      <c r="C43" s="18">
        <v>33</v>
      </c>
      <c r="D43" s="18">
        <v>81</v>
      </c>
      <c r="E43" s="18">
        <v>0.42</v>
      </c>
      <c r="F43" s="18">
        <v>0.9</v>
      </c>
      <c r="G43" s="18" t="s">
        <v>12</v>
      </c>
      <c r="H43" s="18" t="s">
        <v>13</v>
      </c>
      <c r="I43" s="18">
        <v>0</v>
      </c>
      <c r="J43" s="18">
        <v>0</v>
      </c>
      <c r="K43">
        <v>2041</v>
      </c>
    </row>
    <row r="44" spans="1:14">
      <c r="A44" s="18">
        <v>28</v>
      </c>
      <c r="B44" s="18" t="s">
        <v>26</v>
      </c>
      <c r="C44" s="18">
        <v>24</v>
      </c>
      <c r="D44" s="18">
        <v>341</v>
      </c>
      <c r="E44" s="18">
        <v>0.52</v>
      </c>
      <c r="F44" s="18">
        <v>0.9</v>
      </c>
      <c r="G44" s="18" t="s">
        <v>12</v>
      </c>
      <c r="H44" s="18" t="s">
        <v>13</v>
      </c>
      <c r="I44" s="18">
        <v>0</v>
      </c>
      <c r="J44" s="18">
        <v>0</v>
      </c>
      <c r="K44">
        <v>2041</v>
      </c>
      <c r="M44">
        <f>2020-C44</f>
        <v>1996</v>
      </c>
      <c r="N44">
        <f>K44-M44</f>
        <v>45</v>
      </c>
    </row>
    <row r="45" spans="1:14" hidden="1">
      <c r="A45" s="18">
        <v>71</v>
      </c>
      <c r="B45" s="18" t="s">
        <v>27</v>
      </c>
      <c r="C45" s="18">
        <v>24</v>
      </c>
      <c r="D45" s="18">
        <v>266</v>
      </c>
      <c r="E45" s="18">
        <v>0.48</v>
      </c>
      <c r="F45" s="18">
        <v>0.9</v>
      </c>
      <c r="G45" s="18" t="s">
        <v>12</v>
      </c>
      <c r="H45" s="18" t="s">
        <v>13</v>
      </c>
      <c r="I45" s="18">
        <v>0</v>
      </c>
      <c r="J45" s="18">
        <v>0</v>
      </c>
      <c r="K45">
        <v>2041</v>
      </c>
    </row>
    <row r="46" spans="1:14">
      <c r="A46" s="18">
        <v>29</v>
      </c>
      <c r="B46" s="18" t="s">
        <v>26</v>
      </c>
      <c r="C46" s="18">
        <v>23</v>
      </c>
      <c r="D46" s="18">
        <v>341</v>
      </c>
      <c r="E46" s="18">
        <v>0.52</v>
      </c>
      <c r="F46" s="18">
        <v>0.9</v>
      </c>
      <c r="G46" s="18" t="s">
        <v>12</v>
      </c>
      <c r="H46" s="18" t="s">
        <v>13</v>
      </c>
      <c r="I46" s="18">
        <v>0</v>
      </c>
      <c r="J46" s="18">
        <v>0</v>
      </c>
      <c r="K46">
        <v>2041</v>
      </c>
      <c r="M46">
        <f t="shared" ref="M46:M47" si="0">2020-C46</f>
        <v>1997</v>
      </c>
      <c r="N46">
        <f t="shared" ref="N46:N47" si="1">K46-M46</f>
        <v>44</v>
      </c>
    </row>
    <row r="47" spans="1:14">
      <c r="A47" s="18">
        <v>30</v>
      </c>
      <c r="B47" s="18" t="s">
        <v>26</v>
      </c>
      <c r="C47" s="18">
        <v>23</v>
      </c>
      <c r="D47" s="18">
        <v>341</v>
      </c>
      <c r="E47" s="18">
        <v>0.52</v>
      </c>
      <c r="F47" s="18">
        <v>0.9</v>
      </c>
      <c r="G47" s="18" t="s">
        <v>12</v>
      </c>
      <c r="H47" s="18" t="s">
        <v>13</v>
      </c>
      <c r="I47" s="18">
        <v>0</v>
      </c>
      <c r="J47" s="18">
        <v>0</v>
      </c>
      <c r="K47">
        <v>2041</v>
      </c>
      <c r="M47">
        <f t="shared" si="0"/>
        <v>1997</v>
      </c>
      <c r="N47">
        <f t="shared" si="1"/>
        <v>44</v>
      </c>
    </row>
    <row r="48" spans="1:14" hidden="1">
      <c r="A48" s="18">
        <v>72</v>
      </c>
      <c r="B48" s="18" t="s">
        <v>27</v>
      </c>
      <c r="C48" s="18">
        <v>23</v>
      </c>
      <c r="D48" s="18">
        <v>220</v>
      </c>
      <c r="E48" s="18">
        <v>0.42</v>
      </c>
      <c r="F48" s="18">
        <v>0.9</v>
      </c>
      <c r="G48" s="18" t="s">
        <v>12</v>
      </c>
      <c r="H48" s="18" t="s">
        <v>13</v>
      </c>
      <c r="I48" s="18">
        <v>0</v>
      </c>
      <c r="J48" s="18">
        <v>0</v>
      </c>
      <c r="K48">
        <v>2041</v>
      </c>
    </row>
    <row r="49" spans="1:14" hidden="1">
      <c r="A49" s="18">
        <v>73</v>
      </c>
      <c r="B49" s="18" t="s">
        <v>27</v>
      </c>
      <c r="C49" s="18">
        <v>23</v>
      </c>
      <c r="D49" s="18">
        <v>144</v>
      </c>
      <c r="E49" s="18">
        <v>0.41</v>
      </c>
      <c r="F49" s="18">
        <v>0.9</v>
      </c>
      <c r="G49" s="18" t="s">
        <v>12</v>
      </c>
      <c r="H49" s="18" t="s">
        <v>13</v>
      </c>
      <c r="I49" s="18">
        <v>0</v>
      </c>
      <c r="J49" s="18">
        <v>0</v>
      </c>
      <c r="K49">
        <v>2041</v>
      </c>
    </row>
    <row r="50" spans="1:14">
      <c r="A50" s="18">
        <v>34</v>
      </c>
      <c r="B50" s="18" t="s">
        <v>26</v>
      </c>
      <c r="C50" s="18">
        <v>20</v>
      </c>
      <c r="D50" s="18">
        <v>245</v>
      </c>
      <c r="E50" s="18">
        <v>0.51</v>
      </c>
      <c r="F50" s="18">
        <v>0.9</v>
      </c>
      <c r="G50" s="18" t="s">
        <v>12</v>
      </c>
      <c r="H50" s="18" t="s">
        <v>13</v>
      </c>
      <c r="I50" s="18">
        <v>0</v>
      </c>
      <c r="J50" s="18">
        <v>0</v>
      </c>
      <c r="K50">
        <v>2041</v>
      </c>
      <c r="M50">
        <f>2020-C50</f>
        <v>2000</v>
      </c>
      <c r="N50">
        <f>K50-M50</f>
        <v>41</v>
      </c>
    </row>
    <row r="51" spans="1:14" hidden="1">
      <c r="A51" s="18">
        <v>137</v>
      </c>
      <c r="B51" s="18" t="s">
        <v>11</v>
      </c>
      <c r="C51" s="18">
        <v>16</v>
      </c>
      <c r="D51" s="18">
        <v>124</v>
      </c>
      <c r="E51" s="18">
        <v>0.35</v>
      </c>
      <c r="F51" s="18">
        <v>0.9</v>
      </c>
      <c r="G51" s="18" t="s">
        <v>12</v>
      </c>
      <c r="H51" s="18" t="s">
        <v>13</v>
      </c>
      <c r="I51" s="18">
        <v>0</v>
      </c>
      <c r="J51" s="18">
        <v>0</v>
      </c>
      <c r="K51">
        <v>2041</v>
      </c>
    </row>
    <row r="52" spans="1:14">
      <c r="A52" s="18">
        <v>22</v>
      </c>
      <c r="B52" s="18" t="s">
        <v>26</v>
      </c>
      <c r="C52" s="18">
        <v>11</v>
      </c>
      <c r="D52" s="18">
        <v>435</v>
      </c>
      <c r="E52" s="18">
        <v>0.59</v>
      </c>
      <c r="F52" s="18">
        <v>0.9</v>
      </c>
      <c r="G52" s="18" t="s">
        <v>12</v>
      </c>
      <c r="H52" s="18" t="s">
        <v>13</v>
      </c>
      <c r="I52" s="18">
        <v>0</v>
      </c>
      <c r="J52" s="18">
        <v>0</v>
      </c>
      <c r="K52">
        <v>2041</v>
      </c>
      <c r="M52">
        <f t="shared" ref="M52:M60" si="2">2020-C52</f>
        <v>2009</v>
      </c>
      <c r="N52">
        <f>K52-M52</f>
        <v>32</v>
      </c>
    </row>
    <row r="53" spans="1:14">
      <c r="A53" s="18">
        <v>23</v>
      </c>
      <c r="B53" s="18" t="s">
        <v>26</v>
      </c>
      <c r="C53" s="18">
        <v>11</v>
      </c>
      <c r="D53" s="18">
        <v>435</v>
      </c>
      <c r="E53" s="18">
        <v>0.59</v>
      </c>
      <c r="F53" s="18">
        <v>0.9</v>
      </c>
      <c r="G53" s="18" t="s">
        <v>12</v>
      </c>
      <c r="H53" s="18" t="s">
        <v>13</v>
      </c>
      <c r="I53" s="18">
        <v>0</v>
      </c>
      <c r="J53" s="18">
        <v>0</v>
      </c>
      <c r="K53">
        <v>2041</v>
      </c>
      <c r="M53">
        <f t="shared" si="2"/>
        <v>2009</v>
      </c>
      <c r="N53">
        <f t="shared" ref="N53:N60" si="3">K53-M53</f>
        <v>32</v>
      </c>
    </row>
    <row r="54" spans="1:14">
      <c r="A54" s="18">
        <v>24</v>
      </c>
      <c r="B54" s="18" t="s">
        <v>26</v>
      </c>
      <c r="C54" s="18">
        <v>10</v>
      </c>
      <c r="D54" s="18">
        <v>435</v>
      </c>
      <c r="E54" s="18">
        <v>0.58699999999999997</v>
      </c>
      <c r="F54" s="18">
        <v>0.9</v>
      </c>
      <c r="G54" s="18" t="s">
        <v>12</v>
      </c>
      <c r="H54" s="18" t="s">
        <v>13</v>
      </c>
      <c r="I54" s="18">
        <v>0</v>
      </c>
      <c r="J54" s="18">
        <v>0</v>
      </c>
      <c r="K54">
        <v>2041</v>
      </c>
      <c r="M54">
        <f t="shared" si="2"/>
        <v>2010</v>
      </c>
      <c r="N54">
        <f t="shared" si="3"/>
        <v>31</v>
      </c>
    </row>
    <row r="55" spans="1:14">
      <c r="A55" s="18">
        <v>25</v>
      </c>
      <c r="B55" s="18" t="s">
        <v>26</v>
      </c>
      <c r="C55" s="18">
        <v>10</v>
      </c>
      <c r="D55" s="18">
        <v>435</v>
      </c>
      <c r="E55" s="18">
        <v>0.58699999999999997</v>
      </c>
      <c r="F55" s="18">
        <v>0.9</v>
      </c>
      <c r="G55" s="18" t="s">
        <v>12</v>
      </c>
      <c r="H55" s="18" t="s">
        <v>13</v>
      </c>
      <c r="I55" s="18">
        <v>0</v>
      </c>
      <c r="J55" s="18">
        <v>0</v>
      </c>
      <c r="K55">
        <v>2041</v>
      </c>
      <c r="M55">
        <f t="shared" si="2"/>
        <v>2010</v>
      </c>
      <c r="N55">
        <f t="shared" si="3"/>
        <v>31</v>
      </c>
    </row>
    <row r="56" spans="1:14">
      <c r="A56" s="18">
        <v>27</v>
      </c>
      <c r="B56" s="18" t="s">
        <v>26</v>
      </c>
      <c r="C56" s="18">
        <v>10</v>
      </c>
      <c r="D56" s="18">
        <v>425</v>
      </c>
      <c r="E56" s="18">
        <v>0.59</v>
      </c>
      <c r="F56" s="18">
        <v>0.9</v>
      </c>
      <c r="G56" s="18" t="s">
        <v>12</v>
      </c>
      <c r="H56" s="18" t="s">
        <v>13</v>
      </c>
      <c r="I56" s="18">
        <v>0</v>
      </c>
      <c r="J56" s="18">
        <v>0</v>
      </c>
      <c r="K56">
        <v>2041</v>
      </c>
      <c r="M56">
        <f t="shared" si="2"/>
        <v>2010</v>
      </c>
      <c r="N56">
        <f t="shared" si="3"/>
        <v>31</v>
      </c>
    </row>
    <row r="57" spans="1:14">
      <c r="A57" s="18">
        <v>26</v>
      </c>
      <c r="B57" s="18" t="s">
        <v>26</v>
      </c>
      <c r="C57" s="18">
        <v>9</v>
      </c>
      <c r="D57" s="18">
        <v>426</v>
      </c>
      <c r="E57" s="18">
        <v>0.57999999999999996</v>
      </c>
      <c r="F57" s="18">
        <v>0.9</v>
      </c>
      <c r="G57" s="18" t="s">
        <v>12</v>
      </c>
      <c r="H57" s="18" t="s">
        <v>13</v>
      </c>
      <c r="I57" s="18">
        <v>0</v>
      </c>
      <c r="J57" s="18">
        <v>0</v>
      </c>
      <c r="K57">
        <v>2041</v>
      </c>
      <c r="M57">
        <f t="shared" si="2"/>
        <v>2011</v>
      </c>
      <c r="N57">
        <f t="shared" si="3"/>
        <v>30</v>
      </c>
    </row>
    <row r="58" spans="1:14">
      <c r="A58" s="18">
        <v>31</v>
      </c>
      <c r="B58" s="18" t="s">
        <v>26</v>
      </c>
      <c r="C58" s="18">
        <v>2</v>
      </c>
      <c r="D58" s="18">
        <v>341</v>
      </c>
      <c r="E58" s="18">
        <v>0.52</v>
      </c>
      <c r="F58" s="18">
        <v>0.9</v>
      </c>
      <c r="G58" s="18" t="s">
        <v>12</v>
      </c>
      <c r="H58" s="18" t="s">
        <v>13</v>
      </c>
      <c r="I58" s="18">
        <v>0</v>
      </c>
      <c r="J58" s="18">
        <v>0</v>
      </c>
      <c r="K58">
        <v>2041</v>
      </c>
      <c r="M58">
        <f t="shared" si="2"/>
        <v>2018</v>
      </c>
      <c r="N58">
        <f t="shared" si="3"/>
        <v>23</v>
      </c>
    </row>
    <row r="59" spans="1:14">
      <c r="A59" s="18">
        <v>32</v>
      </c>
      <c r="B59" t="s">
        <v>26</v>
      </c>
      <c r="C59">
        <v>0</v>
      </c>
      <c r="D59">
        <v>341</v>
      </c>
      <c r="E59">
        <v>0.52</v>
      </c>
      <c r="F59">
        <v>0.9</v>
      </c>
      <c r="G59" t="s">
        <v>12</v>
      </c>
      <c r="H59" t="s">
        <v>13</v>
      </c>
      <c r="I59">
        <v>0</v>
      </c>
      <c r="J59">
        <v>0</v>
      </c>
      <c r="K59">
        <v>2041</v>
      </c>
      <c r="M59">
        <f t="shared" si="2"/>
        <v>2020</v>
      </c>
      <c r="N59">
        <f t="shared" si="3"/>
        <v>21</v>
      </c>
    </row>
    <row r="60" spans="1:14">
      <c r="A60" s="18">
        <v>33</v>
      </c>
      <c r="B60" t="s">
        <v>26</v>
      </c>
      <c r="C60">
        <v>0</v>
      </c>
      <c r="D60">
        <v>341</v>
      </c>
      <c r="E60">
        <v>0.52</v>
      </c>
      <c r="F60">
        <v>0.9</v>
      </c>
      <c r="G60" t="s">
        <v>12</v>
      </c>
      <c r="H60" t="s">
        <v>13</v>
      </c>
      <c r="I60">
        <v>0</v>
      </c>
      <c r="J60">
        <v>0</v>
      </c>
      <c r="K60">
        <v>2041</v>
      </c>
      <c r="M60">
        <f t="shared" si="2"/>
        <v>2020</v>
      </c>
      <c r="N60">
        <f t="shared" si="3"/>
        <v>21</v>
      </c>
    </row>
    <row r="61" spans="1:14" hidden="1">
      <c r="A61" s="18">
        <v>138</v>
      </c>
      <c r="B61" s="18" t="s">
        <v>11</v>
      </c>
      <c r="C61" s="18">
        <v>8</v>
      </c>
      <c r="D61" s="18">
        <v>72</v>
      </c>
      <c r="E61" s="18">
        <v>0.44</v>
      </c>
      <c r="F61" s="18">
        <v>0.9</v>
      </c>
      <c r="G61" s="18" t="s">
        <v>12</v>
      </c>
      <c r="H61" s="18" t="s">
        <v>13</v>
      </c>
      <c r="I61" s="18">
        <v>0</v>
      </c>
      <c r="J61" s="18">
        <v>0</v>
      </c>
      <c r="K61">
        <v>2042</v>
      </c>
    </row>
    <row r="62" spans="1:14" hidden="1">
      <c r="A62" s="18">
        <v>139</v>
      </c>
      <c r="B62" s="18" t="s">
        <v>11</v>
      </c>
      <c r="C62" s="18">
        <v>8</v>
      </c>
      <c r="D62" s="18">
        <v>72</v>
      </c>
      <c r="E62" s="18">
        <v>0.44</v>
      </c>
      <c r="F62" s="18">
        <v>0.9</v>
      </c>
      <c r="G62" s="18" t="s">
        <v>12</v>
      </c>
      <c r="H62" s="18" t="s">
        <v>13</v>
      </c>
      <c r="I62" s="18">
        <v>0</v>
      </c>
      <c r="J62" s="18">
        <v>0</v>
      </c>
      <c r="K62">
        <v>2042</v>
      </c>
    </row>
    <row r="63" spans="1:14">
      <c r="A63" s="18">
        <v>35</v>
      </c>
      <c r="B63" s="18" t="s">
        <v>26</v>
      </c>
      <c r="C63" s="18">
        <v>7</v>
      </c>
      <c r="D63" s="18">
        <v>435</v>
      </c>
      <c r="E63" s="18">
        <v>0.59</v>
      </c>
      <c r="F63" s="18">
        <v>0.9</v>
      </c>
      <c r="G63" s="18" t="s">
        <v>12</v>
      </c>
      <c r="H63" s="18" t="s">
        <v>13</v>
      </c>
      <c r="I63" s="18">
        <v>0</v>
      </c>
      <c r="J63" s="18">
        <v>0</v>
      </c>
      <c r="K63">
        <v>2043</v>
      </c>
      <c r="M63">
        <f>2020-C63</f>
        <v>2013</v>
      </c>
      <c r="N63">
        <f>K63-M63</f>
        <v>30</v>
      </c>
    </row>
    <row r="64" spans="1:14" hidden="1">
      <c r="A64" s="18">
        <v>77</v>
      </c>
      <c r="B64" s="18" t="s">
        <v>27</v>
      </c>
      <c r="C64" s="18">
        <v>7</v>
      </c>
      <c r="D64" s="18">
        <v>435</v>
      </c>
      <c r="E64" s="18">
        <v>0.59</v>
      </c>
      <c r="F64" s="18">
        <v>0.9</v>
      </c>
      <c r="G64" s="18" t="s">
        <v>12</v>
      </c>
      <c r="H64" s="18" t="s">
        <v>13</v>
      </c>
      <c r="I64" s="18">
        <v>0</v>
      </c>
      <c r="J64" s="18">
        <v>0</v>
      </c>
      <c r="K64">
        <v>2043</v>
      </c>
    </row>
    <row r="65" spans="1:14">
      <c r="A65" s="18">
        <v>36</v>
      </c>
      <c r="B65" s="18" t="s">
        <v>26</v>
      </c>
      <c r="C65" s="18">
        <v>8</v>
      </c>
      <c r="D65" s="18">
        <v>420</v>
      </c>
      <c r="E65" s="18">
        <v>0.59</v>
      </c>
      <c r="F65" s="18">
        <v>0.9</v>
      </c>
      <c r="G65" s="18" t="s">
        <v>12</v>
      </c>
      <c r="H65" s="18" t="s">
        <v>13</v>
      </c>
      <c r="I65" s="18">
        <v>0</v>
      </c>
      <c r="J65" s="18">
        <v>0</v>
      </c>
      <c r="K65">
        <v>2045</v>
      </c>
      <c r="M65">
        <f t="shared" ref="M65:M74" si="4">2020-C65</f>
        <v>2012</v>
      </c>
      <c r="N65">
        <f t="shared" ref="N65:N74" si="5">K65-M65</f>
        <v>33</v>
      </c>
    </row>
    <row r="66" spans="1:14">
      <c r="A66" s="18">
        <v>37</v>
      </c>
      <c r="B66" s="18" t="s">
        <v>26</v>
      </c>
      <c r="C66" s="18">
        <v>5</v>
      </c>
      <c r="D66" s="18">
        <v>420</v>
      </c>
      <c r="E66" s="18">
        <v>0.59</v>
      </c>
      <c r="F66" s="18">
        <v>0.9</v>
      </c>
      <c r="G66" s="18" t="s">
        <v>12</v>
      </c>
      <c r="H66" s="18" t="s">
        <v>13</v>
      </c>
      <c r="I66" s="18">
        <v>0</v>
      </c>
      <c r="J66" s="18">
        <v>0</v>
      </c>
      <c r="K66">
        <v>2045</v>
      </c>
      <c r="M66">
        <f t="shared" si="4"/>
        <v>2015</v>
      </c>
      <c r="N66">
        <f t="shared" si="5"/>
        <v>30</v>
      </c>
    </row>
    <row r="67" spans="1:14">
      <c r="A67" s="18">
        <v>38</v>
      </c>
      <c r="B67" s="18" t="s">
        <v>26</v>
      </c>
      <c r="C67" s="18">
        <v>7</v>
      </c>
      <c r="D67" s="18">
        <v>437</v>
      </c>
      <c r="E67" s="18">
        <v>0.57999999999999996</v>
      </c>
      <c r="F67" s="18">
        <v>0.9</v>
      </c>
      <c r="G67" s="18" t="s">
        <v>12</v>
      </c>
      <c r="H67" s="18" t="s">
        <v>13</v>
      </c>
      <c r="I67" s="18">
        <v>0</v>
      </c>
      <c r="J67" s="18">
        <v>0</v>
      </c>
      <c r="K67">
        <v>2046</v>
      </c>
      <c r="M67">
        <f t="shared" si="4"/>
        <v>2013</v>
      </c>
      <c r="N67">
        <f t="shared" si="5"/>
        <v>33</v>
      </c>
    </row>
    <row r="68" spans="1:14">
      <c r="A68" s="18">
        <v>39</v>
      </c>
      <c r="B68" s="18" t="s">
        <v>26</v>
      </c>
      <c r="C68" s="18">
        <v>4</v>
      </c>
      <c r="D68" s="18">
        <v>437</v>
      </c>
      <c r="E68" s="18">
        <v>0.57999999999999996</v>
      </c>
      <c r="F68" s="18">
        <v>0.9</v>
      </c>
      <c r="G68" s="18" t="s">
        <v>12</v>
      </c>
      <c r="H68" s="18" t="s">
        <v>13</v>
      </c>
      <c r="I68" s="18">
        <v>0</v>
      </c>
      <c r="J68" s="18">
        <v>0</v>
      </c>
      <c r="K68">
        <v>2046</v>
      </c>
      <c r="M68">
        <f t="shared" si="4"/>
        <v>2016</v>
      </c>
      <c r="N68">
        <f t="shared" si="5"/>
        <v>30</v>
      </c>
    </row>
    <row r="69" spans="1:14">
      <c r="A69" s="18">
        <v>40</v>
      </c>
      <c r="B69" s="18" t="s">
        <v>26</v>
      </c>
      <c r="C69" s="18">
        <v>4</v>
      </c>
      <c r="D69" s="18">
        <v>437</v>
      </c>
      <c r="E69" s="18">
        <v>0.57999999999999996</v>
      </c>
      <c r="F69" s="18">
        <v>0.9</v>
      </c>
      <c r="G69" s="18" t="s">
        <v>12</v>
      </c>
      <c r="H69" s="18" t="s">
        <v>13</v>
      </c>
      <c r="I69" s="18">
        <v>0</v>
      </c>
      <c r="J69" s="18">
        <v>0</v>
      </c>
      <c r="K69">
        <v>2046</v>
      </c>
      <c r="M69">
        <f t="shared" si="4"/>
        <v>2016</v>
      </c>
      <c r="N69">
        <f t="shared" si="5"/>
        <v>30</v>
      </c>
    </row>
    <row r="70" spans="1:14">
      <c r="A70" s="18">
        <v>41</v>
      </c>
      <c r="B70" s="18" t="s">
        <v>26</v>
      </c>
      <c r="C70" s="18">
        <v>3</v>
      </c>
      <c r="D70" s="18">
        <v>400</v>
      </c>
      <c r="E70" s="18">
        <v>0.56000000000000005</v>
      </c>
      <c r="F70" s="18">
        <v>0.9</v>
      </c>
      <c r="G70" s="18" t="s">
        <v>12</v>
      </c>
      <c r="H70" s="18" t="s">
        <v>13</v>
      </c>
      <c r="I70" s="18">
        <v>0</v>
      </c>
      <c r="J70" s="18">
        <v>0</v>
      </c>
      <c r="K70">
        <v>2047</v>
      </c>
      <c r="M70">
        <f t="shared" si="4"/>
        <v>2017</v>
      </c>
      <c r="N70">
        <f t="shared" si="5"/>
        <v>30</v>
      </c>
    </row>
    <row r="71" spans="1:14">
      <c r="A71" s="18">
        <v>42</v>
      </c>
      <c r="B71" s="18" t="s">
        <v>26</v>
      </c>
      <c r="C71" s="18">
        <v>3</v>
      </c>
      <c r="D71" s="18">
        <v>400</v>
      </c>
      <c r="E71" s="18">
        <v>0.56000000000000005</v>
      </c>
      <c r="F71" s="18">
        <v>0.9</v>
      </c>
      <c r="G71" s="18" t="s">
        <v>12</v>
      </c>
      <c r="H71" s="18" t="s">
        <v>13</v>
      </c>
      <c r="I71" s="18">
        <v>0</v>
      </c>
      <c r="J71" s="18">
        <v>0</v>
      </c>
      <c r="K71">
        <v>2047</v>
      </c>
      <c r="M71">
        <f t="shared" si="4"/>
        <v>2017</v>
      </c>
      <c r="N71">
        <f t="shared" si="5"/>
        <v>30</v>
      </c>
    </row>
    <row r="72" spans="1:14">
      <c r="A72" s="18">
        <v>43</v>
      </c>
      <c r="B72" t="s">
        <v>26</v>
      </c>
      <c r="C72">
        <v>0</v>
      </c>
      <c r="D72">
        <v>435</v>
      </c>
      <c r="E72">
        <v>0.56999999999999995</v>
      </c>
      <c r="F72">
        <v>0.9</v>
      </c>
      <c r="G72" t="s">
        <v>12</v>
      </c>
      <c r="H72" t="s">
        <v>13</v>
      </c>
      <c r="I72">
        <v>0</v>
      </c>
      <c r="J72">
        <v>0</v>
      </c>
      <c r="K72">
        <v>2050</v>
      </c>
      <c r="M72">
        <f t="shared" si="4"/>
        <v>2020</v>
      </c>
      <c r="N72">
        <f t="shared" si="5"/>
        <v>30</v>
      </c>
    </row>
    <row r="73" spans="1:14">
      <c r="A73" s="18">
        <v>44</v>
      </c>
      <c r="B73" t="s">
        <v>26</v>
      </c>
      <c r="C73">
        <v>-1</v>
      </c>
      <c r="D73">
        <v>435</v>
      </c>
      <c r="E73">
        <v>0.56999999999999995</v>
      </c>
      <c r="F73">
        <v>0.9</v>
      </c>
      <c r="G73" t="s">
        <v>12</v>
      </c>
      <c r="H73" t="s">
        <v>13</v>
      </c>
      <c r="I73">
        <v>0</v>
      </c>
      <c r="J73">
        <v>0</v>
      </c>
      <c r="K73">
        <v>2050</v>
      </c>
      <c r="M73">
        <f t="shared" si="4"/>
        <v>2021</v>
      </c>
      <c r="N73">
        <f t="shared" si="5"/>
        <v>29</v>
      </c>
    </row>
    <row r="74" spans="1:14">
      <c r="A74" s="18">
        <v>45</v>
      </c>
      <c r="B74" t="s">
        <v>26</v>
      </c>
      <c r="C74">
        <v>-1</v>
      </c>
      <c r="D74">
        <v>435</v>
      </c>
      <c r="E74">
        <v>0.56999999999999995</v>
      </c>
      <c r="F74">
        <v>0.9</v>
      </c>
      <c r="G74" t="s">
        <v>12</v>
      </c>
      <c r="H74" t="s">
        <v>13</v>
      </c>
      <c r="I74">
        <v>0</v>
      </c>
      <c r="J74">
        <v>0</v>
      </c>
      <c r="K74">
        <v>2050</v>
      </c>
      <c r="M74">
        <f t="shared" si="4"/>
        <v>2021</v>
      </c>
      <c r="N74">
        <f t="shared" si="5"/>
        <v>29</v>
      </c>
    </row>
    <row r="75" spans="1:14" hidden="1">
      <c r="A75" s="18">
        <v>110</v>
      </c>
      <c r="B75" s="18" t="s">
        <v>27</v>
      </c>
      <c r="C75" s="18">
        <v>43</v>
      </c>
      <c r="D75" s="18">
        <v>29</v>
      </c>
      <c r="E75" s="18">
        <v>0.18</v>
      </c>
      <c r="F75" s="18">
        <v>0.7</v>
      </c>
      <c r="G75" s="18" t="s">
        <v>12</v>
      </c>
      <c r="H75" s="18" t="s">
        <v>13</v>
      </c>
      <c r="I75" s="18">
        <v>0</v>
      </c>
      <c r="J75" s="18">
        <v>0</v>
      </c>
      <c r="K75">
        <v>2051</v>
      </c>
    </row>
    <row r="76" spans="1:14" hidden="1">
      <c r="A76" s="18">
        <v>98</v>
      </c>
      <c r="B76" s="18" t="s">
        <v>27</v>
      </c>
      <c r="C76" s="18">
        <v>40</v>
      </c>
      <c r="D76" s="18">
        <v>50</v>
      </c>
      <c r="E76" s="18">
        <v>0.35828470000000001</v>
      </c>
      <c r="F76" s="18">
        <v>0.9</v>
      </c>
      <c r="G76" s="18" t="s">
        <v>12</v>
      </c>
      <c r="H76" s="18" t="s">
        <v>13</v>
      </c>
      <c r="I76" s="18">
        <v>0</v>
      </c>
      <c r="J76" s="18">
        <v>0</v>
      </c>
      <c r="K76">
        <v>2051</v>
      </c>
    </row>
    <row r="77" spans="1:14" hidden="1">
      <c r="A77" s="18">
        <v>112</v>
      </c>
      <c r="B77" s="18" t="s">
        <v>27</v>
      </c>
      <c r="C77" s="18">
        <v>40</v>
      </c>
      <c r="D77" s="18">
        <v>27.5</v>
      </c>
      <c r="E77" s="18">
        <v>0.27834370000000003</v>
      </c>
      <c r="F77" s="18">
        <v>0.9</v>
      </c>
      <c r="G77" s="18" t="s">
        <v>12</v>
      </c>
      <c r="H77" s="18" t="s">
        <v>13</v>
      </c>
      <c r="I77" s="18">
        <v>0</v>
      </c>
      <c r="J77" s="18">
        <v>0</v>
      </c>
      <c r="K77">
        <v>2051</v>
      </c>
    </row>
    <row r="78" spans="1:14" hidden="1">
      <c r="A78" s="18">
        <v>115</v>
      </c>
      <c r="B78" s="18" t="s">
        <v>27</v>
      </c>
      <c r="C78" s="18">
        <v>37</v>
      </c>
      <c r="D78" s="18">
        <v>25</v>
      </c>
      <c r="E78" s="18">
        <v>0.42</v>
      </c>
      <c r="F78" s="18">
        <v>0.9</v>
      </c>
      <c r="G78" s="18" t="s">
        <v>12</v>
      </c>
      <c r="H78" s="18" t="s">
        <v>13</v>
      </c>
      <c r="I78" s="18">
        <v>0</v>
      </c>
      <c r="J78" s="18">
        <v>0</v>
      </c>
      <c r="K78">
        <v>2051</v>
      </c>
    </row>
    <row r="79" spans="1:14" hidden="1">
      <c r="A79" s="18">
        <v>116</v>
      </c>
      <c r="B79" s="18" t="s">
        <v>27</v>
      </c>
      <c r="C79" s="18">
        <v>37</v>
      </c>
      <c r="D79" s="18">
        <v>25</v>
      </c>
      <c r="E79" s="18">
        <v>0.42</v>
      </c>
      <c r="F79" s="18">
        <v>0.9</v>
      </c>
      <c r="G79" s="18" t="s">
        <v>12</v>
      </c>
      <c r="H79" s="18" t="s">
        <v>13</v>
      </c>
      <c r="I79" s="18">
        <v>0</v>
      </c>
      <c r="J79" s="18">
        <v>0</v>
      </c>
      <c r="K79">
        <v>2051</v>
      </c>
    </row>
    <row r="80" spans="1:14" hidden="1">
      <c r="A80" s="18">
        <v>90</v>
      </c>
      <c r="B80" s="18" t="s">
        <v>27</v>
      </c>
      <c r="C80" s="18">
        <v>35</v>
      </c>
      <c r="D80" s="18">
        <v>103</v>
      </c>
      <c r="E80" s="18">
        <v>0.42</v>
      </c>
      <c r="F80" s="18">
        <v>0.9</v>
      </c>
      <c r="G80" s="18" t="s">
        <v>12</v>
      </c>
      <c r="H80" s="18" t="s">
        <v>13</v>
      </c>
      <c r="I80" s="18">
        <v>0</v>
      </c>
      <c r="J80" s="18">
        <v>0</v>
      </c>
      <c r="K80">
        <v>2051</v>
      </c>
    </row>
    <row r="81" spans="1:11" hidden="1">
      <c r="A81" s="18">
        <v>108</v>
      </c>
      <c r="B81" s="18" t="s">
        <v>27</v>
      </c>
      <c r="C81" s="18">
        <v>35</v>
      </c>
      <c r="D81" s="18">
        <v>36.6</v>
      </c>
      <c r="E81" s="18">
        <v>0.32</v>
      </c>
      <c r="F81" s="18">
        <v>0.9</v>
      </c>
      <c r="G81" s="18" t="s">
        <v>12</v>
      </c>
      <c r="H81" s="18" t="s">
        <v>13</v>
      </c>
      <c r="I81" s="18">
        <v>0</v>
      </c>
      <c r="J81" s="18">
        <v>0</v>
      </c>
      <c r="K81">
        <v>2051</v>
      </c>
    </row>
    <row r="82" spans="1:11" hidden="1">
      <c r="A82" s="18">
        <v>117</v>
      </c>
      <c r="B82" s="18" t="s">
        <v>27</v>
      </c>
      <c r="C82" s="18">
        <v>35</v>
      </c>
      <c r="D82" s="18">
        <v>25</v>
      </c>
      <c r="E82" s="18">
        <v>0.3</v>
      </c>
      <c r="F82" s="18">
        <v>0.9</v>
      </c>
      <c r="G82" s="18" t="s">
        <v>12</v>
      </c>
      <c r="H82" s="18" t="s">
        <v>13</v>
      </c>
      <c r="I82" s="18">
        <v>0</v>
      </c>
      <c r="J82" s="18">
        <v>0</v>
      </c>
      <c r="K82">
        <v>2051</v>
      </c>
    </row>
    <row r="83" spans="1:11" hidden="1">
      <c r="A83" s="18">
        <v>107</v>
      </c>
      <c r="B83" s="18" t="s">
        <v>27</v>
      </c>
      <c r="C83" s="18">
        <v>34</v>
      </c>
      <c r="D83" s="18">
        <v>37</v>
      </c>
      <c r="E83" s="18">
        <v>0.19315489999999999</v>
      </c>
      <c r="F83" s="18">
        <v>0.9</v>
      </c>
      <c r="G83" s="18" t="s">
        <v>12</v>
      </c>
      <c r="H83" s="18" t="s">
        <v>13</v>
      </c>
      <c r="I83" s="18">
        <v>0</v>
      </c>
      <c r="J83" s="18">
        <v>0</v>
      </c>
      <c r="K83">
        <v>2051</v>
      </c>
    </row>
    <row r="84" spans="1:11" hidden="1">
      <c r="A84" s="18">
        <v>140</v>
      </c>
      <c r="B84" s="18" t="s">
        <v>11</v>
      </c>
      <c r="C84" s="18">
        <v>34</v>
      </c>
      <c r="D84" s="18">
        <v>375</v>
      </c>
      <c r="E84" s="18">
        <v>0.38</v>
      </c>
      <c r="F84" s="18">
        <v>0.9</v>
      </c>
      <c r="G84" s="18" t="s">
        <v>12</v>
      </c>
      <c r="H84" s="18" t="s">
        <v>13</v>
      </c>
      <c r="I84" s="18">
        <v>0</v>
      </c>
      <c r="J84" s="18">
        <v>0</v>
      </c>
      <c r="K84">
        <v>2051</v>
      </c>
    </row>
    <row r="85" spans="1:11" hidden="1">
      <c r="A85" s="18">
        <v>84</v>
      </c>
      <c r="B85" s="18" t="s">
        <v>27</v>
      </c>
      <c r="C85" s="18">
        <v>33</v>
      </c>
      <c r="D85" s="18">
        <v>180</v>
      </c>
      <c r="E85" s="18">
        <v>0.45</v>
      </c>
      <c r="F85" s="18">
        <v>0.9</v>
      </c>
      <c r="G85" s="18" t="s">
        <v>12</v>
      </c>
      <c r="H85" s="18" t="s">
        <v>13</v>
      </c>
      <c r="I85" s="18">
        <v>0</v>
      </c>
      <c r="J85" s="18">
        <v>0</v>
      </c>
      <c r="K85">
        <v>2051</v>
      </c>
    </row>
    <row r="86" spans="1:11" hidden="1">
      <c r="A86" s="18">
        <v>111</v>
      </c>
      <c r="B86" s="18" t="s">
        <v>27</v>
      </c>
      <c r="C86" s="18">
        <v>31</v>
      </c>
      <c r="D86" s="18">
        <v>28</v>
      </c>
      <c r="E86" s="18">
        <v>0.41</v>
      </c>
      <c r="F86" s="18">
        <v>0.9</v>
      </c>
      <c r="G86" s="18" t="s">
        <v>12</v>
      </c>
      <c r="H86" s="18" t="s">
        <v>13</v>
      </c>
      <c r="I86" s="18">
        <v>0</v>
      </c>
      <c r="J86" s="18">
        <v>0</v>
      </c>
      <c r="K86">
        <v>2051</v>
      </c>
    </row>
    <row r="87" spans="1:11" hidden="1">
      <c r="A87" s="18">
        <v>83</v>
      </c>
      <c r="B87" s="18" t="s">
        <v>27</v>
      </c>
      <c r="C87" s="18">
        <v>30</v>
      </c>
      <c r="D87" s="18">
        <v>217</v>
      </c>
      <c r="E87" s="18">
        <v>0.42</v>
      </c>
      <c r="F87" s="18">
        <v>0.9</v>
      </c>
      <c r="G87" s="18" t="s">
        <v>12</v>
      </c>
      <c r="H87" s="18" t="s">
        <v>13</v>
      </c>
      <c r="I87" s="18">
        <v>0</v>
      </c>
      <c r="J87" s="18">
        <v>0</v>
      </c>
      <c r="K87">
        <v>2051</v>
      </c>
    </row>
    <row r="88" spans="1:11" hidden="1">
      <c r="A88" s="18">
        <v>94</v>
      </c>
      <c r="B88" s="18" t="s">
        <v>27</v>
      </c>
      <c r="C88" s="18">
        <v>30</v>
      </c>
      <c r="D88" s="18">
        <v>78.129000000000005</v>
      </c>
      <c r="E88" s="18">
        <v>0.25</v>
      </c>
      <c r="F88" s="18">
        <v>0.9</v>
      </c>
      <c r="G88" s="18" t="s">
        <v>12</v>
      </c>
      <c r="H88" s="18" t="s">
        <v>13</v>
      </c>
      <c r="I88" s="18">
        <v>0</v>
      </c>
      <c r="J88" s="18">
        <v>0</v>
      </c>
      <c r="K88">
        <v>2051</v>
      </c>
    </row>
    <row r="89" spans="1:11" hidden="1">
      <c r="A89" s="18">
        <v>97</v>
      </c>
      <c r="B89" s="18" t="s">
        <v>27</v>
      </c>
      <c r="C89" s="18">
        <v>30</v>
      </c>
      <c r="D89" s="18">
        <v>50.8</v>
      </c>
      <c r="E89" s="18">
        <v>0.38</v>
      </c>
      <c r="F89" s="18">
        <v>0.9</v>
      </c>
      <c r="G89" s="18" t="s">
        <v>12</v>
      </c>
      <c r="H89" s="18" t="s">
        <v>13</v>
      </c>
      <c r="I89" s="18">
        <v>0</v>
      </c>
      <c r="J89" s="18">
        <v>0</v>
      </c>
      <c r="K89">
        <v>2051</v>
      </c>
    </row>
    <row r="90" spans="1:11" hidden="1">
      <c r="A90" s="18">
        <v>125</v>
      </c>
      <c r="B90" s="18" t="s">
        <v>27</v>
      </c>
      <c r="C90" s="18">
        <v>30</v>
      </c>
      <c r="D90" s="18">
        <v>11.167</v>
      </c>
      <c r="E90" s="18">
        <v>0.25</v>
      </c>
      <c r="F90" s="18">
        <v>0.5</v>
      </c>
      <c r="G90" s="18" t="s">
        <v>12</v>
      </c>
      <c r="H90" s="18" t="s">
        <v>13</v>
      </c>
      <c r="I90" s="18">
        <v>0</v>
      </c>
      <c r="J90" s="18">
        <v>0</v>
      </c>
      <c r="K90">
        <v>2051</v>
      </c>
    </row>
    <row r="91" spans="1:11" hidden="1">
      <c r="A91" s="18">
        <v>85</v>
      </c>
      <c r="B91" s="18" t="s">
        <v>27</v>
      </c>
      <c r="C91" s="18">
        <v>29</v>
      </c>
      <c r="D91" s="18">
        <v>137.6</v>
      </c>
      <c r="E91" s="18">
        <v>0.39</v>
      </c>
      <c r="F91" s="18">
        <v>0.9</v>
      </c>
      <c r="G91" s="18" t="s">
        <v>12</v>
      </c>
      <c r="H91" s="18" t="s">
        <v>13</v>
      </c>
      <c r="I91" s="18">
        <v>0</v>
      </c>
      <c r="J91" s="18">
        <v>0</v>
      </c>
      <c r="K91">
        <v>2051</v>
      </c>
    </row>
    <row r="92" spans="1:11" hidden="1">
      <c r="A92" s="18">
        <v>86</v>
      </c>
      <c r="B92" s="18" t="s">
        <v>27</v>
      </c>
      <c r="C92" s="18">
        <v>29</v>
      </c>
      <c r="D92" s="18">
        <v>134.35</v>
      </c>
      <c r="E92" s="18">
        <v>0.39</v>
      </c>
      <c r="F92" s="18">
        <v>0.5</v>
      </c>
      <c r="G92" s="18" t="s">
        <v>12</v>
      </c>
      <c r="H92" s="18" t="s">
        <v>13</v>
      </c>
      <c r="I92" s="18">
        <v>0</v>
      </c>
      <c r="J92" s="18">
        <v>0</v>
      </c>
      <c r="K92">
        <v>2051</v>
      </c>
    </row>
    <row r="93" spans="1:11" hidden="1">
      <c r="A93" s="18">
        <v>87</v>
      </c>
      <c r="B93" s="18" t="s">
        <v>27</v>
      </c>
      <c r="C93" s="18">
        <v>29</v>
      </c>
      <c r="D93" s="18">
        <v>114.60001</v>
      </c>
      <c r="E93" s="18">
        <v>0.39</v>
      </c>
      <c r="F93" s="18">
        <v>0.5</v>
      </c>
      <c r="G93" s="18" t="s">
        <v>12</v>
      </c>
      <c r="H93" s="18" t="s">
        <v>13</v>
      </c>
      <c r="I93" s="18">
        <v>0</v>
      </c>
      <c r="J93" s="18">
        <v>0</v>
      </c>
      <c r="K93">
        <v>2051</v>
      </c>
    </row>
    <row r="94" spans="1:11" hidden="1">
      <c r="A94" s="18">
        <v>93</v>
      </c>
      <c r="B94" s="18" t="s">
        <v>27</v>
      </c>
      <c r="C94" s="18">
        <v>29</v>
      </c>
      <c r="D94" s="18">
        <v>88.090999999999994</v>
      </c>
      <c r="E94" s="18">
        <v>0.23</v>
      </c>
      <c r="F94" s="18">
        <v>0.9</v>
      </c>
      <c r="G94" s="18" t="s">
        <v>12</v>
      </c>
      <c r="H94" s="18" t="s">
        <v>13</v>
      </c>
      <c r="I94" s="18">
        <v>0</v>
      </c>
      <c r="J94" s="18">
        <v>0</v>
      </c>
      <c r="K94">
        <v>2051</v>
      </c>
    </row>
    <row r="95" spans="1:11" hidden="1">
      <c r="A95" s="18">
        <v>106</v>
      </c>
      <c r="B95" s="18" t="s">
        <v>27</v>
      </c>
      <c r="C95" s="18">
        <v>29</v>
      </c>
      <c r="D95" s="18">
        <v>38</v>
      </c>
      <c r="E95" s="18">
        <v>0.32</v>
      </c>
      <c r="F95" s="18">
        <v>0.95</v>
      </c>
      <c r="G95" s="18" t="s">
        <v>12</v>
      </c>
      <c r="H95" s="18" t="s">
        <v>13</v>
      </c>
      <c r="I95" s="18">
        <v>0</v>
      </c>
      <c r="J95" s="18">
        <v>0</v>
      </c>
      <c r="K95">
        <v>2051</v>
      </c>
    </row>
    <row r="96" spans="1:11" hidden="1">
      <c r="A96" s="18">
        <v>122</v>
      </c>
      <c r="B96" s="18" t="s">
        <v>27</v>
      </c>
      <c r="C96" s="18">
        <v>29</v>
      </c>
      <c r="D96" s="18">
        <v>14.54</v>
      </c>
      <c r="E96" s="18">
        <v>0.39</v>
      </c>
      <c r="F96" s="18">
        <v>0.9</v>
      </c>
      <c r="G96" s="18" t="s">
        <v>12</v>
      </c>
      <c r="H96" s="18" t="s">
        <v>13</v>
      </c>
      <c r="I96" s="18">
        <v>0</v>
      </c>
      <c r="J96" s="18">
        <v>0</v>
      </c>
      <c r="K96">
        <v>2051</v>
      </c>
    </row>
    <row r="97" spans="1:11" hidden="1">
      <c r="A97" s="18">
        <v>101</v>
      </c>
      <c r="B97" s="18" t="s">
        <v>27</v>
      </c>
      <c r="C97" s="18">
        <v>27</v>
      </c>
      <c r="D97" s="18">
        <v>46</v>
      </c>
      <c r="E97" s="18">
        <v>0.35828470000000001</v>
      </c>
      <c r="F97" s="18">
        <v>0.9</v>
      </c>
      <c r="G97" s="18" t="s">
        <v>12</v>
      </c>
      <c r="H97" s="18" t="s">
        <v>13</v>
      </c>
      <c r="I97" s="18">
        <v>0</v>
      </c>
      <c r="J97" s="18">
        <v>0</v>
      </c>
      <c r="K97">
        <v>2051</v>
      </c>
    </row>
    <row r="98" spans="1:11" hidden="1">
      <c r="A98" s="18">
        <v>114</v>
      </c>
      <c r="B98" s="18" t="s">
        <v>27</v>
      </c>
      <c r="C98" s="18">
        <v>27</v>
      </c>
      <c r="D98" s="18">
        <v>25.5</v>
      </c>
      <c r="E98" s="18">
        <v>0.3</v>
      </c>
      <c r="F98" s="18">
        <v>0.9</v>
      </c>
      <c r="G98" s="18" t="s">
        <v>12</v>
      </c>
      <c r="H98" s="18" t="s">
        <v>13</v>
      </c>
      <c r="I98" s="18">
        <v>0</v>
      </c>
      <c r="J98" s="18">
        <v>0</v>
      </c>
      <c r="K98">
        <v>2051</v>
      </c>
    </row>
    <row r="99" spans="1:11" hidden="1">
      <c r="A99" s="18">
        <v>123</v>
      </c>
      <c r="B99" s="18" t="s">
        <v>27</v>
      </c>
      <c r="C99" s="18">
        <v>27</v>
      </c>
      <c r="D99" s="18">
        <v>11.5</v>
      </c>
      <c r="E99" s="18">
        <v>0.25</v>
      </c>
      <c r="F99" s="18">
        <v>0.9</v>
      </c>
      <c r="G99" s="18" t="s">
        <v>12</v>
      </c>
      <c r="H99" s="18" t="s">
        <v>13</v>
      </c>
      <c r="I99" s="18">
        <v>0</v>
      </c>
      <c r="J99" s="18">
        <v>0</v>
      </c>
      <c r="K99">
        <v>2051</v>
      </c>
    </row>
    <row r="100" spans="1:11" hidden="1">
      <c r="A100" s="18">
        <v>95</v>
      </c>
      <c r="B100" s="18" t="s">
        <v>27</v>
      </c>
      <c r="C100" s="18">
        <v>26</v>
      </c>
      <c r="D100" s="18">
        <v>54</v>
      </c>
      <c r="E100" s="18">
        <v>0.32418039999999998</v>
      </c>
      <c r="F100" s="18">
        <v>0.9</v>
      </c>
      <c r="G100" s="18" t="s">
        <v>12</v>
      </c>
      <c r="H100" s="18" t="s">
        <v>13</v>
      </c>
      <c r="I100" s="18">
        <v>0</v>
      </c>
      <c r="J100" s="18">
        <v>0</v>
      </c>
      <c r="K100">
        <v>2051</v>
      </c>
    </row>
    <row r="101" spans="1:11" hidden="1">
      <c r="A101" s="18">
        <v>100</v>
      </c>
      <c r="B101" s="18" t="s">
        <v>27</v>
      </c>
      <c r="C101" s="18">
        <v>26</v>
      </c>
      <c r="D101" s="18">
        <v>48</v>
      </c>
      <c r="E101" s="18">
        <v>0.35828470000000001</v>
      </c>
      <c r="F101" s="18">
        <v>0.9</v>
      </c>
      <c r="G101" s="18" t="s">
        <v>12</v>
      </c>
      <c r="H101" s="18" t="s">
        <v>13</v>
      </c>
      <c r="I101" s="18">
        <v>0</v>
      </c>
      <c r="J101" s="18">
        <v>0</v>
      </c>
      <c r="K101">
        <v>2051</v>
      </c>
    </row>
    <row r="102" spans="1:11" hidden="1">
      <c r="A102" s="18">
        <v>119</v>
      </c>
      <c r="B102" s="18" t="s">
        <v>27</v>
      </c>
      <c r="C102" s="18">
        <v>26</v>
      </c>
      <c r="D102" s="18">
        <v>24.5</v>
      </c>
      <c r="E102" s="18">
        <v>0.32451750000000001</v>
      </c>
      <c r="F102" s="18">
        <v>0.9</v>
      </c>
      <c r="G102" s="18" t="s">
        <v>12</v>
      </c>
      <c r="H102" s="18" t="s">
        <v>13</v>
      </c>
      <c r="I102" s="18">
        <v>0</v>
      </c>
      <c r="J102" s="18">
        <v>0</v>
      </c>
      <c r="K102">
        <v>2051</v>
      </c>
    </row>
    <row r="103" spans="1:11" hidden="1">
      <c r="A103" s="18">
        <v>127</v>
      </c>
      <c r="B103" s="18" t="s">
        <v>27</v>
      </c>
      <c r="C103" s="18">
        <v>26</v>
      </c>
      <c r="D103" s="18">
        <v>3.74</v>
      </c>
      <c r="E103" s="18">
        <v>0.27</v>
      </c>
      <c r="F103" s="18">
        <v>0.7</v>
      </c>
      <c r="G103" s="18" t="s">
        <v>12</v>
      </c>
      <c r="H103" s="18" t="s">
        <v>13</v>
      </c>
      <c r="I103" s="18">
        <v>0</v>
      </c>
      <c r="J103" s="18">
        <v>0</v>
      </c>
      <c r="K103">
        <v>2051</v>
      </c>
    </row>
    <row r="104" spans="1:11" hidden="1">
      <c r="A104" s="18">
        <v>109</v>
      </c>
      <c r="B104" s="18" t="s">
        <v>27</v>
      </c>
      <c r="C104" s="18">
        <v>25</v>
      </c>
      <c r="D104" s="18">
        <v>33</v>
      </c>
      <c r="E104" s="18">
        <v>0.43584050000000002</v>
      </c>
      <c r="F104" s="18">
        <v>0.9</v>
      </c>
      <c r="G104" s="18" t="s">
        <v>12</v>
      </c>
      <c r="H104" s="18" t="s">
        <v>13</v>
      </c>
      <c r="I104" s="18">
        <v>0</v>
      </c>
      <c r="J104" s="18">
        <v>0</v>
      </c>
      <c r="K104">
        <v>2051</v>
      </c>
    </row>
    <row r="105" spans="1:11" hidden="1">
      <c r="A105" s="18">
        <v>124</v>
      </c>
      <c r="B105" s="18" t="s">
        <v>27</v>
      </c>
      <c r="C105" s="18">
        <v>25</v>
      </c>
      <c r="D105" s="18">
        <v>11.5</v>
      </c>
      <c r="E105" s="18">
        <v>0.35828470000000001</v>
      </c>
      <c r="F105" s="18">
        <v>0.9</v>
      </c>
      <c r="G105" s="18" t="s">
        <v>12</v>
      </c>
      <c r="H105" s="18" t="s">
        <v>13</v>
      </c>
      <c r="I105" s="18">
        <v>0</v>
      </c>
      <c r="J105" s="18">
        <v>0</v>
      </c>
      <c r="K105">
        <v>2051</v>
      </c>
    </row>
    <row r="106" spans="1:11" hidden="1">
      <c r="A106" s="18">
        <v>82</v>
      </c>
      <c r="B106" s="18" t="s">
        <v>27</v>
      </c>
      <c r="C106" s="18">
        <v>24</v>
      </c>
      <c r="D106" s="18">
        <v>247</v>
      </c>
      <c r="E106" s="18">
        <v>0.53</v>
      </c>
      <c r="F106" s="18">
        <v>0.9</v>
      </c>
      <c r="G106" s="18" t="s">
        <v>12</v>
      </c>
      <c r="H106" s="18" t="s">
        <v>13</v>
      </c>
      <c r="I106" s="18">
        <v>0</v>
      </c>
      <c r="J106" s="18">
        <v>0</v>
      </c>
      <c r="K106">
        <v>2051</v>
      </c>
    </row>
    <row r="107" spans="1:11" hidden="1">
      <c r="A107" s="18">
        <v>88</v>
      </c>
      <c r="B107" s="18" t="s">
        <v>27</v>
      </c>
      <c r="C107" s="18">
        <v>24</v>
      </c>
      <c r="D107" s="18">
        <v>110.366</v>
      </c>
      <c r="E107" s="18">
        <v>0.4</v>
      </c>
      <c r="F107" s="18">
        <v>0.5</v>
      </c>
      <c r="G107" s="18" t="s">
        <v>12</v>
      </c>
      <c r="H107" s="18" t="s">
        <v>13</v>
      </c>
      <c r="I107" s="18">
        <v>0</v>
      </c>
      <c r="J107" s="18">
        <v>0</v>
      </c>
      <c r="K107">
        <v>2051</v>
      </c>
    </row>
    <row r="108" spans="1:11" hidden="1">
      <c r="A108" s="18">
        <v>99</v>
      </c>
      <c r="B108" s="18" t="s">
        <v>27</v>
      </c>
      <c r="C108" s="18">
        <v>24</v>
      </c>
      <c r="D108" s="18">
        <v>49.456000000000003</v>
      </c>
      <c r="E108" s="18">
        <v>0.4</v>
      </c>
      <c r="F108" s="18">
        <v>0.9</v>
      </c>
      <c r="G108" s="18" t="s">
        <v>12</v>
      </c>
      <c r="H108" s="18" t="s">
        <v>13</v>
      </c>
      <c r="I108" s="18">
        <v>0</v>
      </c>
      <c r="J108" s="18">
        <v>0</v>
      </c>
      <c r="K108">
        <v>2051</v>
      </c>
    </row>
    <row r="109" spans="1:11" hidden="1">
      <c r="A109" s="18">
        <v>120</v>
      </c>
      <c r="B109" s="18" t="s">
        <v>27</v>
      </c>
      <c r="C109" s="18">
        <v>24</v>
      </c>
      <c r="D109" s="18">
        <v>16</v>
      </c>
      <c r="E109" s="18">
        <v>0.4</v>
      </c>
      <c r="F109" s="18">
        <v>0.9</v>
      </c>
      <c r="G109" s="18" t="s">
        <v>12</v>
      </c>
      <c r="H109" s="18" t="s">
        <v>13</v>
      </c>
      <c r="I109" s="18">
        <v>0</v>
      </c>
      <c r="J109" s="18">
        <v>0</v>
      </c>
      <c r="K109">
        <v>2051</v>
      </c>
    </row>
    <row r="110" spans="1:11" hidden="1">
      <c r="A110" s="18">
        <v>78</v>
      </c>
      <c r="B110" s="18" t="s">
        <v>27</v>
      </c>
      <c r="C110" s="18">
        <v>23</v>
      </c>
      <c r="D110" s="18">
        <v>369</v>
      </c>
      <c r="E110" s="18">
        <v>0.35</v>
      </c>
      <c r="F110" s="18">
        <v>0.9</v>
      </c>
      <c r="G110" s="18" t="s">
        <v>12</v>
      </c>
      <c r="H110" s="18" t="s">
        <v>13</v>
      </c>
      <c r="I110" s="18">
        <v>0</v>
      </c>
      <c r="J110" s="18">
        <v>0</v>
      </c>
      <c r="K110">
        <v>2051</v>
      </c>
    </row>
    <row r="111" spans="1:11" hidden="1">
      <c r="A111" s="18">
        <v>91</v>
      </c>
      <c r="B111" s="18" t="s">
        <v>27</v>
      </c>
      <c r="C111" s="18">
        <v>23</v>
      </c>
      <c r="D111" s="18">
        <v>97.64</v>
      </c>
      <c r="E111" s="18">
        <v>0.14599999999999999</v>
      </c>
      <c r="F111" s="18">
        <v>0.95</v>
      </c>
      <c r="G111" s="18" t="s">
        <v>12</v>
      </c>
      <c r="H111" s="18" t="s">
        <v>13</v>
      </c>
      <c r="I111" s="18">
        <v>0</v>
      </c>
      <c r="J111" s="18">
        <v>0</v>
      </c>
      <c r="K111">
        <v>2051</v>
      </c>
    </row>
    <row r="112" spans="1:11" hidden="1">
      <c r="A112" s="18">
        <v>92</v>
      </c>
      <c r="B112" s="18" t="s">
        <v>27</v>
      </c>
      <c r="C112" s="18">
        <v>23</v>
      </c>
      <c r="D112" s="18">
        <v>90.6</v>
      </c>
      <c r="E112" s="18">
        <v>0.36</v>
      </c>
      <c r="F112" s="18">
        <v>0.9</v>
      </c>
      <c r="G112" s="18" t="s">
        <v>12</v>
      </c>
      <c r="H112" s="18" t="s">
        <v>13</v>
      </c>
      <c r="I112" s="18">
        <v>0</v>
      </c>
      <c r="J112" s="18">
        <v>0</v>
      </c>
      <c r="K112">
        <v>2051</v>
      </c>
    </row>
    <row r="113" spans="1:11" hidden="1">
      <c r="A113" s="18">
        <v>105</v>
      </c>
      <c r="B113" s="18" t="s">
        <v>27</v>
      </c>
      <c r="C113" s="18">
        <v>23</v>
      </c>
      <c r="D113" s="18">
        <v>39</v>
      </c>
      <c r="E113" s="18">
        <v>0.32</v>
      </c>
      <c r="F113" s="18">
        <v>0.9</v>
      </c>
      <c r="G113" s="18" t="s">
        <v>12</v>
      </c>
      <c r="H113" s="18" t="s">
        <v>13</v>
      </c>
      <c r="I113" s="18">
        <v>0</v>
      </c>
      <c r="J113" s="18">
        <v>0</v>
      </c>
      <c r="K113">
        <v>2051</v>
      </c>
    </row>
    <row r="114" spans="1:11" hidden="1">
      <c r="A114" s="18">
        <v>118</v>
      </c>
      <c r="B114" s="18" t="s">
        <v>27</v>
      </c>
      <c r="C114" s="18">
        <v>22</v>
      </c>
      <c r="D114" s="18">
        <v>25</v>
      </c>
      <c r="E114" s="18">
        <v>0.32</v>
      </c>
      <c r="F114" s="18">
        <v>0.95</v>
      </c>
      <c r="G114" s="18" t="s">
        <v>12</v>
      </c>
      <c r="H114" s="18" t="s">
        <v>13</v>
      </c>
      <c r="I114" s="18">
        <v>0</v>
      </c>
      <c r="J114" s="18">
        <v>0</v>
      </c>
      <c r="K114">
        <v>2051</v>
      </c>
    </row>
    <row r="115" spans="1:11" hidden="1">
      <c r="A115" s="18">
        <v>79</v>
      </c>
      <c r="B115" s="18" t="s">
        <v>27</v>
      </c>
      <c r="C115" s="18">
        <v>21</v>
      </c>
      <c r="D115" s="18">
        <v>350</v>
      </c>
      <c r="E115" s="18">
        <v>0.45</v>
      </c>
      <c r="F115" s="18">
        <v>0.9</v>
      </c>
      <c r="G115" s="18" t="s">
        <v>12</v>
      </c>
      <c r="H115" s="18" t="s">
        <v>13</v>
      </c>
      <c r="I115" s="18">
        <v>0</v>
      </c>
      <c r="J115" s="18">
        <v>0</v>
      </c>
      <c r="K115">
        <v>2051</v>
      </c>
    </row>
    <row r="116" spans="1:11" hidden="1">
      <c r="A116" s="18">
        <v>96</v>
      </c>
      <c r="B116" s="18" t="s">
        <v>27</v>
      </c>
      <c r="C116" s="18">
        <v>21</v>
      </c>
      <c r="D116" s="18">
        <v>51.1</v>
      </c>
      <c r="E116" s="18">
        <v>0.27</v>
      </c>
      <c r="F116" s="18">
        <v>0.9</v>
      </c>
      <c r="G116" s="18" t="s">
        <v>12</v>
      </c>
      <c r="H116" s="18" t="s">
        <v>13</v>
      </c>
      <c r="I116" s="18">
        <v>0</v>
      </c>
      <c r="J116" s="18">
        <v>0</v>
      </c>
      <c r="K116">
        <v>2051</v>
      </c>
    </row>
    <row r="117" spans="1:11" hidden="1">
      <c r="A117" s="18">
        <v>81</v>
      </c>
      <c r="B117" s="18" t="s">
        <v>27</v>
      </c>
      <c r="C117" s="18">
        <v>20</v>
      </c>
      <c r="D117" s="18">
        <v>253</v>
      </c>
      <c r="E117" s="18">
        <v>0.41</v>
      </c>
      <c r="F117" s="18">
        <v>0.5</v>
      </c>
      <c r="G117" s="18" t="s">
        <v>12</v>
      </c>
      <c r="H117" s="18" t="s">
        <v>13</v>
      </c>
      <c r="I117" s="18">
        <v>0</v>
      </c>
      <c r="J117" s="18">
        <v>0</v>
      </c>
      <c r="K117">
        <v>2051</v>
      </c>
    </row>
    <row r="118" spans="1:11" hidden="1">
      <c r="A118" s="18">
        <v>89</v>
      </c>
      <c r="B118" s="18" t="s">
        <v>27</v>
      </c>
      <c r="C118" s="18">
        <v>20</v>
      </c>
      <c r="D118" s="18">
        <v>103.19799999999999</v>
      </c>
      <c r="E118" s="18">
        <v>0.41</v>
      </c>
      <c r="F118" s="18">
        <v>0.5</v>
      </c>
      <c r="G118" s="18" t="s">
        <v>12</v>
      </c>
      <c r="H118" s="18" t="s">
        <v>13</v>
      </c>
      <c r="I118" s="18">
        <v>0</v>
      </c>
      <c r="J118" s="18">
        <v>0</v>
      </c>
      <c r="K118">
        <v>2051</v>
      </c>
    </row>
    <row r="119" spans="1:11" hidden="1">
      <c r="A119" s="18">
        <v>102</v>
      </c>
      <c r="B119" s="18" t="s">
        <v>27</v>
      </c>
      <c r="C119" s="18">
        <v>20</v>
      </c>
      <c r="D119" s="18">
        <v>44.485999999999997</v>
      </c>
      <c r="E119" s="18">
        <v>0.41</v>
      </c>
      <c r="F119" s="18">
        <v>0.9</v>
      </c>
      <c r="G119" s="18" t="s">
        <v>12</v>
      </c>
      <c r="H119" s="18" t="s">
        <v>13</v>
      </c>
      <c r="I119" s="18">
        <v>0</v>
      </c>
      <c r="J119" s="18">
        <v>0</v>
      </c>
      <c r="K119">
        <v>2051</v>
      </c>
    </row>
    <row r="120" spans="1:11" hidden="1">
      <c r="A120" s="18">
        <v>121</v>
      </c>
      <c r="B120" s="18" t="s">
        <v>27</v>
      </c>
      <c r="C120" s="18">
        <v>20</v>
      </c>
      <c r="D120" s="18">
        <v>15</v>
      </c>
      <c r="E120" s="18">
        <v>0.41</v>
      </c>
      <c r="F120" s="18">
        <v>0.9</v>
      </c>
      <c r="G120" s="18" t="s">
        <v>12</v>
      </c>
      <c r="H120" s="18" t="s">
        <v>13</v>
      </c>
      <c r="I120" s="18">
        <v>0</v>
      </c>
      <c r="J120" s="18">
        <v>0</v>
      </c>
      <c r="K120">
        <v>2051</v>
      </c>
    </row>
    <row r="121" spans="1:11" hidden="1">
      <c r="A121" s="18">
        <v>104</v>
      </c>
      <c r="B121" s="18" t="s">
        <v>27</v>
      </c>
      <c r="C121" s="18">
        <v>17</v>
      </c>
      <c r="D121" s="18">
        <v>43</v>
      </c>
      <c r="E121" s="18">
        <v>0.32</v>
      </c>
      <c r="F121" s="18">
        <v>0.9</v>
      </c>
      <c r="G121" s="18" t="s">
        <v>12</v>
      </c>
      <c r="H121" s="18" t="s">
        <v>13</v>
      </c>
      <c r="I121" s="18">
        <v>0</v>
      </c>
      <c r="J121" s="18">
        <v>0</v>
      </c>
      <c r="K121">
        <v>2051</v>
      </c>
    </row>
    <row r="122" spans="1:11" hidden="1">
      <c r="A122" s="18">
        <v>113</v>
      </c>
      <c r="B122" s="18" t="s">
        <v>27</v>
      </c>
      <c r="C122" s="18">
        <v>17</v>
      </c>
      <c r="D122" s="18">
        <v>27.5</v>
      </c>
      <c r="E122" s="18">
        <v>0.2621211</v>
      </c>
      <c r="F122" s="18">
        <v>0.95</v>
      </c>
      <c r="G122" s="18" t="s">
        <v>12</v>
      </c>
      <c r="H122" s="18" t="s">
        <v>13</v>
      </c>
      <c r="I122" s="18">
        <v>0</v>
      </c>
      <c r="J122" s="18">
        <v>0</v>
      </c>
      <c r="K122">
        <v>2051</v>
      </c>
    </row>
    <row r="123" spans="1:11" hidden="1">
      <c r="A123" s="18">
        <v>80</v>
      </c>
      <c r="B123" s="18" t="s">
        <v>27</v>
      </c>
      <c r="C123" s="18">
        <v>15</v>
      </c>
      <c r="D123" s="18">
        <v>310</v>
      </c>
      <c r="E123" s="18">
        <v>0.26</v>
      </c>
      <c r="F123" s="18">
        <v>0.9</v>
      </c>
      <c r="G123" s="18" t="s">
        <v>12</v>
      </c>
      <c r="H123" s="18" t="s">
        <v>13</v>
      </c>
      <c r="I123" s="18">
        <v>0</v>
      </c>
      <c r="J123" s="18">
        <v>0</v>
      </c>
      <c r="K123">
        <v>2051</v>
      </c>
    </row>
    <row r="124" spans="1:11" hidden="1">
      <c r="A124" s="18">
        <v>103</v>
      </c>
      <c r="B124" s="18" t="s">
        <v>27</v>
      </c>
      <c r="C124" s="18">
        <v>15</v>
      </c>
      <c r="D124" s="18">
        <v>43.76</v>
      </c>
      <c r="E124" s="18">
        <v>0.25</v>
      </c>
      <c r="F124" s="18">
        <v>0.25</v>
      </c>
      <c r="G124" s="18" t="s">
        <v>12</v>
      </c>
      <c r="H124" s="18" t="s">
        <v>13</v>
      </c>
      <c r="I124" s="18">
        <v>0</v>
      </c>
      <c r="J124" s="18">
        <v>0</v>
      </c>
      <c r="K124">
        <v>2051</v>
      </c>
    </row>
    <row r="125" spans="1:11" hidden="1">
      <c r="A125" s="18">
        <v>126</v>
      </c>
      <c r="B125" s="18" t="s">
        <v>27</v>
      </c>
      <c r="C125" s="18">
        <v>6</v>
      </c>
      <c r="D125" s="18">
        <v>9.1999999999999993</v>
      </c>
      <c r="E125" s="18">
        <v>0.32</v>
      </c>
      <c r="F125" s="18">
        <v>0.5</v>
      </c>
      <c r="G125" s="18" t="s">
        <v>12</v>
      </c>
      <c r="H125" s="18" t="s">
        <v>13</v>
      </c>
      <c r="I125" s="18">
        <v>0</v>
      </c>
      <c r="J125" s="18">
        <v>0</v>
      </c>
      <c r="K125">
        <v>2051</v>
      </c>
    </row>
    <row r="126" spans="1:11" hidden="1">
      <c r="A126" s="18">
        <v>196</v>
      </c>
      <c r="B126" s="18" t="s">
        <v>31</v>
      </c>
      <c r="C126" s="18">
        <v>15</v>
      </c>
      <c r="D126" s="18">
        <v>413.43299999999999</v>
      </c>
      <c r="E126" s="18">
        <v>1</v>
      </c>
      <c r="F126" s="18">
        <v>1</v>
      </c>
      <c r="G126" s="18" t="s">
        <v>12</v>
      </c>
      <c r="H126" s="18" t="s">
        <v>13</v>
      </c>
      <c r="I126" s="18">
        <v>0</v>
      </c>
      <c r="J126" s="18">
        <v>0</v>
      </c>
    </row>
    <row r="127" spans="1:11" hidden="1">
      <c r="A127" s="18">
        <v>133</v>
      </c>
      <c r="B127" s="18" t="s">
        <v>28</v>
      </c>
      <c r="C127" s="18">
        <v>14</v>
      </c>
      <c r="D127" s="18">
        <v>41.279000000000003</v>
      </c>
      <c r="E127" s="18">
        <v>1</v>
      </c>
      <c r="F127" s="18">
        <v>1</v>
      </c>
      <c r="G127" s="18" t="s">
        <v>12</v>
      </c>
      <c r="H127" s="18" t="s">
        <v>13</v>
      </c>
      <c r="I127" s="18">
        <v>0</v>
      </c>
      <c r="J127" s="18">
        <v>0</v>
      </c>
    </row>
    <row r="128" spans="1:11" hidden="1">
      <c r="A128" s="18">
        <v>204</v>
      </c>
      <c r="B128" s="18" t="s">
        <v>31</v>
      </c>
      <c r="C128" s="18">
        <v>14</v>
      </c>
      <c r="D128" s="18">
        <v>285.59800000000001</v>
      </c>
      <c r="E128" s="18">
        <v>1</v>
      </c>
      <c r="F128" s="18">
        <v>1</v>
      </c>
      <c r="G128" s="18" t="s">
        <v>12</v>
      </c>
      <c r="H128" s="18" t="s">
        <v>13</v>
      </c>
      <c r="I128" s="18">
        <v>0</v>
      </c>
      <c r="J128" s="18">
        <v>0</v>
      </c>
    </row>
    <row r="129" spans="1:10" hidden="1">
      <c r="A129" s="18">
        <v>203</v>
      </c>
      <c r="B129" s="18" t="s">
        <v>31</v>
      </c>
      <c r="C129" s="18">
        <v>13</v>
      </c>
      <c r="D129" s="18">
        <v>317.36399999999998</v>
      </c>
      <c r="E129" s="18">
        <v>1</v>
      </c>
      <c r="F129" s="18">
        <v>1</v>
      </c>
      <c r="G129" s="18" t="s">
        <v>12</v>
      </c>
      <c r="H129" s="18" t="s">
        <v>13</v>
      </c>
      <c r="I129" s="18">
        <v>0</v>
      </c>
      <c r="J129" s="18">
        <v>0</v>
      </c>
    </row>
    <row r="130" spans="1:10" hidden="1">
      <c r="A130" s="18">
        <v>193</v>
      </c>
      <c r="B130" s="18" t="s">
        <v>31</v>
      </c>
      <c r="C130" s="18">
        <v>12</v>
      </c>
      <c r="D130" s="18">
        <v>442.11399999999998</v>
      </c>
      <c r="E130" s="18">
        <v>1</v>
      </c>
      <c r="F130" s="18">
        <v>1</v>
      </c>
      <c r="G130" s="18" t="s">
        <v>12</v>
      </c>
      <c r="H130" s="18" t="s">
        <v>13</v>
      </c>
      <c r="I130" s="18">
        <v>0</v>
      </c>
      <c r="J130" s="18">
        <v>0</v>
      </c>
    </row>
    <row r="131" spans="1:10" hidden="1">
      <c r="A131" s="18">
        <v>208</v>
      </c>
      <c r="B131" s="18" t="s">
        <v>31</v>
      </c>
      <c r="C131" s="18">
        <v>10</v>
      </c>
      <c r="D131" s="18">
        <v>157.977</v>
      </c>
      <c r="E131" s="18">
        <v>1</v>
      </c>
      <c r="F131" s="18">
        <v>1</v>
      </c>
      <c r="G131" s="18" t="s">
        <v>12</v>
      </c>
      <c r="H131" s="18" t="s">
        <v>13</v>
      </c>
      <c r="I131" s="18">
        <v>0</v>
      </c>
      <c r="J131" s="18">
        <v>0</v>
      </c>
    </row>
    <row r="132" spans="1:10" hidden="1">
      <c r="A132" s="18">
        <v>170</v>
      </c>
      <c r="B132" s="18" t="s">
        <v>30</v>
      </c>
      <c r="C132" s="18">
        <v>8</v>
      </c>
      <c r="D132" s="18">
        <v>270.87700000000001</v>
      </c>
      <c r="E132" s="18">
        <v>1</v>
      </c>
      <c r="F132" s="18">
        <v>1</v>
      </c>
      <c r="G132" s="18" t="s">
        <v>12</v>
      </c>
      <c r="H132" s="18" t="s">
        <v>13</v>
      </c>
      <c r="I132" s="18">
        <v>0</v>
      </c>
      <c r="J132" s="18">
        <v>0</v>
      </c>
    </row>
    <row r="133" spans="1:10" hidden="1">
      <c r="A133" s="18">
        <v>206</v>
      </c>
      <c r="B133" s="18" t="s">
        <v>31</v>
      </c>
      <c r="C133" s="18">
        <v>8</v>
      </c>
      <c r="D133" s="18">
        <v>203.58</v>
      </c>
      <c r="E133" s="18">
        <v>1</v>
      </c>
      <c r="F133" s="18">
        <v>1</v>
      </c>
      <c r="G133" s="18" t="s">
        <v>12</v>
      </c>
      <c r="H133" s="18" t="s">
        <v>13</v>
      </c>
      <c r="I133" s="18">
        <v>0</v>
      </c>
      <c r="J133" s="18">
        <v>0</v>
      </c>
    </row>
    <row r="134" spans="1:10" hidden="1">
      <c r="A134" s="18">
        <v>169</v>
      </c>
      <c r="B134" s="18" t="s">
        <v>30</v>
      </c>
      <c r="C134" s="18">
        <v>7</v>
      </c>
      <c r="D134" s="18">
        <v>377.86700000000002</v>
      </c>
      <c r="E134" s="18">
        <v>1</v>
      </c>
      <c r="F134" s="18">
        <v>1</v>
      </c>
      <c r="G134" s="18" t="s">
        <v>12</v>
      </c>
      <c r="H134" s="18" t="s">
        <v>13</v>
      </c>
      <c r="I134" s="18">
        <v>0</v>
      </c>
      <c r="J134" s="18">
        <v>0</v>
      </c>
    </row>
    <row r="135" spans="1:10" hidden="1">
      <c r="A135" s="18">
        <v>168</v>
      </c>
      <c r="B135" s="18" t="s">
        <v>30</v>
      </c>
      <c r="C135" s="18">
        <v>6</v>
      </c>
      <c r="D135" s="18">
        <v>492.642</v>
      </c>
      <c r="E135" s="18">
        <v>1</v>
      </c>
      <c r="F135" s="18">
        <v>1</v>
      </c>
      <c r="G135" s="18" t="s">
        <v>12</v>
      </c>
      <c r="H135" s="18" t="s">
        <v>13</v>
      </c>
      <c r="I135" s="18">
        <v>0</v>
      </c>
      <c r="J135" s="18">
        <v>0</v>
      </c>
    </row>
    <row r="136" spans="1:10" hidden="1">
      <c r="A136" s="18">
        <v>167</v>
      </c>
      <c r="B136" s="18" t="s">
        <v>30</v>
      </c>
      <c r="C136" s="18">
        <v>5</v>
      </c>
      <c r="D136" s="18">
        <v>498.2</v>
      </c>
      <c r="E136" s="18">
        <v>1</v>
      </c>
      <c r="F136" s="18">
        <v>1</v>
      </c>
      <c r="G136" s="18" t="s">
        <v>12</v>
      </c>
      <c r="H136" s="18" t="s">
        <v>13</v>
      </c>
      <c r="I136" s="18">
        <v>0</v>
      </c>
      <c r="J136" s="18">
        <v>0</v>
      </c>
    </row>
    <row r="137" spans="1:10" hidden="1">
      <c r="A137" s="18">
        <v>207</v>
      </c>
      <c r="B137" s="18" t="s">
        <v>31</v>
      </c>
      <c r="C137" s="18">
        <v>5</v>
      </c>
      <c r="D137" s="18">
        <v>162.80099999999999</v>
      </c>
      <c r="E137" s="18">
        <v>1</v>
      </c>
      <c r="F137" s="18">
        <v>1</v>
      </c>
      <c r="G137" s="18" t="s">
        <v>12</v>
      </c>
      <c r="H137" s="18" t="s">
        <v>13</v>
      </c>
      <c r="I137" s="18">
        <v>0</v>
      </c>
      <c r="J137" s="18">
        <v>0</v>
      </c>
    </row>
    <row r="138" spans="1:10" hidden="1">
      <c r="A138" s="18">
        <v>161</v>
      </c>
      <c r="B138" s="18" t="s">
        <v>30</v>
      </c>
      <c r="C138" s="18">
        <v>4</v>
      </c>
      <c r="D138" s="18">
        <v>633.91399999999999</v>
      </c>
      <c r="E138" s="18">
        <v>1</v>
      </c>
      <c r="F138" s="18">
        <v>1</v>
      </c>
      <c r="G138" s="18" t="s">
        <v>12</v>
      </c>
      <c r="H138" s="18" t="s">
        <v>13</v>
      </c>
      <c r="I138" s="18">
        <v>0</v>
      </c>
      <c r="J138" s="18">
        <v>0</v>
      </c>
    </row>
    <row r="139" spans="1:10" hidden="1">
      <c r="A139" s="18">
        <v>201</v>
      </c>
      <c r="B139" s="18" t="s">
        <v>31</v>
      </c>
      <c r="C139" s="18">
        <v>4</v>
      </c>
      <c r="D139" s="18">
        <v>331.66300000000001</v>
      </c>
      <c r="E139" s="18">
        <v>1</v>
      </c>
      <c r="F139" s="18">
        <v>1</v>
      </c>
      <c r="G139" s="18" t="s">
        <v>12</v>
      </c>
      <c r="H139" s="18" t="s">
        <v>13</v>
      </c>
      <c r="I139" s="18">
        <v>0</v>
      </c>
      <c r="J139" s="18">
        <v>0</v>
      </c>
    </row>
    <row r="140" spans="1:10" hidden="1">
      <c r="A140" s="18">
        <v>166</v>
      </c>
      <c r="B140" s="18" t="s">
        <v>30</v>
      </c>
      <c r="C140" s="18">
        <v>3</v>
      </c>
      <c r="D140" s="18">
        <v>588.56900000000007</v>
      </c>
      <c r="E140" s="18">
        <v>1</v>
      </c>
      <c r="F140" s="18">
        <v>1</v>
      </c>
      <c r="G140" s="18" t="s">
        <v>12</v>
      </c>
      <c r="H140" s="18" t="s">
        <v>13</v>
      </c>
      <c r="I140" s="18">
        <v>0</v>
      </c>
      <c r="J140" s="18">
        <v>0</v>
      </c>
    </row>
    <row r="141" spans="1:10" hidden="1">
      <c r="A141" s="18">
        <v>189</v>
      </c>
      <c r="B141" s="18" t="s">
        <v>31</v>
      </c>
      <c r="C141" s="18">
        <v>3</v>
      </c>
      <c r="D141" s="18">
        <v>551.90700000000004</v>
      </c>
      <c r="E141" s="18">
        <v>1</v>
      </c>
      <c r="F141" s="18">
        <v>1</v>
      </c>
      <c r="G141" s="18" t="s">
        <v>12</v>
      </c>
      <c r="H141" s="18" t="s">
        <v>13</v>
      </c>
      <c r="I141" s="18">
        <v>0</v>
      </c>
      <c r="J141" s="18">
        <v>0</v>
      </c>
    </row>
    <row r="142" spans="1:10" hidden="1">
      <c r="A142" s="18">
        <v>158</v>
      </c>
      <c r="B142" s="18" t="s">
        <v>30</v>
      </c>
      <c r="C142" s="18">
        <v>2</v>
      </c>
      <c r="D142" s="18">
        <v>1527.3040000000001</v>
      </c>
      <c r="E142" s="18">
        <v>1</v>
      </c>
      <c r="F142" s="18">
        <v>1</v>
      </c>
      <c r="G142" s="18" t="s">
        <v>12</v>
      </c>
      <c r="H142" s="18" t="s">
        <v>13</v>
      </c>
      <c r="I142" s="18">
        <v>0</v>
      </c>
      <c r="J142" s="18">
        <v>0</v>
      </c>
    </row>
    <row r="143" spans="1:10" hidden="1">
      <c r="A143" s="18">
        <v>195</v>
      </c>
      <c r="B143" s="18" t="s">
        <v>31</v>
      </c>
      <c r="C143" s="18">
        <v>2</v>
      </c>
      <c r="D143" s="18">
        <v>425.90300000000002</v>
      </c>
      <c r="E143" s="18">
        <v>1</v>
      </c>
      <c r="F143" s="18">
        <v>1</v>
      </c>
      <c r="G143" s="18" t="s">
        <v>12</v>
      </c>
      <c r="H143" s="18" t="s">
        <v>13</v>
      </c>
      <c r="I143" s="18">
        <v>0</v>
      </c>
      <c r="J143" s="18">
        <v>0</v>
      </c>
    </row>
    <row r="144" spans="1:10" hidden="1">
      <c r="A144" s="18">
        <v>145</v>
      </c>
      <c r="B144" s="18" t="s">
        <v>30</v>
      </c>
      <c r="C144" s="18">
        <v>1</v>
      </c>
      <c r="D144" s="18">
        <v>2400.5369999999998</v>
      </c>
      <c r="E144" s="18">
        <v>1</v>
      </c>
      <c r="F144" s="18">
        <v>1</v>
      </c>
      <c r="G144" s="18" t="s">
        <v>12</v>
      </c>
      <c r="H144" s="18" t="s">
        <v>13</v>
      </c>
      <c r="I144" s="18">
        <v>0</v>
      </c>
      <c r="J144" s="18">
        <v>0</v>
      </c>
    </row>
    <row r="145" spans="1:10" hidden="1">
      <c r="A145" s="18">
        <v>199</v>
      </c>
      <c r="B145" t="s">
        <v>31</v>
      </c>
      <c r="C145">
        <v>1</v>
      </c>
      <c r="D145">
        <v>341.774</v>
      </c>
      <c r="E145">
        <v>1</v>
      </c>
      <c r="F145">
        <v>1</v>
      </c>
      <c r="G145" t="s">
        <v>12</v>
      </c>
      <c r="H145" t="s">
        <v>13</v>
      </c>
      <c r="I145">
        <v>0</v>
      </c>
      <c r="J145">
        <v>0</v>
      </c>
    </row>
    <row r="146" spans="1:10" hidden="1">
      <c r="A146" s="18">
        <v>143</v>
      </c>
      <c r="B146" t="s">
        <v>30</v>
      </c>
      <c r="C146">
        <v>0</v>
      </c>
      <c r="D146">
        <v>3095.0839999999998</v>
      </c>
      <c r="E146">
        <v>1</v>
      </c>
      <c r="F146">
        <v>1</v>
      </c>
      <c r="G146" t="s">
        <v>12</v>
      </c>
      <c r="H146" t="s">
        <v>13</v>
      </c>
      <c r="I146">
        <v>0</v>
      </c>
      <c r="J146">
        <v>0</v>
      </c>
    </row>
    <row r="147" spans="1:10" hidden="1">
      <c r="A147" s="18">
        <v>181</v>
      </c>
      <c r="B147" t="s">
        <v>14</v>
      </c>
      <c r="C147">
        <v>0</v>
      </c>
      <c r="D147">
        <v>1285.4280000000001</v>
      </c>
      <c r="E147">
        <v>1</v>
      </c>
      <c r="F147">
        <v>1</v>
      </c>
      <c r="G147" t="s">
        <v>12</v>
      </c>
      <c r="H147" t="s">
        <v>13</v>
      </c>
      <c r="I147">
        <v>0</v>
      </c>
      <c r="J147">
        <v>0</v>
      </c>
    </row>
    <row r="148" spans="1:10" hidden="1">
      <c r="A148" s="18">
        <v>190</v>
      </c>
      <c r="B148" t="s">
        <v>31</v>
      </c>
      <c r="C148">
        <v>0</v>
      </c>
      <c r="D148">
        <v>518.94199999999989</v>
      </c>
      <c r="E148">
        <v>1</v>
      </c>
      <c r="F148">
        <v>1</v>
      </c>
      <c r="G148" t="s">
        <v>12</v>
      </c>
      <c r="H148" t="s">
        <v>13</v>
      </c>
      <c r="I148">
        <v>0</v>
      </c>
      <c r="J148">
        <v>0</v>
      </c>
    </row>
    <row r="149" spans="1:10" hidden="1">
      <c r="A149" s="18">
        <v>146</v>
      </c>
      <c r="B149" t="s">
        <v>30</v>
      </c>
      <c r="C149">
        <v>-1</v>
      </c>
      <c r="D149">
        <v>2189.3090000000002</v>
      </c>
      <c r="E149">
        <v>1</v>
      </c>
      <c r="F149">
        <v>1</v>
      </c>
      <c r="G149" t="s">
        <v>12</v>
      </c>
      <c r="H149" t="s">
        <v>13</v>
      </c>
      <c r="I149">
        <v>0</v>
      </c>
      <c r="J149">
        <v>0</v>
      </c>
    </row>
    <row r="150" spans="1:10" hidden="1">
      <c r="A150" s="18">
        <v>184</v>
      </c>
      <c r="B150" t="s">
        <v>14</v>
      </c>
      <c r="C150">
        <v>-1</v>
      </c>
      <c r="D150">
        <v>730.97299999999996</v>
      </c>
      <c r="E150">
        <v>1</v>
      </c>
      <c r="F150">
        <v>1</v>
      </c>
      <c r="G150" t="s">
        <v>12</v>
      </c>
      <c r="H150" t="s">
        <v>13</v>
      </c>
      <c r="I150">
        <v>0</v>
      </c>
      <c r="J150">
        <v>0</v>
      </c>
    </row>
    <row r="151" spans="1:10" hidden="1">
      <c r="A151" s="18">
        <v>200</v>
      </c>
      <c r="B151" t="s">
        <v>31</v>
      </c>
      <c r="C151">
        <v>-1</v>
      </c>
      <c r="D151">
        <v>334.80099999999999</v>
      </c>
      <c r="E151">
        <v>1</v>
      </c>
      <c r="F151">
        <v>1</v>
      </c>
      <c r="G151" t="s">
        <v>12</v>
      </c>
      <c r="H151" t="s">
        <v>13</v>
      </c>
      <c r="I151">
        <v>0</v>
      </c>
      <c r="J151">
        <v>0</v>
      </c>
    </row>
    <row r="152" spans="1:10" hidden="1">
      <c r="A152" s="18">
        <v>147</v>
      </c>
      <c r="B152" t="s">
        <v>30</v>
      </c>
      <c r="C152">
        <v>-2</v>
      </c>
      <c r="D152">
        <v>2172.3150000000001</v>
      </c>
      <c r="E152">
        <v>1</v>
      </c>
      <c r="F152">
        <v>1</v>
      </c>
      <c r="G152" t="s">
        <v>12</v>
      </c>
      <c r="H152" t="s">
        <v>13</v>
      </c>
      <c r="I152">
        <v>0</v>
      </c>
      <c r="J152">
        <v>0</v>
      </c>
    </row>
    <row r="153" spans="1:10" hidden="1">
      <c r="A153" s="18">
        <v>183</v>
      </c>
      <c r="B153" t="s">
        <v>14</v>
      </c>
      <c r="C153">
        <v>-2</v>
      </c>
      <c r="D153">
        <v>759.91399999999999</v>
      </c>
      <c r="E153">
        <v>1</v>
      </c>
      <c r="F153">
        <v>1</v>
      </c>
      <c r="G153" t="s">
        <v>12</v>
      </c>
      <c r="H153" t="s">
        <v>13</v>
      </c>
      <c r="I153">
        <v>0</v>
      </c>
      <c r="J153">
        <v>0</v>
      </c>
    </row>
    <row r="154" spans="1:10" hidden="1">
      <c r="A154" s="18">
        <v>198</v>
      </c>
      <c r="B154" t="s">
        <v>31</v>
      </c>
      <c r="C154">
        <v>-2</v>
      </c>
      <c r="D154">
        <v>373.048</v>
      </c>
      <c r="E154">
        <v>1</v>
      </c>
      <c r="F154">
        <v>1</v>
      </c>
      <c r="G154" t="s">
        <v>12</v>
      </c>
      <c r="H154" t="s">
        <v>13</v>
      </c>
      <c r="I154">
        <v>0</v>
      </c>
      <c r="J154">
        <v>0</v>
      </c>
    </row>
    <row r="155" spans="1:10" hidden="1">
      <c r="A155" s="18">
        <v>142</v>
      </c>
      <c r="B155" t="s">
        <v>30</v>
      </c>
      <c r="C155">
        <v>-3</v>
      </c>
      <c r="D155">
        <v>3929.3530000000001</v>
      </c>
      <c r="E155">
        <v>1</v>
      </c>
      <c r="F155">
        <v>1</v>
      </c>
      <c r="G155" t="s">
        <v>12</v>
      </c>
      <c r="H155" t="s">
        <v>13</v>
      </c>
      <c r="I155">
        <v>0</v>
      </c>
      <c r="J155">
        <v>0</v>
      </c>
    </row>
    <row r="156" spans="1:10" hidden="1">
      <c r="A156" s="18">
        <v>182</v>
      </c>
      <c r="B156" t="s">
        <v>14</v>
      </c>
      <c r="C156">
        <v>-3</v>
      </c>
      <c r="D156">
        <v>759.91399999999999</v>
      </c>
      <c r="E156">
        <v>1</v>
      </c>
      <c r="F156">
        <v>1</v>
      </c>
      <c r="G156" t="s">
        <v>12</v>
      </c>
      <c r="H156" t="s">
        <v>13</v>
      </c>
      <c r="I156">
        <v>0</v>
      </c>
      <c r="J156">
        <v>0</v>
      </c>
    </row>
    <row r="157" spans="1:10" hidden="1">
      <c r="A157" s="18">
        <v>191</v>
      </c>
      <c r="B157" t="s">
        <v>31</v>
      </c>
      <c r="C157">
        <v>-3</v>
      </c>
      <c r="D157">
        <v>466.59400000000011</v>
      </c>
      <c r="E157">
        <v>1</v>
      </c>
      <c r="F157">
        <v>1</v>
      </c>
      <c r="G157" t="s">
        <v>12</v>
      </c>
      <c r="H157" t="s">
        <v>13</v>
      </c>
      <c r="I157">
        <v>0</v>
      </c>
      <c r="J157">
        <v>0</v>
      </c>
    </row>
    <row r="158" spans="1:10" hidden="1">
      <c r="A158" s="18">
        <v>144</v>
      </c>
      <c r="B158" t="s">
        <v>30</v>
      </c>
      <c r="C158">
        <v>-4</v>
      </c>
      <c r="D158">
        <v>3059.9859999999999</v>
      </c>
      <c r="E158">
        <v>1</v>
      </c>
      <c r="F158">
        <v>1</v>
      </c>
      <c r="G158" t="s">
        <v>12</v>
      </c>
      <c r="H158" t="s">
        <v>13</v>
      </c>
      <c r="I158">
        <v>0</v>
      </c>
      <c r="J158">
        <v>0</v>
      </c>
    </row>
    <row r="159" spans="1:10" hidden="1">
      <c r="A159" s="18">
        <v>185</v>
      </c>
      <c r="B159" t="s">
        <v>14</v>
      </c>
      <c r="C159">
        <v>-4</v>
      </c>
      <c r="D159">
        <v>681.26900000000001</v>
      </c>
      <c r="E159">
        <v>1</v>
      </c>
      <c r="F159">
        <v>1</v>
      </c>
      <c r="G159" t="s">
        <v>12</v>
      </c>
      <c r="H159" t="s">
        <v>13</v>
      </c>
      <c r="I159">
        <v>0</v>
      </c>
      <c r="J159">
        <v>0</v>
      </c>
    </row>
    <row r="160" spans="1:10" hidden="1">
      <c r="A160" s="18">
        <v>194</v>
      </c>
      <c r="B160" t="s">
        <v>31</v>
      </c>
      <c r="C160">
        <v>-4</v>
      </c>
      <c r="D160">
        <v>438.00599999999997</v>
      </c>
      <c r="E160">
        <v>1</v>
      </c>
      <c r="F160">
        <v>1</v>
      </c>
      <c r="G160" t="s">
        <v>12</v>
      </c>
      <c r="H160" t="s">
        <v>13</v>
      </c>
      <c r="I160">
        <v>0</v>
      </c>
      <c r="J160">
        <v>0</v>
      </c>
    </row>
    <row r="161" spans="1:10" hidden="1">
      <c r="A161" s="18">
        <v>159</v>
      </c>
      <c r="B161" t="s">
        <v>30</v>
      </c>
      <c r="C161">
        <v>-5</v>
      </c>
      <c r="D161">
        <v>1437.24</v>
      </c>
      <c r="E161">
        <v>1</v>
      </c>
      <c r="F161">
        <v>1</v>
      </c>
      <c r="G161" t="s">
        <v>12</v>
      </c>
      <c r="H161" t="s">
        <v>13</v>
      </c>
      <c r="I161">
        <v>0</v>
      </c>
      <c r="J161">
        <v>0</v>
      </c>
    </row>
    <row r="162" spans="1:10" hidden="1">
      <c r="A162" s="18">
        <v>186</v>
      </c>
      <c r="B162" t="s">
        <v>14</v>
      </c>
      <c r="C162">
        <v>-5</v>
      </c>
      <c r="D162">
        <v>681.1</v>
      </c>
      <c r="E162">
        <v>1</v>
      </c>
      <c r="F162">
        <v>1</v>
      </c>
      <c r="G162" t="s">
        <v>12</v>
      </c>
      <c r="H162" t="s">
        <v>13</v>
      </c>
      <c r="I162">
        <v>0</v>
      </c>
      <c r="J162">
        <v>0</v>
      </c>
    </row>
    <row r="163" spans="1:10" hidden="1">
      <c r="A163" s="18">
        <v>197</v>
      </c>
      <c r="B163" t="s">
        <v>31</v>
      </c>
      <c r="C163">
        <v>-5</v>
      </c>
      <c r="D163">
        <v>398.09400000000011</v>
      </c>
      <c r="E163">
        <v>1</v>
      </c>
      <c r="F163">
        <v>1</v>
      </c>
      <c r="G163" t="s">
        <v>12</v>
      </c>
      <c r="H163" t="s">
        <v>13</v>
      </c>
      <c r="I163">
        <v>0</v>
      </c>
      <c r="J163">
        <v>0</v>
      </c>
    </row>
    <row r="164" spans="1:10" hidden="1">
      <c r="A164" s="18">
        <v>21</v>
      </c>
      <c r="B164" t="s">
        <v>25</v>
      </c>
      <c r="C164">
        <v>-6</v>
      </c>
      <c r="D164">
        <v>1.488</v>
      </c>
      <c r="E164">
        <v>0.3</v>
      </c>
      <c r="F164">
        <v>0.74200913242009103</v>
      </c>
      <c r="G164" t="s">
        <v>12</v>
      </c>
      <c r="H164" t="s">
        <v>13</v>
      </c>
      <c r="I164">
        <v>0</v>
      </c>
      <c r="J164">
        <v>0</v>
      </c>
    </row>
    <row r="165" spans="1:10" hidden="1">
      <c r="A165" s="18">
        <v>160</v>
      </c>
      <c r="B165" t="s">
        <v>30</v>
      </c>
      <c r="C165">
        <v>-6</v>
      </c>
      <c r="D165">
        <v>657.84700000000009</v>
      </c>
      <c r="E165">
        <v>1</v>
      </c>
      <c r="F165">
        <v>1</v>
      </c>
      <c r="G165" t="s">
        <v>12</v>
      </c>
      <c r="H165" t="s">
        <v>13</v>
      </c>
      <c r="I165">
        <v>0</v>
      </c>
      <c r="J165">
        <v>0</v>
      </c>
    </row>
    <row r="166" spans="1:10" hidden="1">
      <c r="A166" s="18">
        <v>187</v>
      </c>
      <c r="B166" t="s">
        <v>14</v>
      </c>
      <c r="C166">
        <v>-6</v>
      </c>
      <c r="D166">
        <v>680.92700000000002</v>
      </c>
      <c r="E166">
        <v>1</v>
      </c>
      <c r="F166">
        <v>1</v>
      </c>
      <c r="G166" t="s">
        <v>12</v>
      </c>
      <c r="H166" t="s">
        <v>13</v>
      </c>
      <c r="I166">
        <v>0</v>
      </c>
      <c r="J166">
        <v>0</v>
      </c>
    </row>
    <row r="167" spans="1:10" hidden="1">
      <c r="A167" s="18">
        <v>192</v>
      </c>
      <c r="B167" t="s">
        <v>31</v>
      </c>
      <c r="C167">
        <v>-6</v>
      </c>
      <c r="D167">
        <v>461.98899999999998</v>
      </c>
      <c r="E167">
        <v>1</v>
      </c>
      <c r="F167">
        <v>1</v>
      </c>
      <c r="G167" t="s">
        <v>12</v>
      </c>
      <c r="H167" t="s">
        <v>13</v>
      </c>
      <c r="I167">
        <v>0</v>
      </c>
      <c r="J167">
        <v>0</v>
      </c>
    </row>
    <row r="168" spans="1:10" hidden="1">
      <c r="A168" s="18">
        <v>165</v>
      </c>
      <c r="B168" t="s">
        <v>30</v>
      </c>
      <c r="C168">
        <v>-7</v>
      </c>
      <c r="D168">
        <v>604.27699999999993</v>
      </c>
      <c r="E168">
        <v>1</v>
      </c>
      <c r="F168">
        <v>1</v>
      </c>
      <c r="G168" t="s">
        <v>12</v>
      </c>
      <c r="H168" t="s">
        <v>13</v>
      </c>
      <c r="I168">
        <v>0</v>
      </c>
      <c r="J168">
        <v>0</v>
      </c>
    </row>
    <row r="169" spans="1:10" hidden="1">
      <c r="A169" s="18">
        <v>202</v>
      </c>
      <c r="B169" t="s">
        <v>31</v>
      </c>
      <c r="C169">
        <v>-7</v>
      </c>
      <c r="D169">
        <v>323.92899999999997</v>
      </c>
      <c r="E169">
        <v>1</v>
      </c>
      <c r="F169">
        <v>1</v>
      </c>
      <c r="G169" t="s">
        <v>12</v>
      </c>
      <c r="H169" t="s">
        <v>13</v>
      </c>
      <c r="I169">
        <v>0</v>
      </c>
      <c r="J169">
        <v>0</v>
      </c>
    </row>
    <row r="170" spans="1:10" hidden="1">
      <c r="A170" s="18">
        <v>164</v>
      </c>
      <c r="B170" t="s">
        <v>30</v>
      </c>
      <c r="C170">
        <v>-8</v>
      </c>
      <c r="D170">
        <v>605.94099999999992</v>
      </c>
      <c r="E170">
        <v>1</v>
      </c>
      <c r="F170">
        <v>1</v>
      </c>
      <c r="G170" t="s">
        <v>12</v>
      </c>
      <c r="H170" t="s">
        <v>13</v>
      </c>
      <c r="I170">
        <v>0</v>
      </c>
      <c r="J170">
        <v>0</v>
      </c>
    </row>
    <row r="171" spans="1:10" hidden="1">
      <c r="A171" s="18">
        <v>179</v>
      </c>
      <c r="B171" t="s">
        <v>14</v>
      </c>
      <c r="C171">
        <v>-8</v>
      </c>
      <c r="D171">
        <v>2001.0150000000001</v>
      </c>
      <c r="E171">
        <v>1</v>
      </c>
      <c r="F171">
        <v>1</v>
      </c>
      <c r="G171" t="s">
        <v>12</v>
      </c>
      <c r="H171" t="s">
        <v>13</v>
      </c>
      <c r="I171">
        <v>0</v>
      </c>
      <c r="J171">
        <v>0</v>
      </c>
    </row>
    <row r="172" spans="1:10" hidden="1">
      <c r="A172" s="18">
        <v>205</v>
      </c>
      <c r="B172" t="s">
        <v>31</v>
      </c>
      <c r="C172">
        <v>-8</v>
      </c>
      <c r="D172">
        <v>224.39699999999999</v>
      </c>
      <c r="E172">
        <v>1</v>
      </c>
      <c r="F172">
        <v>1</v>
      </c>
      <c r="G172" t="s">
        <v>12</v>
      </c>
      <c r="H172" t="s">
        <v>13</v>
      </c>
      <c r="I172">
        <v>0</v>
      </c>
      <c r="J172">
        <v>0</v>
      </c>
    </row>
    <row r="173" spans="1:10" hidden="1">
      <c r="A173" s="18">
        <v>162</v>
      </c>
      <c r="B173" t="s">
        <v>30</v>
      </c>
      <c r="C173">
        <v>-9</v>
      </c>
      <c r="D173">
        <v>607.93599999999992</v>
      </c>
      <c r="E173">
        <v>1</v>
      </c>
      <c r="F173">
        <v>1</v>
      </c>
      <c r="G173" t="s">
        <v>12</v>
      </c>
      <c r="H173" t="s">
        <v>13</v>
      </c>
      <c r="I173">
        <v>0</v>
      </c>
      <c r="J173">
        <v>0</v>
      </c>
    </row>
    <row r="174" spans="1:10" hidden="1">
      <c r="A174" s="18">
        <v>180</v>
      </c>
      <c r="B174" t="s">
        <v>14</v>
      </c>
      <c r="C174">
        <v>-9</v>
      </c>
      <c r="D174">
        <v>2000.508</v>
      </c>
      <c r="E174">
        <v>1</v>
      </c>
      <c r="F174">
        <v>1</v>
      </c>
      <c r="G174" t="s">
        <v>12</v>
      </c>
      <c r="H174" t="s">
        <v>13</v>
      </c>
      <c r="I174">
        <v>0</v>
      </c>
      <c r="J174">
        <v>0</v>
      </c>
    </row>
    <row r="175" spans="1:10" hidden="1">
      <c r="A175" s="18">
        <v>163</v>
      </c>
      <c r="B175" t="s">
        <v>30</v>
      </c>
      <c r="C175">
        <v>-10</v>
      </c>
      <c r="D175">
        <v>607.29899999999998</v>
      </c>
      <c r="E175">
        <v>1</v>
      </c>
      <c r="F175">
        <v>1</v>
      </c>
      <c r="G175" t="s">
        <v>12</v>
      </c>
      <c r="H175" t="s">
        <v>13</v>
      </c>
      <c r="I175">
        <v>0</v>
      </c>
      <c r="J175">
        <v>0</v>
      </c>
    </row>
    <row r="176" spans="1:10" hidden="1">
      <c r="A176" s="18">
        <v>177</v>
      </c>
      <c r="B176" t="s">
        <v>14</v>
      </c>
      <c r="C176">
        <v>-10</v>
      </c>
      <c r="D176">
        <v>6000.0010000000002</v>
      </c>
      <c r="E176">
        <v>1</v>
      </c>
      <c r="F176">
        <v>1</v>
      </c>
      <c r="G176" t="s">
        <v>12</v>
      </c>
      <c r="H176" t="s">
        <v>13</v>
      </c>
      <c r="I176">
        <v>0</v>
      </c>
      <c r="J176">
        <v>0</v>
      </c>
    </row>
    <row r="177" spans="1:13" hidden="1">
      <c r="A177" s="18">
        <v>148</v>
      </c>
      <c r="B177" t="s">
        <v>30</v>
      </c>
      <c r="C177">
        <v>-11</v>
      </c>
      <c r="D177">
        <v>1829.4949999999999</v>
      </c>
      <c r="E177">
        <v>1</v>
      </c>
      <c r="F177">
        <v>1</v>
      </c>
      <c r="G177" t="s">
        <v>12</v>
      </c>
      <c r="H177" t="s">
        <v>13</v>
      </c>
      <c r="I177">
        <v>0</v>
      </c>
      <c r="J177">
        <v>0</v>
      </c>
    </row>
    <row r="178" spans="1:13" hidden="1">
      <c r="A178" s="18">
        <v>178</v>
      </c>
      <c r="B178" t="s">
        <v>14</v>
      </c>
      <c r="C178">
        <v>-11</v>
      </c>
      <c r="D178">
        <v>5360.5969999999998</v>
      </c>
      <c r="E178">
        <v>1</v>
      </c>
      <c r="F178">
        <v>1</v>
      </c>
      <c r="G178" t="s">
        <v>12</v>
      </c>
      <c r="H178" t="s">
        <v>13</v>
      </c>
      <c r="I178">
        <v>0</v>
      </c>
      <c r="J178">
        <v>0</v>
      </c>
    </row>
    <row r="179" spans="1:13" hidden="1">
      <c r="A179" s="18">
        <v>149</v>
      </c>
      <c r="B179" t="s">
        <v>30</v>
      </c>
      <c r="C179">
        <v>-12</v>
      </c>
      <c r="D179">
        <v>1791.3130000000001</v>
      </c>
      <c r="E179">
        <v>1</v>
      </c>
      <c r="F179">
        <v>1</v>
      </c>
      <c r="G179" t="s">
        <v>12</v>
      </c>
      <c r="H179" t="s">
        <v>13</v>
      </c>
      <c r="I179">
        <v>0</v>
      </c>
      <c r="J179">
        <v>0</v>
      </c>
    </row>
    <row r="180" spans="1:13" hidden="1">
      <c r="A180" s="18">
        <v>141</v>
      </c>
      <c r="B180" t="s">
        <v>11</v>
      </c>
      <c r="C180">
        <v>-13</v>
      </c>
      <c r="D180">
        <v>2225.2399999999998</v>
      </c>
      <c r="E180">
        <v>0.39600000000000002</v>
      </c>
      <c r="F180">
        <v>0.9</v>
      </c>
      <c r="G180" t="s">
        <v>12</v>
      </c>
      <c r="H180" t="s">
        <v>13</v>
      </c>
      <c r="I180">
        <v>0</v>
      </c>
      <c r="J180">
        <v>0</v>
      </c>
    </row>
    <row r="181" spans="1:13" hidden="1">
      <c r="A181" s="18">
        <v>150</v>
      </c>
      <c r="B181" t="s">
        <v>30</v>
      </c>
      <c r="C181">
        <v>-13</v>
      </c>
      <c r="D181">
        <v>1733.5250000000001</v>
      </c>
      <c r="E181">
        <v>1</v>
      </c>
      <c r="F181">
        <v>1</v>
      </c>
      <c r="G181" t="s">
        <v>12</v>
      </c>
      <c r="H181" t="s">
        <v>13</v>
      </c>
      <c r="I181">
        <v>0</v>
      </c>
      <c r="J181">
        <v>0</v>
      </c>
    </row>
    <row r="182" spans="1:13" hidden="1">
      <c r="A182" s="18">
        <v>152</v>
      </c>
      <c r="B182" t="s">
        <v>30</v>
      </c>
      <c r="C182">
        <v>-14</v>
      </c>
      <c r="D182">
        <v>1682.675</v>
      </c>
      <c r="E182">
        <v>1</v>
      </c>
      <c r="F182">
        <v>1</v>
      </c>
      <c r="G182" t="s">
        <v>12</v>
      </c>
      <c r="H182" t="s">
        <v>13</v>
      </c>
      <c r="I182">
        <v>0</v>
      </c>
      <c r="J182">
        <v>0</v>
      </c>
    </row>
    <row r="183" spans="1:13" hidden="1">
      <c r="A183" s="18">
        <v>153</v>
      </c>
      <c r="B183" t="s">
        <v>30</v>
      </c>
      <c r="C183">
        <v>-15</v>
      </c>
      <c r="D183">
        <v>1651.306</v>
      </c>
      <c r="E183">
        <v>1</v>
      </c>
      <c r="F183">
        <v>1</v>
      </c>
      <c r="G183" t="s">
        <v>12</v>
      </c>
      <c r="H183" t="s">
        <v>13</v>
      </c>
      <c r="I183">
        <v>0</v>
      </c>
      <c r="J183">
        <v>0</v>
      </c>
    </row>
    <row r="184" spans="1:13" hidden="1">
      <c r="A184" s="18">
        <v>156</v>
      </c>
      <c r="B184" t="s">
        <v>30</v>
      </c>
      <c r="C184">
        <v>-16</v>
      </c>
      <c r="D184">
        <v>1594.854</v>
      </c>
      <c r="E184">
        <v>1</v>
      </c>
      <c r="F184">
        <v>1</v>
      </c>
      <c r="G184" t="s">
        <v>12</v>
      </c>
      <c r="H184" t="s">
        <v>13</v>
      </c>
      <c r="I184">
        <v>0</v>
      </c>
      <c r="J184">
        <v>0</v>
      </c>
    </row>
    <row r="185" spans="1:13" hidden="1">
      <c r="A185" s="18">
        <v>188</v>
      </c>
      <c r="B185" t="s">
        <v>14</v>
      </c>
      <c r="C185">
        <v>-16</v>
      </c>
      <c r="D185">
        <v>242.77600000000001</v>
      </c>
      <c r="E185">
        <v>1</v>
      </c>
      <c r="F185">
        <v>1</v>
      </c>
      <c r="G185" t="s">
        <v>12</v>
      </c>
      <c r="H185" t="s">
        <v>13</v>
      </c>
      <c r="I185">
        <v>0</v>
      </c>
      <c r="J185">
        <v>0</v>
      </c>
    </row>
    <row r="186" spans="1:13" hidden="1">
      <c r="A186" s="18">
        <v>157</v>
      </c>
      <c r="B186" t="s">
        <v>30</v>
      </c>
      <c r="C186">
        <v>-17</v>
      </c>
      <c r="D186">
        <v>1594.2380000000001</v>
      </c>
      <c r="E186">
        <v>1</v>
      </c>
      <c r="F186">
        <v>1</v>
      </c>
      <c r="G186" t="s">
        <v>12</v>
      </c>
      <c r="H186" t="s">
        <v>13</v>
      </c>
      <c r="I186">
        <v>0</v>
      </c>
      <c r="J186">
        <v>0</v>
      </c>
    </row>
    <row r="187" spans="1:13" hidden="1">
      <c r="A187" s="18">
        <v>155</v>
      </c>
      <c r="B187" t="s">
        <v>30</v>
      </c>
      <c r="C187">
        <v>-18</v>
      </c>
      <c r="D187">
        <v>1614.847</v>
      </c>
      <c r="E187">
        <v>1</v>
      </c>
      <c r="F187">
        <v>1</v>
      </c>
      <c r="G187" t="s">
        <v>12</v>
      </c>
      <c r="H187" t="s">
        <v>13</v>
      </c>
      <c r="I187">
        <v>0</v>
      </c>
      <c r="J187">
        <v>0</v>
      </c>
    </row>
    <row r="188" spans="1:13" hidden="1">
      <c r="A188" s="18">
        <v>154</v>
      </c>
      <c r="B188" t="s">
        <v>30</v>
      </c>
      <c r="C188">
        <v>-19</v>
      </c>
      <c r="D188">
        <v>1647.0119999999999</v>
      </c>
      <c r="E188">
        <v>1</v>
      </c>
      <c r="F188">
        <v>1</v>
      </c>
      <c r="G188" t="s">
        <v>12</v>
      </c>
      <c r="H188" t="s">
        <v>13</v>
      </c>
      <c r="I188">
        <v>0</v>
      </c>
      <c r="J188">
        <v>0</v>
      </c>
    </row>
    <row r="189" spans="1:13">
      <c r="A189" s="18">
        <v>46</v>
      </c>
      <c r="B189" t="s">
        <v>26</v>
      </c>
      <c r="C189">
        <v>-20</v>
      </c>
      <c r="D189">
        <v>2731.1649536609498</v>
      </c>
      <c r="E189">
        <v>0.6</v>
      </c>
      <c r="F189">
        <v>0.9</v>
      </c>
      <c r="G189" t="s">
        <v>12</v>
      </c>
      <c r="H189" t="s">
        <v>13</v>
      </c>
      <c r="I189">
        <v>0</v>
      </c>
      <c r="J189">
        <v>0</v>
      </c>
      <c r="M189">
        <f>2020-C189</f>
        <v>2040</v>
      </c>
    </row>
    <row r="190" spans="1:13" hidden="1">
      <c r="A190" s="18">
        <v>151</v>
      </c>
      <c r="B190" t="s">
        <v>30</v>
      </c>
      <c r="C190">
        <v>-20</v>
      </c>
      <c r="D190">
        <v>1683.105</v>
      </c>
      <c r="E190">
        <v>1</v>
      </c>
      <c r="F190">
        <v>1</v>
      </c>
      <c r="G190" t="s">
        <v>12</v>
      </c>
      <c r="H190" t="s">
        <v>13</v>
      </c>
      <c r="I190">
        <v>0</v>
      </c>
      <c r="J190">
        <v>0</v>
      </c>
    </row>
  </sheetData>
  <autoFilter ref="A1:K190" xr:uid="{AB94089A-EE04-4A8F-A9CF-12445972E5C2}">
    <filterColumn colId="1">
      <filters>
        <filter val="CCGT"/>
      </filters>
    </filterColumn>
    <sortState xmlns:xlrd2="http://schemas.microsoft.com/office/spreadsheetml/2017/richdata2" ref="A2:K190">
      <sortCondition ref="K1:K190"/>
    </sortState>
  </autoFilter>
  <sortState xmlns:xlrd2="http://schemas.microsoft.com/office/spreadsheetml/2017/richdata2" ref="A2:K190">
    <sortCondition ref="A1:A190"/>
  </sortState>
  <conditionalFormatting sqref="N44:N18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198A0-7CB3-4BB1-94E1-721EECB3BDAC}">
  <sheetPr>
    <tabColor rgb="FFFFC000"/>
  </sheetPr>
  <dimension ref="A1:F12"/>
  <sheetViews>
    <sheetView workbookViewId="0">
      <selection activeCell="I32" sqref="I32"/>
    </sheetView>
  </sheetViews>
  <sheetFormatPr defaultRowHeight="15"/>
  <cols>
    <col min="1" max="1" width="28.85546875" bestFit="1" customWidth="1"/>
    <col min="2" max="2" width="21.7109375" customWidth="1"/>
    <col min="3" max="4" width="13.42578125" bestFit="1" customWidth="1"/>
  </cols>
  <sheetData>
    <row r="1" spans="1:6">
      <c r="A1" s="12"/>
      <c r="B1" s="12" t="s">
        <v>68</v>
      </c>
      <c r="C1" s="12" t="s">
        <v>69</v>
      </c>
      <c r="D1" s="12" t="s">
        <v>70</v>
      </c>
    </row>
    <row r="2" spans="1:6">
      <c r="A2" s="12" t="s">
        <v>25</v>
      </c>
      <c r="B2" s="4">
        <v>40.207000000000001</v>
      </c>
      <c r="C2" s="11">
        <v>38</v>
      </c>
      <c r="D2" s="13">
        <f t="shared" ref="D2:D12" si="0">B2-C2</f>
        <v>2.2070000000000007</v>
      </c>
    </row>
    <row r="3" spans="1:6">
      <c r="A3" s="12" t="s">
        <v>26</v>
      </c>
      <c r="B3" s="13">
        <v>484</v>
      </c>
      <c r="C3" s="15">
        <v>486</v>
      </c>
      <c r="D3" s="13">
        <f t="shared" si="0"/>
        <v>-2</v>
      </c>
    </row>
    <row r="4" spans="1:6">
      <c r="A4" s="12" t="s">
        <v>27</v>
      </c>
      <c r="B4" s="4">
        <f>1.768 + 631</f>
        <v>632.76800000000003</v>
      </c>
      <c r="C4" s="15">
        <v>1243</v>
      </c>
      <c r="D4" s="13">
        <f t="shared" si="0"/>
        <v>-610.23199999999997</v>
      </c>
    </row>
    <row r="5" spans="1:6">
      <c r="A5" s="12" t="s">
        <v>23</v>
      </c>
      <c r="B5" s="4">
        <v>962.69</v>
      </c>
      <c r="C5" s="11">
        <v>957</v>
      </c>
      <c r="D5" s="13">
        <f t="shared" si="0"/>
        <v>5.6900000000000546</v>
      </c>
    </row>
    <row r="6" spans="1:6">
      <c r="A6" s="12" t="s">
        <v>28</v>
      </c>
      <c r="B6" s="13">
        <v>1103</v>
      </c>
      <c r="C6" s="14">
        <v>1103</v>
      </c>
      <c r="D6" s="13">
        <f t="shared" si="0"/>
        <v>0</v>
      </c>
      <c r="F6" t="s">
        <v>71</v>
      </c>
    </row>
    <row r="7" spans="1:6">
      <c r="A7" s="12" t="s">
        <v>29</v>
      </c>
      <c r="B7" s="12">
        <v>4060</v>
      </c>
      <c r="C7" s="11">
        <v>4631</v>
      </c>
      <c r="D7" s="13">
        <f t="shared" si="0"/>
        <v>-571</v>
      </c>
    </row>
    <row r="8" spans="1:6">
      <c r="A8" s="12" t="s">
        <v>11</v>
      </c>
      <c r="B8" s="13">
        <v>4236.9939999999997</v>
      </c>
      <c r="C8" s="15">
        <v>3669</v>
      </c>
      <c r="D8" s="13">
        <f t="shared" si="0"/>
        <v>567.99399999999969</v>
      </c>
    </row>
    <row r="9" spans="1:6">
      <c r="A9" s="12" t="s">
        <v>30</v>
      </c>
      <c r="B9" s="13">
        <v>6789.9099999999989</v>
      </c>
      <c r="C9" s="11">
        <v>3937</v>
      </c>
      <c r="D9" s="13">
        <f t="shared" si="0"/>
        <v>2852.9099999999989</v>
      </c>
    </row>
    <row r="10" spans="1:6">
      <c r="A10" s="12" t="s">
        <v>14</v>
      </c>
      <c r="B10" s="13">
        <v>7586</v>
      </c>
      <c r="C10" s="14">
        <f>15570-C11-C15</f>
        <v>7069</v>
      </c>
      <c r="D10" s="13">
        <f t="shared" si="0"/>
        <v>517</v>
      </c>
    </row>
    <row r="11" spans="1:6">
      <c r="A11" s="12" t="s">
        <v>31</v>
      </c>
      <c r="B11" s="13">
        <v>8501.9630099999995</v>
      </c>
      <c r="C11" s="14">
        <v>8501</v>
      </c>
      <c r="D11" s="13">
        <f t="shared" si="0"/>
        <v>0.96300999999948544</v>
      </c>
    </row>
    <row r="12" spans="1:6">
      <c r="A12" s="12" t="s">
        <v>72</v>
      </c>
      <c r="B12" s="13">
        <f>SUM(B2:B11)</f>
        <v>34397.532009999995</v>
      </c>
      <c r="C12" s="13">
        <f>SUM(C2:C11)</f>
        <v>31634</v>
      </c>
      <c r="D12">
        <f t="shared" si="0"/>
        <v>2763.5320099999954</v>
      </c>
    </row>
  </sheetData>
  <autoFilter ref="B1:D1" xr:uid="{CD4198A0-7CB3-4BB1-94E1-721EECB3BDAC}">
    <sortState xmlns:xlrd2="http://schemas.microsoft.com/office/spreadsheetml/2017/richdata2" ref="B2:D12">
      <sortCondition ref="B1"/>
    </sortState>
  </autoFilter>
  <conditionalFormatting sqref="D2:D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4C55F-8FDD-43DB-B527-BE9B7435FBB8}">
  <sheetPr>
    <tabColor rgb="FFFF0000"/>
  </sheetPr>
  <dimension ref="A1:Q34"/>
  <sheetViews>
    <sheetView showRuler="0" zoomScale="70" zoomScaleNormal="70" workbookViewId="0">
      <selection activeCell="C34" sqref="C34"/>
    </sheetView>
  </sheetViews>
  <sheetFormatPr defaultRowHeight="15"/>
  <cols>
    <col min="2" max="2" width="29.85546875" customWidth="1"/>
    <col min="7" max="7" width="13.85546875" customWidth="1"/>
    <col min="10" max="10" width="28.85546875" bestFit="1" customWidth="1"/>
    <col min="11" max="11" width="14.42578125" bestFit="1" customWidth="1"/>
  </cols>
  <sheetData>
    <row r="1" spans="1:17">
      <c r="A1" t="s">
        <v>17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8</v>
      </c>
      <c r="G1" s="1" t="s">
        <v>9</v>
      </c>
    </row>
    <row r="2" spans="1:17">
      <c r="A2" s="1">
        <v>21</v>
      </c>
      <c r="B2" s="3" t="s">
        <v>31</v>
      </c>
      <c r="C2">
        <v>15</v>
      </c>
      <c r="D2" s="4">
        <v>4000</v>
      </c>
      <c r="E2" t="s">
        <v>12</v>
      </c>
      <c r="F2">
        <v>0</v>
      </c>
      <c r="G2">
        <v>0</v>
      </c>
      <c r="I2" s="23"/>
    </row>
    <row r="3" spans="1:17">
      <c r="A3" s="1">
        <v>22</v>
      </c>
      <c r="B3" s="3" t="s">
        <v>31</v>
      </c>
      <c r="C3">
        <v>20</v>
      </c>
      <c r="D3" s="4">
        <v>4000</v>
      </c>
      <c r="E3" t="s">
        <v>12</v>
      </c>
      <c r="F3">
        <v>0</v>
      </c>
      <c r="G3">
        <v>0</v>
      </c>
      <c r="I3" s="23"/>
      <c r="K3" t="s">
        <v>73</v>
      </c>
    </row>
    <row r="4" spans="1:17">
      <c r="A4" s="1">
        <v>23</v>
      </c>
      <c r="B4" s="3" t="s">
        <v>31</v>
      </c>
      <c r="C4">
        <v>10</v>
      </c>
      <c r="D4" s="4">
        <v>4000</v>
      </c>
      <c r="E4" t="s">
        <v>12</v>
      </c>
      <c r="F4">
        <v>0</v>
      </c>
      <c r="G4">
        <v>0</v>
      </c>
      <c r="I4" s="23"/>
    </row>
    <row r="5" spans="1:17" ht="16.149999999999999" customHeight="1">
      <c r="A5" s="1">
        <v>24</v>
      </c>
      <c r="B5" s="3" t="s">
        <v>30</v>
      </c>
      <c r="C5">
        <v>14</v>
      </c>
      <c r="D5" s="4">
        <v>4500</v>
      </c>
      <c r="E5" t="s">
        <v>12</v>
      </c>
      <c r="F5">
        <v>0</v>
      </c>
      <c r="G5">
        <v>0</v>
      </c>
      <c r="I5" s="23"/>
      <c r="K5" s="4">
        <f t="shared" ref="K5:K10" si="0">D5*3</f>
        <v>13500</v>
      </c>
    </row>
    <row r="6" spans="1:17" ht="16.149999999999999" customHeight="1">
      <c r="A6" s="1">
        <v>25</v>
      </c>
      <c r="B6" s="3" t="s">
        <v>30</v>
      </c>
      <c r="C6">
        <v>15</v>
      </c>
      <c r="D6" s="4">
        <v>4500</v>
      </c>
      <c r="E6" t="s">
        <v>12</v>
      </c>
      <c r="F6">
        <v>0</v>
      </c>
      <c r="G6">
        <v>0</v>
      </c>
      <c r="I6" s="23"/>
      <c r="K6" s="4">
        <f t="shared" si="0"/>
        <v>13500</v>
      </c>
    </row>
    <row r="7" spans="1:17" ht="16.149999999999999" customHeight="1">
      <c r="A7" s="1">
        <v>26</v>
      </c>
      <c r="B7" s="3" t="s">
        <v>30</v>
      </c>
      <c r="C7">
        <v>16</v>
      </c>
      <c r="D7" s="4">
        <v>4500</v>
      </c>
      <c r="E7" t="s">
        <v>12</v>
      </c>
      <c r="F7">
        <v>0</v>
      </c>
      <c r="G7">
        <v>0</v>
      </c>
      <c r="I7" s="23"/>
      <c r="K7" s="4">
        <f t="shared" si="0"/>
        <v>13500</v>
      </c>
    </row>
    <row r="8" spans="1:17" ht="16.149999999999999" customHeight="1">
      <c r="A8" s="1">
        <v>27</v>
      </c>
      <c r="B8" s="3" t="s">
        <v>30</v>
      </c>
      <c r="C8">
        <v>17</v>
      </c>
      <c r="D8" s="4">
        <v>4500</v>
      </c>
      <c r="E8" t="s">
        <v>12</v>
      </c>
      <c r="F8">
        <v>0</v>
      </c>
      <c r="G8">
        <v>0</v>
      </c>
      <c r="I8" s="24">
        <f>SUM(D5:D10)</f>
        <v>25757</v>
      </c>
      <c r="K8" s="4">
        <f t="shared" si="0"/>
        <v>13500</v>
      </c>
    </row>
    <row r="9" spans="1:17">
      <c r="A9" s="1">
        <v>28</v>
      </c>
      <c r="B9" s="3" t="s">
        <v>30</v>
      </c>
      <c r="C9">
        <v>18</v>
      </c>
      <c r="D9" s="4">
        <v>3257</v>
      </c>
      <c r="E9" t="s">
        <v>12</v>
      </c>
      <c r="F9">
        <v>0</v>
      </c>
      <c r="G9">
        <v>0</v>
      </c>
      <c r="I9" s="23"/>
      <c r="K9" s="4">
        <f t="shared" si="0"/>
        <v>9771</v>
      </c>
    </row>
    <row r="10" spans="1:17" ht="13.9" customHeight="1">
      <c r="A10" s="1">
        <v>29</v>
      </c>
      <c r="B10" s="3" t="s">
        <v>30</v>
      </c>
      <c r="C10">
        <v>19</v>
      </c>
      <c r="D10" s="4">
        <v>4500</v>
      </c>
      <c r="E10" t="s">
        <v>12</v>
      </c>
      <c r="F10">
        <v>0</v>
      </c>
      <c r="G10">
        <v>0</v>
      </c>
      <c r="I10" s="23"/>
      <c r="K10" s="4">
        <f t="shared" si="0"/>
        <v>13500</v>
      </c>
    </row>
    <row r="11" spans="1:17">
      <c r="A11" s="1">
        <v>30</v>
      </c>
      <c r="B11" s="3" t="s">
        <v>14</v>
      </c>
      <c r="C11">
        <v>10</v>
      </c>
      <c r="D11" s="4">
        <v>7000</v>
      </c>
      <c r="E11" t="s">
        <v>12</v>
      </c>
      <c r="F11">
        <v>0</v>
      </c>
      <c r="G11">
        <v>0</v>
      </c>
      <c r="I11" s="23"/>
      <c r="L11" s="3"/>
      <c r="N11" s="4"/>
    </row>
    <row r="12" spans="1:17">
      <c r="A12" s="1">
        <v>31</v>
      </c>
      <c r="B12" s="3" t="s">
        <v>14</v>
      </c>
      <c r="C12">
        <v>11</v>
      </c>
      <c r="D12" s="4">
        <v>7000</v>
      </c>
      <c r="E12" t="s">
        <v>12</v>
      </c>
      <c r="F12">
        <v>0</v>
      </c>
      <c r="G12">
        <v>0</v>
      </c>
      <c r="I12" s="23"/>
      <c r="L12" s="3"/>
      <c r="N12" s="4"/>
    </row>
    <row r="13" spans="1:17">
      <c r="A13" s="1">
        <v>32</v>
      </c>
      <c r="B13" s="3" t="s">
        <v>14</v>
      </c>
      <c r="C13">
        <v>12</v>
      </c>
      <c r="D13" s="4">
        <v>7000</v>
      </c>
      <c r="E13" t="s">
        <v>12</v>
      </c>
      <c r="F13">
        <v>0</v>
      </c>
      <c r="G13">
        <v>0</v>
      </c>
      <c r="I13" s="23"/>
      <c r="K13" s="1">
        <v>52</v>
      </c>
      <c r="L13" s="3" t="s">
        <v>74</v>
      </c>
      <c r="M13">
        <v>0</v>
      </c>
      <c r="N13" s="4">
        <v>10000</v>
      </c>
      <c r="O13" t="s">
        <v>12</v>
      </c>
      <c r="P13">
        <v>0</v>
      </c>
      <c r="Q13">
        <v>0.9</v>
      </c>
    </row>
    <row r="14" spans="1:17">
      <c r="A14" s="1">
        <v>33</v>
      </c>
      <c r="B14" s="3" t="s">
        <v>14</v>
      </c>
      <c r="C14">
        <v>13</v>
      </c>
      <c r="D14" s="4">
        <v>7000</v>
      </c>
      <c r="E14" t="s">
        <v>12</v>
      </c>
      <c r="F14">
        <v>0</v>
      </c>
      <c r="G14">
        <v>0</v>
      </c>
      <c r="I14" s="23"/>
      <c r="L14" s="3"/>
      <c r="N14" s="4"/>
    </row>
    <row r="15" spans="1:17">
      <c r="A15" s="1">
        <v>34</v>
      </c>
      <c r="B15" s="3" t="s">
        <v>14</v>
      </c>
      <c r="C15">
        <v>14</v>
      </c>
      <c r="D15" s="4">
        <v>7000</v>
      </c>
      <c r="E15" t="s">
        <v>12</v>
      </c>
      <c r="F15">
        <v>0</v>
      </c>
      <c r="G15">
        <v>0</v>
      </c>
      <c r="I15" s="23"/>
    </row>
    <row r="16" spans="1:17">
      <c r="A16" s="1">
        <v>35</v>
      </c>
      <c r="B16" s="3" t="s">
        <v>14</v>
      </c>
      <c r="C16">
        <v>15</v>
      </c>
      <c r="D16" s="4">
        <v>7000</v>
      </c>
      <c r="E16" t="s">
        <v>12</v>
      </c>
      <c r="F16">
        <v>0</v>
      </c>
      <c r="G16">
        <v>0</v>
      </c>
      <c r="I16" s="23"/>
    </row>
    <row r="17" spans="1:9">
      <c r="A17" s="1">
        <v>36</v>
      </c>
      <c r="B17" s="3" t="s">
        <v>14</v>
      </c>
      <c r="C17">
        <v>16</v>
      </c>
      <c r="D17" s="4">
        <v>7000</v>
      </c>
      <c r="E17" t="s">
        <v>12</v>
      </c>
      <c r="F17">
        <v>0</v>
      </c>
      <c r="G17">
        <v>0</v>
      </c>
      <c r="I17" s="23"/>
    </row>
    <row r="18" spans="1:9">
      <c r="A18" s="1">
        <v>37</v>
      </c>
      <c r="B18" s="3" t="s">
        <v>14</v>
      </c>
      <c r="C18">
        <v>17</v>
      </c>
      <c r="D18" s="4">
        <v>7000</v>
      </c>
      <c r="E18" t="s">
        <v>12</v>
      </c>
      <c r="F18">
        <v>0</v>
      </c>
      <c r="G18">
        <v>0</v>
      </c>
      <c r="I18" s="23"/>
    </row>
    <row r="19" spans="1:9">
      <c r="A19" s="1">
        <v>38</v>
      </c>
      <c r="B19" s="3" t="s">
        <v>14</v>
      </c>
      <c r="C19">
        <v>18</v>
      </c>
      <c r="D19" s="4">
        <v>7000</v>
      </c>
      <c r="E19" t="s">
        <v>12</v>
      </c>
      <c r="F19">
        <v>0</v>
      </c>
      <c r="G19">
        <v>0</v>
      </c>
      <c r="I19" s="23"/>
    </row>
    <row r="20" spans="1:9">
      <c r="A20" s="1">
        <v>39</v>
      </c>
      <c r="B20" s="3" t="s">
        <v>14</v>
      </c>
      <c r="C20">
        <v>19</v>
      </c>
      <c r="D20" s="4">
        <v>7000</v>
      </c>
      <c r="E20" t="s">
        <v>12</v>
      </c>
      <c r="F20">
        <v>0</v>
      </c>
      <c r="G20">
        <v>0</v>
      </c>
      <c r="I20" s="23"/>
    </row>
    <row r="21" spans="1:9">
      <c r="A21" s="1">
        <v>40</v>
      </c>
      <c r="B21" t="s">
        <v>29</v>
      </c>
      <c r="C21">
        <v>1</v>
      </c>
      <c r="D21" s="4">
        <v>5663.9430000000002</v>
      </c>
      <c r="E21" t="s">
        <v>12</v>
      </c>
      <c r="F21">
        <v>0</v>
      </c>
      <c r="G21">
        <v>0</v>
      </c>
      <c r="I21" s="23"/>
    </row>
    <row r="22" spans="1:9">
      <c r="A22" s="1">
        <v>41</v>
      </c>
      <c r="B22" t="s">
        <v>26</v>
      </c>
      <c r="C22">
        <v>20</v>
      </c>
      <c r="D22">
        <v>1000</v>
      </c>
      <c r="E22" t="s">
        <v>12</v>
      </c>
      <c r="F22">
        <v>0</v>
      </c>
      <c r="G22">
        <v>0</v>
      </c>
      <c r="I22" s="23"/>
    </row>
    <row r="23" spans="1:9">
      <c r="A23" s="1">
        <v>42</v>
      </c>
      <c r="B23" t="s">
        <v>26</v>
      </c>
      <c r="C23">
        <v>21</v>
      </c>
      <c r="D23">
        <v>1000</v>
      </c>
      <c r="E23" t="s">
        <v>12</v>
      </c>
      <c r="F23">
        <v>0</v>
      </c>
      <c r="G23">
        <v>0</v>
      </c>
      <c r="I23" s="23"/>
    </row>
    <row r="24" spans="1:9">
      <c r="A24" s="1">
        <v>43</v>
      </c>
      <c r="B24" t="s">
        <v>26</v>
      </c>
      <c r="C24">
        <v>22</v>
      </c>
      <c r="D24">
        <v>1000</v>
      </c>
      <c r="E24" t="s">
        <v>12</v>
      </c>
      <c r="F24">
        <v>0</v>
      </c>
      <c r="G24">
        <v>0</v>
      </c>
      <c r="I24" s="23"/>
    </row>
    <row r="25" spans="1:9">
      <c r="A25" s="1">
        <v>44</v>
      </c>
      <c r="B25" t="s">
        <v>26</v>
      </c>
      <c r="C25">
        <v>23</v>
      </c>
      <c r="D25">
        <v>1000</v>
      </c>
      <c r="E25" t="s">
        <v>12</v>
      </c>
      <c r="F25">
        <v>0</v>
      </c>
      <c r="G25">
        <v>0</v>
      </c>
      <c r="I25" s="23"/>
    </row>
    <row r="26" spans="1:9">
      <c r="A26" s="1">
        <v>45</v>
      </c>
      <c r="B26" t="s">
        <v>26</v>
      </c>
      <c r="C26">
        <v>24</v>
      </c>
      <c r="D26">
        <v>1343</v>
      </c>
      <c r="E26" t="s">
        <v>12</v>
      </c>
      <c r="F26">
        <v>0</v>
      </c>
      <c r="G26">
        <v>0</v>
      </c>
      <c r="I26" s="23"/>
    </row>
    <row r="27" spans="1:9">
      <c r="A27" s="1">
        <v>46</v>
      </c>
      <c r="B27" t="s">
        <v>11</v>
      </c>
      <c r="C27">
        <v>20</v>
      </c>
      <c r="D27">
        <v>1300</v>
      </c>
      <c r="E27" t="s">
        <v>12</v>
      </c>
      <c r="F27">
        <v>0</v>
      </c>
      <c r="G27">
        <v>0</v>
      </c>
      <c r="I27" s="23"/>
    </row>
    <row r="28" spans="1:9">
      <c r="A28" s="1">
        <v>47</v>
      </c>
      <c r="B28" t="s">
        <v>11</v>
      </c>
      <c r="C28">
        <v>25</v>
      </c>
      <c r="D28">
        <v>1300</v>
      </c>
      <c r="E28" t="s">
        <v>12</v>
      </c>
      <c r="F28">
        <v>0</v>
      </c>
      <c r="G28">
        <v>0</v>
      </c>
      <c r="I28" s="23"/>
    </row>
    <row r="29" spans="1:9">
      <c r="A29" s="1">
        <v>48</v>
      </c>
      <c r="B29" t="s">
        <v>27</v>
      </c>
      <c r="C29">
        <v>22</v>
      </c>
      <c r="D29">
        <v>1320</v>
      </c>
      <c r="E29" t="s">
        <v>12</v>
      </c>
      <c r="F29">
        <v>0</v>
      </c>
      <c r="G29">
        <v>0</v>
      </c>
      <c r="I29" s="23"/>
    </row>
    <row r="30" spans="1:9">
      <c r="A30" s="1">
        <v>49</v>
      </c>
      <c r="B30" t="s">
        <v>27</v>
      </c>
      <c r="C30">
        <v>18</v>
      </c>
      <c r="D30">
        <v>1320</v>
      </c>
      <c r="E30" t="s">
        <v>12</v>
      </c>
      <c r="F30">
        <v>0</v>
      </c>
      <c r="G30">
        <v>0</v>
      </c>
    </row>
    <row r="31" spans="1:9">
      <c r="A31" s="1">
        <v>50</v>
      </c>
      <c r="B31" t="s">
        <v>27</v>
      </c>
      <c r="C31">
        <v>23</v>
      </c>
      <c r="D31">
        <v>1309</v>
      </c>
      <c r="E31" t="s">
        <v>12</v>
      </c>
      <c r="F31">
        <v>0</v>
      </c>
      <c r="G31">
        <v>0</v>
      </c>
    </row>
    <row r="32" spans="1:9">
      <c r="A32" s="1">
        <v>51</v>
      </c>
      <c r="B32" s="25" t="s">
        <v>75</v>
      </c>
      <c r="C32">
        <v>1</v>
      </c>
      <c r="D32">
        <v>41</v>
      </c>
      <c r="E32" t="s">
        <v>12</v>
      </c>
      <c r="F32">
        <v>0</v>
      </c>
      <c r="G32">
        <v>0</v>
      </c>
    </row>
    <row r="33" spans="1:7">
      <c r="A33" s="1">
        <v>52</v>
      </c>
      <c r="B33" t="s">
        <v>74</v>
      </c>
      <c r="C33">
        <v>1</v>
      </c>
      <c r="D33" s="4">
        <v>1700</v>
      </c>
      <c r="E33" t="s">
        <v>12</v>
      </c>
      <c r="F33">
        <v>0</v>
      </c>
      <c r="G33">
        <v>0.9</v>
      </c>
    </row>
    <row r="34" spans="1:7">
      <c r="A34" s="1">
        <v>53</v>
      </c>
      <c r="B34" s="3" t="s">
        <v>30</v>
      </c>
      <c r="C34">
        <v>1</v>
      </c>
      <c r="D34" s="4">
        <v>11000</v>
      </c>
      <c r="E34" t="s">
        <v>12</v>
      </c>
      <c r="F34">
        <v>0</v>
      </c>
      <c r="G34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C317A-A841-4977-A917-D22655607894}">
  <sheetPr>
    <tabColor rgb="FF92D050"/>
  </sheetPr>
  <dimension ref="A1:N59"/>
  <sheetViews>
    <sheetView showRuler="0" zoomScale="64" zoomScaleNormal="64" workbookViewId="0">
      <selection activeCell="J49" sqref="J49"/>
    </sheetView>
  </sheetViews>
  <sheetFormatPr defaultRowHeight="15"/>
  <cols>
    <col min="2" max="2" width="35.85546875" customWidth="1"/>
    <col min="7" max="7" width="13.85546875" customWidth="1"/>
    <col min="10" max="10" width="28.85546875" bestFit="1" customWidth="1"/>
    <col min="11" max="11" width="14.42578125" bestFit="1" customWidth="1"/>
  </cols>
  <sheetData>
    <row r="1" spans="1:14">
      <c r="A1" t="s">
        <v>17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8</v>
      </c>
      <c r="G1" s="1" t="s">
        <v>9</v>
      </c>
    </row>
    <row r="2" spans="1:14">
      <c r="A2" s="1">
        <v>22</v>
      </c>
      <c r="B2" t="s">
        <v>29</v>
      </c>
      <c r="C2">
        <v>1</v>
      </c>
      <c r="D2" s="4">
        <v>5663.9430000000002</v>
      </c>
      <c r="E2" t="s">
        <v>12</v>
      </c>
      <c r="F2">
        <v>0</v>
      </c>
      <c r="G2">
        <v>0</v>
      </c>
      <c r="I2" s="23"/>
    </row>
    <row r="3" spans="1:14">
      <c r="A3" s="1">
        <v>23</v>
      </c>
      <c r="B3" s="3" t="s">
        <v>31</v>
      </c>
      <c r="C3">
        <v>20</v>
      </c>
      <c r="D3" s="4">
        <v>2400</v>
      </c>
      <c r="E3" t="s">
        <v>12</v>
      </c>
      <c r="F3">
        <v>0</v>
      </c>
      <c r="G3">
        <v>0</v>
      </c>
    </row>
    <row r="4" spans="1:14">
      <c r="A4" s="1">
        <v>24</v>
      </c>
      <c r="B4" s="3" t="s">
        <v>31</v>
      </c>
      <c r="C4">
        <v>16</v>
      </c>
      <c r="D4" s="4">
        <v>2400</v>
      </c>
      <c r="E4" t="s">
        <v>12</v>
      </c>
      <c r="F4">
        <v>0</v>
      </c>
      <c r="G4">
        <v>0</v>
      </c>
      <c r="I4" s="23"/>
    </row>
    <row r="5" spans="1:14" ht="16.149999999999999" customHeight="1">
      <c r="A5" s="1">
        <v>25</v>
      </c>
      <c r="B5" s="3" t="s">
        <v>31</v>
      </c>
      <c r="C5">
        <v>12</v>
      </c>
      <c r="D5" s="4">
        <v>2400</v>
      </c>
      <c r="E5" t="s">
        <v>12</v>
      </c>
      <c r="F5">
        <v>0</v>
      </c>
      <c r="G5">
        <v>0</v>
      </c>
      <c r="I5" s="23"/>
      <c r="K5" s="4">
        <f>D5*3</f>
        <v>7200</v>
      </c>
    </row>
    <row r="6" spans="1:14" ht="16.149999999999999" customHeight="1">
      <c r="A6" s="1">
        <v>26</v>
      </c>
      <c r="B6" s="3" t="s">
        <v>31</v>
      </c>
      <c r="C6">
        <v>7</v>
      </c>
      <c r="D6" s="4">
        <v>2400</v>
      </c>
      <c r="E6" t="s">
        <v>12</v>
      </c>
      <c r="F6">
        <v>0</v>
      </c>
      <c r="G6">
        <v>0</v>
      </c>
      <c r="I6" s="23"/>
      <c r="K6" s="4"/>
    </row>
    <row r="7" spans="1:14" ht="16.149999999999999" customHeight="1">
      <c r="A7" s="1">
        <v>27</v>
      </c>
      <c r="B7" s="3" t="s">
        <v>31</v>
      </c>
      <c r="C7">
        <v>2</v>
      </c>
      <c r="D7" s="4">
        <v>2400</v>
      </c>
      <c r="E7" t="s">
        <v>12</v>
      </c>
      <c r="F7">
        <v>0</v>
      </c>
      <c r="G7">
        <v>0</v>
      </c>
      <c r="I7" s="23"/>
      <c r="K7" s="4"/>
    </row>
    <row r="8" spans="1:14" ht="16.149999999999999" customHeight="1">
      <c r="A8" s="1">
        <v>28</v>
      </c>
      <c r="B8" s="3" t="s">
        <v>30</v>
      </c>
      <c r="C8">
        <v>24</v>
      </c>
      <c r="D8" s="4">
        <v>1000</v>
      </c>
      <c r="E8" t="s">
        <v>12</v>
      </c>
      <c r="F8">
        <v>0</v>
      </c>
      <c r="G8">
        <v>0</v>
      </c>
      <c r="I8" s="23"/>
      <c r="K8" s="4"/>
    </row>
    <row r="9" spans="1:14" ht="16.149999999999999" customHeight="1">
      <c r="A9" s="1">
        <v>29</v>
      </c>
      <c r="B9" s="3" t="s">
        <v>30</v>
      </c>
      <c r="C9">
        <v>23</v>
      </c>
      <c r="D9" s="4">
        <v>2500</v>
      </c>
      <c r="E9" t="s">
        <v>12</v>
      </c>
      <c r="F9">
        <v>0</v>
      </c>
      <c r="G9">
        <v>0</v>
      </c>
      <c r="I9" s="23"/>
      <c r="K9" s="4"/>
    </row>
    <row r="10" spans="1:14" ht="16.149999999999999" customHeight="1">
      <c r="A10" s="1">
        <v>30</v>
      </c>
      <c r="B10" s="29" t="s">
        <v>30</v>
      </c>
      <c r="C10" s="19">
        <v>21</v>
      </c>
      <c r="D10" s="31">
        <v>3000</v>
      </c>
      <c r="E10" s="19" t="s">
        <v>12</v>
      </c>
      <c r="F10" s="19">
        <v>0</v>
      </c>
      <c r="G10" s="19">
        <v>0</v>
      </c>
      <c r="I10" s="23"/>
      <c r="K10" s="4"/>
    </row>
    <row r="11" spans="1:14" ht="16.149999999999999" customHeight="1">
      <c r="A11" s="1">
        <v>31</v>
      </c>
      <c r="B11" s="3" t="s">
        <v>30</v>
      </c>
      <c r="C11">
        <v>19</v>
      </c>
      <c r="D11" s="4">
        <v>3000</v>
      </c>
      <c r="E11" t="s">
        <v>12</v>
      </c>
      <c r="F11">
        <v>0</v>
      </c>
      <c r="G11">
        <v>0</v>
      </c>
      <c r="I11" s="23"/>
      <c r="K11" s="4"/>
    </row>
    <row r="12" spans="1:14" ht="16.149999999999999" customHeight="1">
      <c r="A12" s="1">
        <v>32</v>
      </c>
      <c r="B12" s="3" t="s">
        <v>30</v>
      </c>
      <c r="C12">
        <v>18</v>
      </c>
      <c r="D12" s="4">
        <v>3000</v>
      </c>
      <c r="E12" t="s">
        <v>12</v>
      </c>
      <c r="F12">
        <v>0</v>
      </c>
      <c r="G12">
        <v>0</v>
      </c>
      <c r="I12" s="23"/>
      <c r="K12" s="4"/>
    </row>
    <row r="13" spans="1:14">
      <c r="A13" s="1">
        <v>33</v>
      </c>
      <c r="B13" s="3" t="s">
        <v>30</v>
      </c>
      <c r="C13">
        <v>17</v>
      </c>
      <c r="D13" s="4">
        <v>3000</v>
      </c>
      <c r="E13" t="s">
        <v>12</v>
      </c>
      <c r="F13">
        <v>0</v>
      </c>
      <c r="G13">
        <v>0</v>
      </c>
      <c r="I13" s="23"/>
      <c r="K13" s="4"/>
    </row>
    <row r="14" spans="1:14" ht="13.9" customHeight="1">
      <c r="A14" s="1">
        <v>34</v>
      </c>
      <c r="B14" s="3" t="s">
        <v>30</v>
      </c>
      <c r="C14">
        <v>16</v>
      </c>
      <c r="D14" s="4">
        <v>3000</v>
      </c>
      <c r="E14" t="s">
        <v>12</v>
      </c>
      <c r="F14">
        <v>0</v>
      </c>
      <c r="G14">
        <v>0</v>
      </c>
      <c r="I14" s="23"/>
      <c r="K14" s="4"/>
    </row>
    <row r="15" spans="1:14">
      <c r="A15" s="1">
        <v>35</v>
      </c>
      <c r="B15" s="3" t="s">
        <v>30</v>
      </c>
      <c r="C15">
        <v>15</v>
      </c>
      <c r="D15" s="4">
        <v>3000</v>
      </c>
      <c r="E15" t="s">
        <v>12</v>
      </c>
      <c r="F15">
        <v>0</v>
      </c>
      <c r="G15">
        <v>0</v>
      </c>
      <c r="I15" s="23"/>
      <c r="L15" s="3"/>
      <c r="N15" s="4"/>
    </row>
    <row r="16" spans="1:14">
      <c r="A16" s="1">
        <v>36</v>
      </c>
      <c r="B16" s="3" t="s">
        <v>30</v>
      </c>
      <c r="C16">
        <v>14</v>
      </c>
      <c r="D16" s="4">
        <v>3000</v>
      </c>
      <c r="E16" t="s">
        <v>12</v>
      </c>
      <c r="F16">
        <v>0</v>
      </c>
      <c r="G16">
        <v>0</v>
      </c>
      <c r="I16" s="23"/>
      <c r="L16" s="3"/>
      <c r="N16" s="4"/>
    </row>
    <row r="17" spans="1:14">
      <c r="A17" s="1">
        <v>37</v>
      </c>
      <c r="B17" s="3" t="s">
        <v>30</v>
      </c>
      <c r="C17">
        <v>13</v>
      </c>
      <c r="D17" s="4">
        <v>3000</v>
      </c>
      <c r="E17" t="s">
        <v>12</v>
      </c>
      <c r="F17">
        <v>0</v>
      </c>
      <c r="G17">
        <v>0</v>
      </c>
      <c r="I17" s="23"/>
      <c r="K17" s="1"/>
      <c r="L17" s="3"/>
      <c r="N17" s="4"/>
    </row>
    <row r="18" spans="1:14">
      <c r="A18" s="1">
        <v>38</v>
      </c>
      <c r="B18" s="3" t="s">
        <v>30</v>
      </c>
      <c r="C18">
        <v>12</v>
      </c>
      <c r="D18" s="4">
        <v>3000</v>
      </c>
      <c r="E18" t="s">
        <v>12</v>
      </c>
      <c r="F18">
        <v>0</v>
      </c>
      <c r="G18">
        <v>0</v>
      </c>
      <c r="I18" s="23"/>
      <c r="J18" t="s">
        <v>76</v>
      </c>
      <c r="L18" s="3"/>
      <c r="N18" s="4"/>
    </row>
    <row r="19" spans="1:14">
      <c r="A19" s="1">
        <v>39</v>
      </c>
      <c r="B19" s="3" t="s">
        <v>30</v>
      </c>
      <c r="C19">
        <v>11</v>
      </c>
      <c r="D19" s="4">
        <v>3500</v>
      </c>
      <c r="E19" t="s">
        <v>12</v>
      </c>
      <c r="F19">
        <v>0</v>
      </c>
      <c r="G19">
        <v>0</v>
      </c>
      <c r="I19" s="23"/>
      <c r="J19" t="s">
        <v>77</v>
      </c>
    </row>
    <row r="20" spans="1:14">
      <c r="A20" s="1">
        <v>40</v>
      </c>
      <c r="B20" s="3" t="s">
        <v>30</v>
      </c>
      <c r="C20">
        <v>10</v>
      </c>
      <c r="D20" s="4">
        <v>3500</v>
      </c>
      <c r="E20" t="s">
        <v>12</v>
      </c>
      <c r="F20">
        <v>0</v>
      </c>
      <c r="G20">
        <v>0</v>
      </c>
      <c r="I20" s="23"/>
    </row>
    <row r="21" spans="1:14">
      <c r="A21" s="1">
        <v>41</v>
      </c>
      <c r="B21" s="3" t="s">
        <v>30</v>
      </c>
      <c r="C21">
        <v>9</v>
      </c>
      <c r="D21" s="4">
        <v>3500</v>
      </c>
      <c r="E21" t="s">
        <v>12</v>
      </c>
      <c r="F21">
        <v>0</v>
      </c>
      <c r="G21">
        <v>0</v>
      </c>
      <c r="J21" t="s">
        <v>78</v>
      </c>
    </row>
    <row r="22" spans="1:14">
      <c r="A22" s="1">
        <v>42</v>
      </c>
      <c r="B22" s="3" t="s">
        <v>30</v>
      </c>
      <c r="C22">
        <v>8</v>
      </c>
      <c r="D22" s="4">
        <v>3500</v>
      </c>
      <c r="E22" t="s">
        <v>12</v>
      </c>
      <c r="F22">
        <v>0</v>
      </c>
      <c r="G22">
        <v>0</v>
      </c>
    </row>
    <row r="23" spans="1:14">
      <c r="A23" s="1">
        <v>43</v>
      </c>
      <c r="B23" s="3" t="s">
        <v>30</v>
      </c>
      <c r="C23">
        <v>7</v>
      </c>
      <c r="D23" s="4">
        <v>3500</v>
      </c>
      <c r="E23" t="s">
        <v>12</v>
      </c>
      <c r="F23">
        <v>0</v>
      </c>
      <c r="G23">
        <v>0</v>
      </c>
    </row>
    <row r="24" spans="1:14">
      <c r="A24" s="1">
        <v>44</v>
      </c>
      <c r="B24" s="3" t="s">
        <v>30</v>
      </c>
      <c r="C24">
        <v>6</v>
      </c>
      <c r="D24" s="4">
        <v>3500</v>
      </c>
      <c r="E24" t="s">
        <v>12</v>
      </c>
      <c r="F24">
        <v>0</v>
      </c>
      <c r="G24">
        <v>0</v>
      </c>
    </row>
    <row r="25" spans="1:14">
      <c r="A25" s="1">
        <v>45</v>
      </c>
      <c r="B25" s="3" t="s">
        <v>30</v>
      </c>
      <c r="C25">
        <v>5</v>
      </c>
      <c r="D25" s="4">
        <v>3500</v>
      </c>
      <c r="E25" t="s">
        <v>12</v>
      </c>
      <c r="F25">
        <v>0</v>
      </c>
      <c r="G25">
        <v>0</v>
      </c>
    </row>
    <row r="26" spans="1:14">
      <c r="A26" s="1">
        <v>46</v>
      </c>
      <c r="B26" s="3" t="s">
        <v>30</v>
      </c>
      <c r="C26">
        <v>4</v>
      </c>
      <c r="D26" s="4">
        <v>3500</v>
      </c>
      <c r="E26" t="s">
        <v>12</v>
      </c>
      <c r="F26">
        <v>0</v>
      </c>
      <c r="G26">
        <v>0</v>
      </c>
    </row>
    <row r="27" spans="1:14">
      <c r="A27" s="1">
        <v>47</v>
      </c>
      <c r="B27" s="3" t="s">
        <v>30</v>
      </c>
      <c r="C27">
        <v>3</v>
      </c>
      <c r="D27" s="4">
        <v>3500</v>
      </c>
      <c r="E27" t="s">
        <v>12</v>
      </c>
      <c r="F27">
        <v>0</v>
      </c>
      <c r="G27">
        <v>0</v>
      </c>
    </row>
    <row r="28" spans="1:14">
      <c r="A28" s="1">
        <v>48</v>
      </c>
      <c r="B28" s="3" t="s">
        <v>30</v>
      </c>
      <c r="C28">
        <v>2</v>
      </c>
      <c r="D28" s="4">
        <v>3850</v>
      </c>
      <c r="E28" t="s">
        <v>12</v>
      </c>
      <c r="F28">
        <v>0</v>
      </c>
      <c r="G28">
        <v>0</v>
      </c>
    </row>
    <row r="29" spans="1:14">
      <c r="A29" s="1">
        <v>49</v>
      </c>
      <c r="B29" s="29" t="s">
        <v>30</v>
      </c>
      <c r="C29" s="19">
        <v>1</v>
      </c>
      <c r="D29" s="30">
        <v>3000</v>
      </c>
      <c r="E29" s="19" t="s">
        <v>12</v>
      </c>
      <c r="F29" s="19">
        <v>0</v>
      </c>
      <c r="G29" s="19">
        <v>0</v>
      </c>
    </row>
    <row r="30" spans="1:14">
      <c r="A30" s="1">
        <v>50</v>
      </c>
      <c r="B30" s="3" t="s">
        <v>14</v>
      </c>
      <c r="C30">
        <v>24</v>
      </c>
      <c r="D30" s="27">
        <v>3000</v>
      </c>
      <c r="E30" t="s">
        <v>12</v>
      </c>
      <c r="F30">
        <v>0</v>
      </c>
      <c r="G30">
        <v>0</v>
      </c>
      <c r="I30" s="23"/>
    </row>
    <row r="31" spans="1:14">
      <c r="A31" s="1">
        <v>51</v>
      </c>
      <c r="B31" s="3" t="s">
        <v>14</v>
      </c>
      <c r="C31">
        <v>22</v>
      </c>
      <c r="D31" s="27">
        <v>3000</v>
      </c>
      <c r="E31" t="s">
        <v>12</v>
      </c>
      <c r="F31">
        <v>0</v>
      </c>
      <c r="G31">
        <v>0</v>
      </c>
    </row>
    <row r="32" spans="1:14">
      <c r="A32" s="1">
        <v>52</v>
      </c>
      <c r="B32" s="3" t="s">
        <v>14</v>
      </c>
      <c r="C32">
        <v>20</v>
      </c>
      <c r="D32" s="27">
        <v>3000</v>
      </c>
      <c r="E32" t="s">
        <v>12</v>
      </c>
      <c r="F32">
        <v>0</v>
      </c>
      <c r="G32">
        <v>0</v>
      </c>
      <c r="I32" s="23"/>
    </row>
    <row r="33" spans="1:9">
      <c r="A33" s="1">
        <v>53</v>
      </c>
      <c r="B33" s="3" t="s">
        <v>14</v>
      </c>
      <c r="C33">
        <v>18</v>
      </c>
      <c r="D33" s="27">
        <v>3000</v>
      </c>
      <c r="E33" t="s">
        <v>12</v>
      </c>
      <c r="F33">
        <v>0</v>
      </c>
      <c r="G33">
        <v>0</v>
      </c>
      <c r="I33" s="23"/>
    </row>
    <row r="34" spans="1:9">
      <c r="A34" s="1">
        <v>54</v>
      </c>
      <c r="B34" s="3" t="s">
        <v>14</v>
      </c>
      <c r="C34">
        <v>16</v>
      </c>
      <c r="D34" s="27">
        <v>3000</v>
      </c>
      <c r="E34" t="s">
        <v>12</v>
      </c>
      <c r="F34">
        <v>0</v>
      </c>
      <c r="G34">
        <v>0</v>
      </c>
      <c r="I34" s="23"/>
    </row>
    <row r="35" spans="1:9">
      <c r="A35" s="1">
        <v>55</v>
      </c>
      <c r="B35" s="3" t="s">
        <v>14</v>
      </c>
      <c r="C35">
        <v>14</v>
      </c>
      <c r="D35" s="27">
        <v>3000</v>
      </c>
      <c r="E35" t="s">
        <v>12</v>
      </c>
      <c r="F35">
        <v>0</v>
      </c>
      <c r="G35">
        <v>0</v>
      </c>
      <c r="I35" s="23"/>
    </row>
    <row r="36" spans="1:9">
      <c r="A36" s="1">
        <v>56</v>
      </c>
      <c r="B36" s="3" t="s">
        <v>14</v>
      </c>
      <c r="C36">
        <v>10</v>
      </c>
      <c r="D36" s="27">
        <v>3000</v>
      </c>
      <c r="E36" t="s">
        <v>12</v>
      </c>
      <c r="F36">
        <v>0</v>
      </c>
      <c r="G36">
        <v>0</v>
      </c>
      <c r="I36" s="23"/>
    </row>
    <row r="37" spans="1:9">
      <c r="A37" s="1">
        <v>57</v>
      </c>
      <c r="B37" s="29" t="s">
        <v>14</v>
      </c>
      <c r="C37">
        <v>8</v>
      </c>
      <c r="D37" s="30">
        <v>3000</v>
      </c>
      <c r="E37" s="19" t="s">
        <v>12</v>
      </c>
      <c r="F37" s="19">
        <v>0</v>
      </c>
      <c r="G37" s="19">
        <v>0</v>
      </c>
      <c r="I37" s="23"/>
    </row>
    <row r="38" spans="1:9">
      <c r="A38" s="1">
        <v>58</v>
      </c>
      <c r="B38" s="29" t="s">
        <v>14</v>
      </c>
      <c r="C38" s="19">
        <v>6</v>
      </c>
      <c r="D38" s="30">
        <v>4000</v>
      </c>
      <c r="E38" s="19" t="s">
        <v>12</v>
      </c>
      <c r="F38" s="19">
        <v>0</v>
      </c>
      <c r="G38" s="19">
        <v>0</v>
      </c>
      <c r="I38" s="23"/>
    </row>
    <row r="39" spans="1:9">
      <c r="A39" s="1">
        <v>59</v>
      </c>
      <c r="B39" s="29" t="s">
        <v>14</v>
      </c>
      <c r="C39" s="19">
        <v>4</v>
      </c>
      <c r="D39" s="30">
        <v>3000</v>
      </c>
      <c r="E39" s="19" t="s">
        <v>12</v>
      </c>
      <c r="F39" s="19">
        <v>0</v>
      </c>
      <c r="G39" s="19">
        <v>0</v>
      </c>
    </row>
    <row r="40" spans="1:9">
      <c r="A40" s="1">
        <v>60</v>
      </c>
      <c r="B40" s="29" t="s">
        <v>14</v>
      </c>
      <c r="C40" s="19">
        <v>3</v>
      </c>
      <c r="D40" s="30">
        <v>3000</v>
      </c>
      <c r="E40" s="19" t="s">
        <v>12</v>
      </c>
      <c r="F40" s="19">
        <v>0</v>
      </c>
      <c r="G40" s="19">
        <v>0</v>
      </c>
    </row>
    <row r="41" spans="1:9">
      <c r="A41" s="1">
        <v>61</v>
      </c>
      <c r="B41" s="3" t="s">
        <v>14</v>
      </c>
      <c r="C41">
        <v>2</v>
      </c>
      <c r="D41" s="27">
        <v>3000</v>
      </c>
      <c r="E41" t="s">
        <v>12</v>
      </c>
      <c r="F41">
        <v>0</v>
      </c>
      <c r="G41">
        <v>0</v>
      </c>
    </row>
    <row r="42" spans="1:9">
      <c r="A42" s="1">
        <v>62</v>
      </c>
      <c r="B42" t="s">
        <v>79</v>
      </c>
      <c r="C42">
        <v>26</v>
      </c>
      <c r="D42" s="28">
        <v>1500</v>
      </c>
      <c r="E42" t="s">
        <v>12</v>
      </c>
      <c r="F42">
        <v>0</v>
      </c>
      <c r="G42">
        <v>0</v>
      </c>
    </row>
    <row r="43" spans="1:9">
      <c r="A43" s="1">
        <v>63</v>
      </c>
      <c r="B43" t="s">
        <v>79</v>
      </c>
      <c r="C43">
        <v>22</v>
      </c>
      <c r="D43" s="28">
        <v>1500</v>
      </c>
      <c r="E43" t="s">
        <v>12</v>
      </c>
      <c r="F43">
        <v>0</v>
      </c>
      <c r="G43">
        <v>0</v>
      </c>
    </row>
    <row r="44" spans="1:9">
      <c r="A44" s="1">
        <v>64</v>
      </c>
      <c r="B44" t="s">
        <v>79</v>
      </c>
      <c r="C44">
        <v>18</v>
      </c>
      <c r="D44" s="28">
        <v>1500</v>
      </c>
      <c r="E44" t="s">
        <v>12</v>
      </c>
      <c r="F44">
        <v>0</v>
      </c>
      <c r="G44">
        <v>0</v>
      </c>
    </row>
    <row r="45" spans="1:9">
      <c r="A45" s="1">
        <v>65</v>
      </c>
      <c r="B45" t="s">
        <v>79</v>
      </c>
      <c r="C45">
        <v>14</v>
      </c>
      <c r="D45" s="28">
        <v>1500</v>
      </c>
      <c r="E45" t="s">
        <v>12</v>
      </c>
      <c r="F45">
        <v>0</v>
      </c>
      <c r="G45">
        <v>0</v>
      </c>
    </row>
    <row r="46" spans="1:9">
      <c r="A46" s="1">
        <v>66</v>
      </c>
      <c r="B46" t="s">
        <v>79</v>
      </c>
      <c r="C46">
        <v>10</v>
      </c>
      <c r="D46" s="28">
        <v>1500</v>
      </c>
      <c r="E46" t="s">
        <v>12</v>
      </c>
      <c r="F46">
        <v>0</v>
      </c>
      <c r="G46">
        <v>0</v>
      </c>
    </row>
    <row r="47" spans="1:9">
      <c r="A47" s="1">
        <v>67</v>
      </c>
      <c r="B47" t="s">
        <v>79</v>
      </c>
      <c r="C47">
        <v>8</v>
      </c>
      <c r="D47" s="28">
        <v>1500</v>
      </c>
      <c r="E47" t="s">
        <v>12</v>
      </c>
      <c r="F47">
        <v>0</v>
      </c>
      <c r="G47">
        <v>0</v>
      </c>
    </row>
    <row r="48" spans="1:9">
      <c r="A48" s="1">
        <v>68</v>
      </c>
      <c r="B48" t="s">
        <v>79</v>
      </c>
      <c r="C48">
        <v>4</v>
      </c>
      <c r="D48" s="28">
        <v>2000</v>
      </c>
      <c r="E48" t="s">
        <v>12</v>
      </c>
      <c r="F48">
        <v>0</v>
      </c>
      <c r="G48">
        <v>0</v>
      </c>
    </row>
    <row r="49" spans="1:7">
      <c r="A49" s="1">
        <v>69</v>
      </c>
      <c r="B49" t="s">
        <v>79</v>
      </c>
      <c r="C49">
        <v>1</v>
      </c>
      <c r="D49" s="28">
        <v>2000</v>
      </c>
      <c r="E49" t="s">
        <v>12</v>
      </c>
      <c r="F49">
        <v>0</v>
      </c>
      <c r="G49">
        <v>0</v>
      </c>
    </row>
    <row r="50" spans="1:7">
      <c r="A50" s="1">
        <v>70</v>
      </c>
      <c r="B50" s="29" t="s">
        <v>31</v>
      </c>
      <c r="C50">
        <v>23</v>
      </c>
      <c r="D50">
        <v>3000</v>
      </c>
      <c r="E50" t="s">
        <v>12</v>
      </c>
      <c r="F50">
        <v>0</v>
      </c>
      <c r="G50">
        <v>0</v>
      </c>
    </row>
    <row r="51" spans="1:7">
      <c r="A51" s="1">
        <v>71</v>
      </c>
      <c r="B51" s="29" t="s">
        <v>31</v>
      </c>
      <c r="C51">
        <v>10</v>
      </c>
      <c r="D51">
        <v>3000</v>
      </c>
      <c r="E51" t="s">
        <v>12</v>
      </c>
      <c r="F51">
        <v>0</v>
      </c>
      <c r="G51">
        <v>0</v>
      </c>
    </row>
    <row r="52" spans="1:7">
      <c r="A52" s="1">
        <v>72</v>
      </c>
      <c r="B52" s="29" t="s">
        <v>31</v>
      </c>
      <c r="C52">
        <v>5</v>
      </c>
      <c r="D52">
        <v>3000</v>
      </c>
      <c r="E52" t="s">
        <v>12</v>
      </c>
      <c r="F52">
        <v>0</v>
      </c>
      <c r="G52">
        <v>0</v>
      </c>
    </row>
    <row r="53" spans="1:7">
      <c r="A53" s="1">
        <v>73</v>
      </c>
      <c r="B53" s="29" t="s">
        <v>31</v>
      </c>
      <c r="C53">
        <v>3</v>
      </c>
      <c r="D53">
        <v>3000</v>
      </c>
      <c r="E53" t="s">
        <v>12</v>
      </c>
      <c r="F53">
        <v>0</v>
      </c>
      <c r="G53">
        <v>0</v>
      </c>
    </row>
    <row r="54" spans="1:7">
      <c r="A54" s="1">
        <v>74</v>
      </c>
      <c r="B54" s="29" t="s">
        <v>31</v>
      </c>
      <c r="C54">
        <v>1</v>
      </c>
      <c r="D54">
        <v>3000</v>
      </c>
      <c r="E54" t="s">
        <v>12</v>
      </c>
      <c r="F54">
        <v>0</v>
      </c>
      <c r="G54">
        <v>0</v>
      </c>
    </row>
    <row r="58" spans="1:7">
      <c r="A58" s="1">
        <v>53</v>
      </c>
      <c r="B58" t="s">
        <v>74</v>
      </c>
      <c r="C58">
        <v>1</v>
      </c>
      <c r="D58" s="28">
        <v>0.5</v>
      </c>
      <c r="E58" t="s">
        <v>12</v>
      </c>
      <c r="F58">
        <v>0</v>
      </c>
      <c r="G58">
        <v>0.9</v>
      </c>
    </row>
    <row r="59" spans="1:7">
      <c r="A59" s="1">
        <v>54</v>
      </c>
      <c r="B59" t="s">
        <v>22</v>
      </c>
      <c r="C59">
        <v>1</v>
      </c>
      <c r="D59" s="28">
        <v>0.5</v>
      </c>
      <c r="E59" t="s">
        <v>12</v>
      </c>
      <c r="F59">
        <v>0</v>
      </c>
      <c r="G59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E5249-AF0A-4549-9875-D1E47382ED2C}">
  <sheetPr>
    <tabColor rgb="FF92D050"/>
  </sheetPr>
  <dimension ref="A1:N53"/>
  <sheetViews>
    <sheetView showRuler="0" zoomScale="64" zoomScaleNormal="64" workbookViewId="0">
      <selection activeCell="K33" sqref="K33"/>
    </sheetView>
  </sheetViews>
  <sheetFormatPr defaultRowHeight="15"/>
  <cols>
    <col min="2" max="2" width="35.85546875" customWidth="1"/>
    <col min="7" max="7" width="13.85546875" customWidth="1"/>
    <col min="10" max="10" width="28.85546875" bestFit="1" customWidth="1"/>
    <col min="11" max="11" width="14.42578125" bestFit="1" customWidth="1"/>
  </cols>
  <sheetData>
    <row r="1" spans="1:14">
      <c r="A1" t="s">
        <v>17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8</v>
      </c>
      <c r="G1" s="1" t="s">
        <v>9</v>
      </c>
    </row>
    <row r="2" spans="1:14">
      <c r="A2" s="1">
        <v>22</v>
      </c>
      <c r="B2" t="s">
        <v>29</v>
      </c>
      <c r="C2">
        <v>1</v>
      </c>
      <c r="D2" s="4">
        <v>5663.9430000000002</v>
      </c>
      <c r="E2" t="s">
        <v>12</v>
      </c>
      <c r="F2">
        <v>0</v>
      </c>
      <c r="G2">
        <v>0</v>
      </c>
      <c r="I2" s="23"/>
    </row>
    <row r="3" spans="1:14">
      <c r="A3" s="1">
        <v>23</v>
      </c>
      <c r="B3" s="3" t="s">
        <v>31</v>
      </c>
      <c r="C3">
        <v>20</v>
      </c>
      <c r="D3" s="4">
        <v>2400</v>
      </c>
      <c r="E3" t="s">
        <v>12</v>
      </c>
      <c r="F3">
        <v>0</v>
      </c>
      <c r="G3">
        <v>0</v>
      </c>
    </row>
    <row r="4" spans="1:14">
      <c r="A4" s="1">
        <v>24</v>
      </c>
      <c r="B4" s="3" t="s">
        <v>31</v>
      </c>
      <c r="C4">
        <v>16</v>
      </c>
      <c r="D4" s="4">
        <v>2400</v>
      </c>
      <c r="E4" t="s">
        <v>12</v>
      </c>
      <c r="F4">
        <v>0</v>
      </c>
      <c r="G4">
        <v>0</v>
      </c>
      <c r="I4" s="23"/>
    </row>
    <row r="5" spans="1:14" ht="16.149999999999999" customHeight="1">
      <c r="A5" s="1">
        <v>25</v>
      </c>
      <c r="B5" s="3" t="s">
        <v>31</v>
      </c>
      <c r="C5">
        <v>12</v>
      </c>
      <c r="D5" s="4">
        <v>2400</v>
      </c>
      <c r="E5" t="s">
        <v>12</v>
      </c>
      <c r="F5">
        <v>0</v>
      </c>
      <c r="G5">
        <v>0</v>
      </c>
      <c r="I5" s="23"/>
      <c r="K5" s="4">
        <f>D5*3</f>
        <v>7200</v>
      </c>
    </row>
    <row r="6" spans="1:14" ht="16.149999999999999" customHeight="1">
      <c r="A6" s="1">
        <v>26</v>
      </c>
      <c r="B6" s="3" t="s">
        <v>31</v>
      </c>
      <c r="C6">
        <v>7</v>
      </c>
      <c r="D6" s="4">
        <v>2400</v>
      </c>
      <c r="E6" t="s">
        <v>12</v>
      </c>
      <c r="F6">
        <v>0</v>
      </c>
      <c r="G6">
        <v>0</v>
      </c>
      <c r="I6" s="23"/>
      <c r="K6" s="4"/>
    </row>
    <row r="7" spans="1:14" ht="16.149999999999999" customHeight="1">
      <c r="A7" s="1">
        <v>27</v>
      </c>
      <c r="B7" s="3" t="s">
        <v>31</v>
      </c>
      <c r="C7">
        <v>2</v>
      </c>
      <c r="D7" s="4">
        <v>2400</v>
      </c>
      <c r="E7" t="s">
        <v>12</v>
      </c>
      <c r="F7">
        <v>0</v>
      </c>
      <c r="G7">
        <v>0</v>
      </c>
      <c r="I7" s="23"/>
      <c r="K7" s="4"/>
    </row>
    <row r="8" spans="1:14" ht="16.149999999999999" customHeight="1">
      <c r="A8" s="1">
        <v>28</v>
      </c>
      <c r="B8" s="3" t="s">
        <v>30</v>
      </c>
      <c r="C8">
        <v>24</v>
      </c>
      <c r="D8" s="4">
        <v>1000</v>
      </c>
      <c r="E8" t="s">
        <v>12</v>
      </c>
      <c r="F8">
        <v>0</v>
      </c>
      <c r="G8">
        <v>0</v>
      </c>
      <c r="H8" s="4"/>
      <c r="I8" s="23"/>
      <c r="K8" s="4"/>
    </row>
    <row r="9" spans="1:14" ht="16.149999999999999" customHeight="1">
      <c r="A9" s="1">
        <v>29</v>
      </c>
      <c r="B9" s="3" t="s">
        <v>30</v>
      </c>
      <c r="C9">
        <v>23</v>
      </c>
      <c r="D9" s="4">
        <v>1700</v>
      </c>
      <c r="E9" t="s">
        <v>12</v>
      </c>
      <c r="F9">
        <v>0</v>
      </c>
      <c r="G9">
        <v>0</v>
      </c>
      <c r="H9" s="4"/>
      <c r="I9" s="23"/>
      <c r="K9" s="4"/>
    </row>
    <row r="10" spans="1:14" ht="16.149999999999999" customHeight="1">
      <c r="A10" s="1">
        <v>30</v>
      </c>
      <c r="B10" s="29" t="s">
        <v>30</v>
      </c>
      <c r="C10" s="19">
        <v>21</v>
      </c>
      <c r="D10" s="4">
        <v>1700</v>
      </c>
      <c r="E10" s="19" t="s">
        <v>12</v>
      </c>
      <c r="F10" s="19">
        <v>0</v>
      </c>
      <c r="G10" s="19">
        <v>0</v>
      </c>
      <c r="H10" s="4"/>
      <c r="I10" s="23"/>
      <c r="K10" s="4"/>
    </row>
    <row r="11" spans="1:14" ht="16.149999999999999" customHeight="1">
      <c r="A11" s="1">
        <v>31</v>
      </c>
      <c r="B11" s="3" t="s">
        <v>30</v>
      </c>
      <c r="C11">
        <v>19</v>
      </c>
      <c r="D11" s="4">
        <v>1700</v>
      </c>
      <c r="E11" t="s">
        <v>12</v>
      </c>
      <c r="F11">
        <v>0</v>
      </c>
      <c r="G11">
        <v>0</v>
      </c>
      <c r="H11" s="4"/>
      <c r="I11" s="23"/>
      <c r="K11" s="4"/>
    </row>
    <row r="12" spans="1:14" ht="16.149999999999999" customHeight="1">
      <c r="A12" s="1">
        <v>32</v>
      </c>
      <c r="B12" s="3" t="s">
        <v>30</v>
      </c>
      <c r="C12">
        <v>18</v>
      </c>
      <c r="D12" s="4">
        <v>2200</v>
      </c>
      <c r="E12" t="s">
        <v>12</v>
      </c>
      <c r="F12">
        <v>0</v>
      </c>
      <c r="G12">
        <v>0</v>
      </c>
      <c r="H12" s="4"/>
      <c r="I12" s="23"/>
      <c r="K12" s="4"/>
    </row>
    <row r="13" spans="1:14">
      <c r="A13" s="1">
        <v>33</v>
      </c>
      <c r="B13" s="3" t="s">
        <v>30</v>
      </c>
      <c r="C13">
        <v>17</v>
      </c>
      <c r="D13" s="4">
        <v>2200</v>
      </c>
      <c r="E13" t="s">
        <v>12</v>
      </c>
      <c r="F13">
        <v>0</v>
      </c>
      <c r="G13">
        <v>0</v>
      </c>
      <c r="H13" s="4"/>
      <c r="I13" s="23"/>
      <c r="K13" s="4"/>
    </row>
    <row r="14" spans="1:14" ht="13.9" customHeight="1">
      <c r="A14" s="1">
        <v>34</v>
      </c>
      <c r="B14" s="3" t="s">
        <v>30</v>
      </c>
      <c r="C14">
        <v>16</v>
      </c>
      <c r="D14" s="4">
        <v>2200</v>
      </c>
      <c r="E14" t="s">
        <v>12</v>
      </c>
      <c r="F14">
        <v>0</v>
      </c>
      <c r="G14">
        <v>0</v>
      </c>
      <c r="H14" s="4"/>
      <c r="I14" s="23"/>
      <c r="K14" s="4"/>
    </row>
    <row r="15" spans="1:14">
      <c r="A15" s="1">
        <v>35</v>
      </c>
      <c r="B15" s="3" t="s">
        <v>30</v>
      </c>
      <c r="C15">
        <v>15</v>
      </c>
      <c r="D15" s="4">
        <v>2200</v>
      </c>
      <c r="E15" t="s">
        <v>12</v>
      </c>
      <c r="F15">
        <v>0</v>
      </c>
      <c r="G15">
        <v>0</v>
      </c>
      <c r="H15" s="4"/>
      <c r="I15" s="23"/>
      <c r="L15" s="3"/>
      <c r="N15" s="4"/>
    </row>
    <row r="16" spans="1:14">
      <c r="A16" s="1">
        <v>36</v>
      </c>
      <c r="B16" s="3" t="s">
        <v>30</v>
      </c>
      <c r="C16">
        <v>14</v>
      </c>
      <c r="D16" s="4">
        <v>2200</v>
      </c>
      <c r="E16" t="s">
        <v>12</v>
      </c>
      <c r="F16">
        <v>0</v>
      </c>
      <c r="G16">
        <v>0</v>
      </c>
      <c r="H16" s="4"/>
      <c r="I16" s="23"/>
      <c r="L16" s="3"/>
      <c r="N16" s="4"/>
    </row>
    <row r="17" spans="1:14">
      <c r="A17" s="1">
        <v>37</v>
      </c>
      <c r="B17" s="3" t="s">
        <v>30</v>
      </c>
      <c r="C17">
        <v>13</v>
      </c>
      <c r="D17" s="4">
        <v>2200</v>
      </c>
      <c r="E17" t="s">
        <v>12</v>
      </c>
      <c r="F17">
        <v>0</v>
      </c>
      <c r="G17">
        <v>0</v>
      </c>
      <c r="H17" s="4"/>
      <c r="I17" s="23"/>
      <c r="K17" s="1"/>
      <c r="L17" s="3"/>
      <c r="N17" s="4"/>
    </row>
    <row r="18" spans="1:14">
      <c r="A18" s="1">
        <v>38</v>
      </c>
      <c r="B18" s="3" t="s">
        <v>30</v>
      </c>
      <c r="C18">
        <v>12</v>
      </c>
      <c r="D18" s="4">
        <v>2200</v>
      </c>
      <c r="E18" t="s">
        <v>12</v>
      </c>
      <c r="F18">
        <v>0</v>
      </c>
      <c r="G18">
        <v>0</v>
      </c>
      <c r="H18" s="4"/>
      <c r="I18" s="23"/>
      <c r="J18" t="s">
        <v>76</v>
      </c>
      <c r="L18" s="3"/>
      <c r="N18" s="4"/>
    </row>
    <row r="19" spans="1:14">
      <c r="A19" s="1">
        <v>39</v>
      </c>
      <c r="B19" s="3" t="s">
        <v>30</v>
      </c>
      <c r="C19">
        <v>11</v>
      </c>
      <c r="D19" s="4">
        <v>2200</v>
      </c>
      <c r="E19" t="s">
        <v>12</v>
      </c>
      <c r="F19">
        <v>0</v>
      </c>
      <c r="G19">
        <v>0</v>
      </c>
      <c r="H19" s="4"/>
      <c r="I19" s="23"/>
      <c r="J19" t="s">
        <v>77</v>
      </c>
    </row>
    <row r="20" spans="1:14">
      <c r="A20" s="1">
        <v>40</v>
      </c>
      <c r="B20" s="3" t="s">
        <v>30</v>
      </c>
      <c r="C20">
        <v>10</v>
      </c>
      <c r="D20" s="4">
        <v>2200</v>
      </c>
      <c r="E20" t="s">
        <v>12</v>
      </c>
      <c r="F20">
        <v>0</v>
      </c>
      <c r="G20">
        <v>0</v>
      </c>
      <c r="H20" s="4"/>
      <c r="I20" s="23"/>
    </row>
    <row r="21" spans="1:14">
      <c r="A21" s="1">
        <v>41</v>
      </c>
      <c r="B21" s="3" t="s">
        <v>30</v>
      </c>
      <c r="C21">
        <v>9</v>
      </c>
      <c r="D21" s="4">
        <v>2200</v>
      </c>
      <c r="E21" t="s">
        <v>12</v>
      </c>
      <c r="F21">
        <v>0</v>
      </c>
      <c r="G21">
        <v>0</v>
      </c>
      <c r="H21" s="4"/>
      <c r="J21" t="s">
        <v>78</v>
      </c>
    </row>
    <row r="22" spans="1:14">
      <c r="A22" s="1">
        <v>42</v>
      </c>
      <c r="B22" s="3" t="s">
        <v>30</v>
      </c>
      <c r="C22">
        <v>8</v>
      </c>
      <c r="D22" s="4">
        <v>2200</v>
      </c>
      <c r="E22" t="s">
        <v>12</v>
      </c>
      <c r="F22">
        <v>0</v>
      </c>
      <c r="G22">
        <v>0</v>
      </c>
      <c r="H22" s="4"/>
    </row>
    <row r="23" spans="1:14">
      <c r="A23" s="1">
        <v>43</v>
      </c>
      <c r="B23" s="3" t="s">
        <v>30</v>
      </c>
      <c r="C23">
        <v>7</v>
      </c>
      <c r="D23" s="4">
        <v>2200</v>
      </c>
      <c r="E23" t="s">
        <v>12</v>
      </c>
      <c r="F23">
        <v>0</v>
      </c>
      <c r="G23">
        <v>0</v>
      </c>
      <c r="H23" s="4"/>
    </row>
    <row r="24" spans="1:14">
      <c r="A24" s="1">
        <v>44</v>
      </c>
      <c r="B24" s="3" t="s">
        <v>30</v>
      </c>
      <c r="C24">
        <v>6</v>
      </c>
      <c r="D24" s="4">
        <v>2200</v>
      </c>
      <c r="E24" t="s">
        <v>12</v>
      </c>
      <c r="F24">
        <v>0</v>
      </c>
      <c r="G24">
        <v>0</v>
      </c>
      <c r="H24" s="4"/>
    </row>
    <row r="25" spans="1:14">
      <c r="A25" s="1">
        <v>45</v>
      </c>
      <c r="B25" s="3" t="s">
        <v>30</v>
      </c>
      <c r="C25">
        <v>5</v>
      </c>
      <c r="D25" s="4">
        <v>2200</v>
      </c>
      <c r="E25" t="s">
        <v>12</v>
      </c>
      <c r="F25">
        <v>0</v>
      </c>
      <c r="G25">
        <v>0</v>
      </c>
      <c r="H25" s="4"/>
    </row>
    <row r="26" spans="1:14">
      <c r="A26" s="1">
        <v>46</v>
      </c>
      <c r="B26" s="3" t="s">
        <v>30</v>
      </c>
      <c r="C26">
        <v>4</v>
      </c>
      <c r="D26" s="4">
        <v>2200</v>
      </c>
      <c r="E26" t="s">
        <v>12</v>
      </c>
      <c r="F26">
        <v>0</v>
      </c>
      <c r="G26">
        <v>0</v>
      </c>
      <c r="H26" s="4"/>
    </row>
    <row r="27" spans="1:14">
      <c r="A27" s="1">
        <v>47</v>
      </c>
      <c r="B27" s="3" t="s">
        <v>30</v>
      </c>
      <c r="C27">
        <v>3</v>
      </c>
      <c r="D27" s="4">
        <v>2700</v>
      </c>
      <c r="E27" t="s">
        <v>12</v>
      </c>
      <c r="F27">
        <v>0</v>
      </c>
      <c r="G27">
        <v>0</v>
      </c>
      <c r="H27" s="4"/>
    </row>
    <row r="28" spans="1:14">
      <c r="A28" s="1">
        <v>48</v>
      </c>
      <c r="B28" s="3" t="s">
        <v>30</v>
      </c>
      <c r="C28">
        <v>2</v>
      </c>
      <c r="D28" s="4">
        <v>2700</v>
      </c>
      <c r="E28" t="s">
        <v>12</v>
      </c>
      <c r="F28">
        <v>0</v>
      </c>
      <c r="G28">
        <v>0</v>
      </c>
      <c r="H28" s="4"/>
    </row>
    <row r="29" spans="1:14">
      <c r="A29" s="1">
        <v>49</v>
      </c>
      <c r="B29" s="3" t="s">
        <v>30</v>
      </c>
      <c r="C29">
        <v>1</v>
      </c>
      <c r="D29" s="4">
        <v>2700</v>
      </c>
      <c r="E29" t="s">
        <v>12</v>
      </c>
      <c r="F29">
        <v>0</v>
      </c>
      <c r="G29">
        <v>0</v>
      </c>
    </row>
    <row r="30" spans="1:14">
      <c r="A30" s="1">
        <v>50</v>
      </c>
      <c r="B30" s="3" t="s">
        <v>14</v>
      </c>
      <c r="C30">
        <v>24</v>
      </c>
      <c r="D30" s="27">
        <v>4000</v>
      </c>
      <c r="E30" t="s">
        <v>12</v>
      </c>
      <c r="F30">
        <v>0</v>
      </c>
      <c r="G30">
        <v>0</v>
      </c>
      <c r="I30" s="23"/>
    </row>
    <row r="31" spans="1:14">
      <c r="A31" s="1">
        <v>51</v>
      </c>
      <c r="B31" s="3" t="s">
        <v>14</v>
      </c>
      <c r="C31">
        <v>22</v>
      </c>
      <c r="D31" s="27">
        <v>4000</v>
      </c>
      <c r="E31" t="s">
        <v>12</v>
      </c>
      <c r="F31">
        <v>0</v>
      </c>
      <c r="G31">
        <v>0</v>
      </c>
    </row>
    <row r="32" spans="1:14">
      <c r="A32" s="1">
        <v>52</v>
      </c>
      <c r="B32" s="3" t="s">
        <v>14</v>
      </c>
      <c r="C32">
        <v>20</v>
      </c>
      <c r="D32" s="27">
        <v>4000</v>
      </c>
      <c r="E32" t="s">
        <v>12</v>
      </c>
      <c r="F32">
        <v>0</v>
      </c>
      <c r="G32">
        <v>0</v>
      </c>
      <c r="I32" s="23"/>
    </row>
    <row r="33" spans="1:9">
      <c r="A33" s="1">
        <v>53</v>
      </c>
      <c r="B33" s="3" t="s">
        <v>14</v>
      </c>
      <c r="C33">
        <v>18</v>
      </c>
      <c r="D33" s="27">
        <v>4000</v>
      </c>
      <c r="E33" t="s">
        <v>12</v>
      </c>
      <c r="F33">
        <v>0</v>
      </c>
      <c r="G33">
        <v>0</v>
      </c>
      <c r="I33" s="23"/>
    </row>
    <row r="34" spans="1:9">
      <c r="A34" s="1">
        <v>54</v>
      </c>
      <c r="B34" s="3" t="s">
        <v>14</v>
      </c>
      <c r="C34">
        <v>16</v>
      </c>
      <c r="D34" s="27">
        <v>4000</v>
      </c>
      <c r="E34" t="s">
        <v>12</v>
      </c>
      <c r="F34">
        <v>0</v>
      </c>
      <c r="G34">
        <v>0</v>
      </c>
      <c r="I34" s="23"/>
    </row>
    <row r="35" spans="1:9">
      <c r="A35" s="1">
        <v>55</v>
      </c>
      <c r="B35" s="3" t="s">
        <v>14</v>
      </c>
      <c r="C35">
        <v>14</v>
      </c>
      <c r="D35" s="27">
        <v>4000</v>
      </c>
      <c r="E35" t="s">
        <v>12</v>
      </c>
      <c r="F35">
        <v>0</v>
      </c>
      <c r="G35">
        <v>0</v>
      </c>
      <c r="I35" s="23"/>
    </row>
    <row r="36" spans="1:9">
      <c r="A36" s="1">
        <v>56</v>
      </c>
      <c r="B36" s="3" t="s">
        <v>14</v>
      </c>
      <c r="C36">
        <v>10</v>
      </c>
      <c r="D36" s="27">
        <v>4000</v>
      </c>
      <c r="E36" t="s">
        <v>12</v>
      </c>
      <c r="F36">
        <v>0</v>
      </c>
      <c r="G36">
        <v>0</v>
      </c>
      <c r="I36" s="23"/>
    </row>
    <row r="37" spans="1:9">
      <c r="A37" s="1">
        <v>57</v>
      </c>
      <c r="B37" s="3" t="s">
        <v>14</v>
      </c>
      <c r="C37">
        <v>8</v>
      </c>
      <c r="D37" s="27">
        <v>4000</v>
      </c>
      <c r="E37" t="s">
        <v>12</v>
      </c>
      <c r="F37">
        <v>0</v>
      </c>
      <c r="G37">
        <v>0</v>
      </c>
      <c r="I37" s="23"/>
    </row>
    <row r="38" spans="1:9">
      <c r="A38" s="1">
        <v>58</v>
      </c>
      <c r="B38" s="3" t="s">
        <v>14</v>
      </c>
      <c r="C38">
        <v>6</v>
      </c>
      <c r="D38" s="27">
        <v>4000</v>
      </c>
      <c r="E38" t="s">
        <v>12</v>
      </c>
      <c r="F38">
        <v>0</v>
      </c>
      <c r="G38">
        <v>0</v>
      </c>
      <c r="I38" s="23"/>
    </row>
    <row r="39" spans="1:9">
      <c r="A39" s="1">
        <v>59</v>
      </c>
      <c r="B39" s="3" t="s">
        <v>14</v>
      </c>
      <c r="C39">
        <v>4</v>
      </c>
      <c r="D39" s="27">
        <v>4000</v>
      </c>
      <c r="E39" t="s">
        <v>12</v>
      </c>
      <c r="F39">
        <v>0</v>
      </c>
      <c r="G39">
        <v>0</v>
      </c>
    </row>
    <row r="40" spans="1:9">
      <c r="A40" s="1">
        <v>60</v>
      </c>
      <c r="B40" s="3" t="s">
        <v>14</v>
      </c>
      <c r="C40">
        <v>3</v>
      </c>
      <c r="D40" s="27">
        <v>4000</v>
      </c>
      <c r="E40" t="s">
        <v>12</v>
      </c>
      <c r="F40">
        <v>0</v>
      </c>
      <c r="G40">
        <v>0</v>
      </c>
    </row>
    <row r="41" spans="1:9">
      <c r="A41" s="1">
        <v>61</v>
      </c>
      <c r="B41" s="3" t="s">
        <v>14</v>
      </c>
      <c r="C41">
        <v>2</v>
      </c>
      <c r="D41" s="27">
        <v>4000</v>
      </c>
      <c r="E41" t="s">
        <v>12</v>
      </c>
      <c r="F41">
        <v>0</v>
      </c>
      <c r="G41">
        <v>0</v>
      </c>
    </row>
    <row r="42" spans="1:9">
      <c r="A42" s="1">
        <v>62</v>
      </c>
      <c r="B42" t="s">
        <v>79</v>
      </c>
      <c r="C42">
        <v>26</v>
      </c>
      <c r="D42" s="28">
        <v>1100</v>
      </c>
      <c r="E42" t="s">
        <v>12</v>
      </c>
      <c r="F42">
        <v>0</v>
      </c>
      <c r="G42">
        <v>0</v>
      </c>
    </row>
    <row r="43" spans="1:9">
      <c r="A43" s="1">
        <v>63</v>
      </c>
      <c r="B43" t="s">
        <v>79</v>
      </c>
      <c r="C43">
        <v>22</v>
      </c>
      <c r="D43" s="28">
        <v>1100</v>
      </c>
      <c r="E43" t="s">
        <v>12</v>
      </c>
      <c r="F43">
        <v>0</v>
      </c>
      <c r="G43">
        <v>0</v>
      </c>
    </row>
    <row r="44" spans="1:9">
      <c r="A44" s="1">
        <v>64</v>
      </c>
      <c r="B44" t="s">
        <v>79</v>
      </c>
      <c r="C44">
        <v>18</v>
      </c>
      <c r="D44" s="28">
        <v>1100</v>
      </c>
      <c r="E44" t="s">
        <v>12</v>
      </c>
      <c r="F44">
        <v>0</v>
      </c>
      <c r="G44">
        <v>0</v>
      </c>
    </row>
    <row r="45" spans="1:9">
      <c r="A45" s="1">
        <v>65</v>
      </c>
      <c r="B45" t="s">
        <v>79</v>
      </c>
      <c r="C45">
        <v>14</v>
      </c>
      <c r="D45" s="28">
        <v>1100</v>
      </c>
      <c r="E45" t="s">
        <v>12</v>
      </c>
      <c r="F45">
        <v>0</v>
      </c>
      <c r="G45">
        <v>0</v>
      </c>
    </row>
    <row r="46" spans="1:9">
      <c r="A46" s="1">
        <v>66</v>
      </c>
      <c r="B46" t="s">
        <v>79</v>
      </c>
      <c r="C46">
        <v>10</v>
      </c>
      <c r="D46" s="28">
        <v>1100</v>
      </c>
      <c r="E46" t="s">
        <v>12</v>
      </c>
      <c r="F46">
        <v>0</v>
      </c>
      <c r="G46">
        <v>0</v>
      </c>
    </row>
    <row r="47" spans="1:9">
      <c r="A47" s="1">
        <v>67</v>
      </c>
      <c r="B47" t="s">
        <v>79</v>
      </c>
      <c r="C47">
        <v>8</v>
      </c>
      <c r="D47" s="28">
        <v>1100</v>
      </c>
      <c r="E47" t="s">
        <v>12</v>
      </c>
      <c r="F47">
        <v>0</v>
      </c>
      <c r="G47">
        <v>0</v>
      </c>
    </row>
    <row r="48" spans="1:9">
      <c r="A48" s="1">
        <v>68</v>
      </c>
      <c r="B48" t="s">
        <v>79</v>
      </c>
      <c r="C48">
        <v>4</v>
      </c>
      <c r="D48" s="28">
        <v>1100</v>
      </c>
      <c r="E48" t="s">
        <v>12</v>
      </c>
      <c r="F48">
        <v>0</v>
      </c>
      <c r="G48">
        <v>0</v>
      </c>
    </row>
    <row r="49" spans="1:4">
      <c r="A49" s="1"/>
      <c r="D49" s="28"/>
    </row>
    <row r="50" spans="1:4">
      <c r="A50" s="1"/>
    </row>
    <row r="52" spans="1:4">
      <c r="A52" s="1"/>
      <c r="D52" s="28"/>
    </row>
    <row r="53" spans="1:4">
      <c r="A53" s="1"/>
      <c r="D53" s="28"/>
    </row>
  </sheetData>
  <pageMargins left="0.7" right="0.7" top="0.75" bottom="0.75" header="0.3" footer="0.3"/>
  <pageSetup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ADCFA-E5ED-4B03-942E-8C3E5037143C}">
  <sheetPr>
    <tabColor rgb="FF92D050"/>
  </sheetPr>
  <dimension ref="A1:N64"/>
  <sheetViews>
    <sheetView showRuler="0" topLeftCell="A43" zoomScale="64" zoomScaleNormal="64" workbookViewId="0">
      <selection activeCell="N55" sqref="N55"/>
    </sheetView>
  </sheetViews>
  <sheetFormatPr defaultRowHeight="15"/>
  <cols>
    <col min="2" max="2" width="35.85546875" customWidth="1"/>
    <col min="7" max="7" width="13.85546875" customWidth="1"/>
    <col min="10" max="10" width="28.85546875" bestFit="1" customWidth="1"/>
    <col min="11" max="11" width="14.42578125" bestFit="1" customWidth="1"/>
    <col min="12" max="12" width="33.5703125" bestFit="1" customWidth="1"/>
    <col min="13" max="13" width="20.28515625" bestFit="1" customWidth="1"/>
    <col min="15" max="15" width="33.5703125" bestFit="1" customWidth="1"/>
    <col min="16" max="16" width="20.28515625" bestFit="1" customWidth="1"/>
  </cols>
  <sheetData>
    <row r="1" spans="1:11">
      <c r="A1" s="1" t="s">
        <v>17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8</v>
      </c>
      <c r="G1" s="1" t="s">
        <v>9</v>
      </c>
    </row>
    <row r="2" spans="1:11">
      <c r="A2">
        <v>19</v>
      </c>
      <c r="B2" s="3" t="s">
        <v>29</v>
      </c>
      <c r="C2">
        <v>1</v>
      </c>
      <c r="D2" s="4">
        <v>900</v>
      </c>
      <c r="E2" t="s">
        <v>12</v>
      </c>
      <c r="F2">
        <v>0</v>
      </c>
      <c r="G2">
        <v>0</v>
      </c>
    </row>
    <row r="3" spans="1:11">
      <c r="A3">
        <v>20</v>
      </c>
      <c r="B3" s="3" t="s">
        <v>29</v>
      </c>
      <c r="C3">
        <v>1</v>
      </c>
      <c r="D3" s="4">
        <v>900</v>
      </c>
      <c r="E3" t="s">
        <v>12</v>
      </c>
      <c r="F3">
        <v>0</v>
      </c>
      <c r="G3">
        <v>0</v>
      </c>
    </row>
    <row r="4" spans="1:11">
      <c r="A4">
        <v>21</v>
      </c>
      <c r="B4" s="3" t="s">
        <v>29</v>
      </c>
      <c r="C4">
        <v>1</v>
      </c>
      <c r="D4" s="4">
        <v>900</v>
      </c>
      <c r="E4" t="s">
        <v>12</v>
      </c>
      <c r="F4">
        <v>0</v>
      </c>
      <c r="G4">
        <v>0</v>
      </c>
    </row>
    <row r="5" spans="1:11">
      <c r="A5">
        <v>22</v>
      </c>
      <c r="B5" s="3" t="s">
        <v>29</v>
      </c>
      <c r="C5">
        <v>1</v>
      </c>
      <c r="D5" s="4">
        <v>984</v>
      </c>
      <c r="E5" t="s">
        <v>12</v>
      </c>
      <c r="F5">
        <v>0</v>
      </c>
      <c r="G5">
        <v>0</v>
      </c>
    </row>
    <row r="6" spans="1:11">
      <c r="A6">
        <v>23</v>
      </c>
      <c r="B6" s="3" t="s">
        <v>31</v>
      </c>
      <c r="C6">
        <v>20</v>
      </c>
      <c r="D6" s="4">
        <v>1400</v>
      </c>
      <c r="E6" t="s">
        <v>12</v>
      </c>
      <c r="F6">
        <v>0</v>
      </c>
      <c r="G6">
        <v>0</v>
      </c>
    </row>
    <row r="7" spans="1:11">
      <c r="A7">
        <v>24</v>
      </c>
      <c r="B7" s="3" t="s">
        <v>31</v>
      </c>
      <c r="C7">
        <v>16</v>
      </c>
      <c r="D7" s="4">
        <v>1400</v>
      </c>
      <c r="E7" t="s">
        <v>12</v>
      </c>
      <c r="F7">
        <v>0</v>
      </c>
      <c r="G7">
        <v>0</v>
      </c>
      <c r="I7" s="23"/>
    </row>
    <row r="8" spans="1:11" ht="16.149999999999999" customHeight="1">
      <c r="A8">
        <v>25</v>
      </c>
      <c r="B8" s="3" t="s">
        <v>31</v>
      </c>
      <c r="C8">
        <v>12</v>
      </c>
      <c r="D8" s="4">
        <v>1400</v>
      </c>
      <c r="E8" t="s">
        <v>12</v>
      </c>
      <c r="F8">
        <v>0</v>
      </c>
      <c r="G8">
        <v>0</v>
      </c>
      <c r="I8" s="23"/>
      <c r="K8" s="4"/>
    </row>
    <row r="9" spans="1:11" ht="16.149999999999999" customHeight="1">
      <c r="A9">
        <v>26</v>
      </c>
      <c r="B9" s="3" t="s">
        <v>31</v>
      </c>
      <c r="C9">
        <v>7</v>
      </c>
      <c r="D9" s="4">
        <v>1400</v>
      </c>
      <c r="E9" t="s">
        <v>12</v>
      </c>
      <c r="F9">
        <v>0</v>
      </c>
      <c r="G9">
        <v>0</v>
      </c>
      <c r="I9" s="23"/>
      <c r="K9" s="4"/>
    </row>
    <row r="10" spans="1:11" ht="16.149999999999999" customHeight="1">
      <c r="A10">
        <v>27</v>
      </c>
      <c r="B10" s="3" t="s">
        <v>31</v>
      </c>
      <c r="C10">
        <v>2</v>
      </c>
      <c r="D10" s="4">
        <v>1580</v>
      </c>
      <c r="E10" t="s">
        <v>12</v>
      </c>
      <c r="F10">
        <v>0</v>
      </c>
      <c r="G10">
        <v>0</v>
      </c>
      <c r="I10" s="23"/>
      <c r="K10" s="4"/>
    </row>
    <row r="11" spans="1:11" ht="16.149999999999999" customHeight="1">
      <c r="A11">
        <v>28</v>
      </c>
      <c r="B11" s="3" t="s">
        <v>30</v>
      </c>
      <c r="C11">
        <v>24</v>
      </c>
      <c r="D11" s="4">
        <v>2000</v>
      </c>
      <c r="E11" t="s">
        <v>12</v>
      </c>
      <c r="F11">
        <v>0</v>
      </c>
      <c r="G11">
        <v>0</v>
      </c>
      <c r="I11" s="23"/>
      <c r="K11" s="4"/>
    </row>
    <row r="12" spans="1:11" ht="16.149999999999999" customHeight="1">
      <c r="A12">
        <v>29</v>
      </c>
      <c r="B12" s="3" t="s">
        <v>30</v>
      </c>
      <c r="C12">
        <v>23</v>
      </c>
      <c r="D12" s="4">
        <v>2000</v>
      </c>
      <c r="E12" t="s">
        <v>12</v>
      </c>
      <c r="F12">
        <v>0</v>
      </c>
      <c r="G12">
        <v>0</v>
      </c>
      <c r="I12" s="23"/>
      <c r="K12" s="4"/>
    </row>
    <row r="13" spans="1:11" ht="16.149999999999999" customHeight="1">
      <c r="A13">
        <v>30</v>
      </c>
      <c r="B13" s="3" t="s">
        <v>30</v>
      </c>
      <c r="C13">
        <v>21</v>
      </c>
      <c r="D13" s="4">
        <v>2000</v>
      </c>
      <c r="E13" t="s">
        <v>12</v>
      </c>
      <c r="F13">
        <v>0</v>
      </c>
      <c r="G13">
        <v>0</v>
      </c>
      <c r="I13" s="23"/>
      <c r="K13" s="4"/>
    </row>
    <row r="14" spans="1:11" ht="16.149999999999999" customHeight="1">
      <c r="A14">
        <v>31</v>
      </c>
      <c r="B14" s="3" t="s">
        <v>30</v>
      </c>
      <c r="C14">
        <v>19</v>
      </c>
      <c r="D14" s="4">
        <v>2000</v>
      </c>
      <c r="E14" t="s">
        <v>12</v>
      </c>
      <c r="F14">
        <v>0</v>
      </c>
      <c r="G14">
        <v>0</v>
      </c>
      <c r="I14" s="23"/>
      <c r="K14" s="4"/>
    </row>
    <row r="15" spans="1:11" ht="16.149999999999999" customHeight="1">
      <c r="A15">
        <v>32</v>
      </c>
      <c r="B15" s="3" t="s">
        <v>30</v>
      </c>
      <c r="C15">
        <v>18</v>
      </c>
      <c r="D15" s="4">
        <v>2000</v>
      </c>
      <c r="E15" t="s">
        <v>12</v>
      </c>
      <c r="F15">
        <v>0</v>
      </c>
      <c r="G15">
        <v>0</v>
      </c>
      <c r="I15" s="23"/>
      <c r="K15" s="4"/>
    </row>
    <row r="16" spans="1:11">
      <c r="A16">
        <v>33</v>
      </c>
      <c r="B16" s="3" t="s">
        <v>30</v>
      </c>
      <c r="C16">
        <v>17</v>
      </c>
      <c r="D16" s="4">
        <v>2000</v>
      </c>
      <c r="E16" t="s">
        <v>12</v>
      </c>
      <c r="F16">
        <v>0</v>
      </c>
      <c r="G16">
        <v>0</v>
      </c>
      <c r="I16" s="23"/>
      <c r="K16" s="4"/>
    </row>
    <row r="17" spans="1:14" ht="13.9" customHeight="1">
      <c r="A17">
        <v>34</v>
      </c>
      <c r="B17" s="3" t="s">
        <v>30</v>
      </c>
      <c r="C17">
        <v>16</v>
      </c>
      <c r="D17" s="4">
        <v>2000</v>
      </c>
      <c r="E17" t="s">
        <v>12</v>
      </c>
      <c r="F17">
        <v>0</v>
      </c>
      <c r="G17">
        <v>0</v>
      </c>
      <c r="I17" s="23"/>
      <c r="K17" s="4"/>
    </row>
    <row r="18" spans="1:14">
      <c r="A18">
        <v>35</v>
      </c>
      <c r="B18" s="3" t="s">
        <v>30</v>
      </c>
      <c r="C18">
        <v>15</v>
      </c>
      <c r="D18" s="4">
        <v>2000</v>
      </c>
      <c r="E18" t="s">
        <v>12</v>
      </c>
      <c r="F18">
        <v>0</v>
      </c>
      <c r="G18">
        <v>0</v>
      </c>
      <c r="I18" s="23"/>
    </row>
    <row r="19" spans="1:14">
      <c r="A19">
        <v>36</v>
      </c>
      <c r="B19" s="3" t="s">
        <v>30</v>
      </c>
      <c r="C19">
        <v>14</v>
      </c>
      <c r="D19" s="4">
        <v>2000</v>
      </c>
      <c r="E19" t="s">
        <v>12</v>
      </c>
      <c r="F19">
        <v>0</v>
      </c>
      <c r="G19">
        <v>0</v>
      </c>
      <c r="I19" s="23"/>
    </row>
    <row r="20" spans="1:14">
      <c r="A20">
        <v>37</v>
      </c>
      <c r="B20" s="3" t="s">
        <v>30</v>
      </c>
      <c r="C20">
        <v>13</v>
      </c>
      <c r="D20" s="4">
        <v>2000</v>
      </c>
      <c r="E20" t="s">
        <v>12</v>
      </c>
      <c r="F20">
        <v>0</v>
      </c>
      <c r="G20">
        <v>0</v>
      </c>
      <c r="I20" s="23"/>
    </row>
    <row r="21" spans="1:14">
      <c r="A21">
        <v>38</v>
      </c>
      <c r="B21" s="3" t="s">
        <v>30</v>
      </c>
      <c r="C21">
        <v>12</v>
      </c>
      <c r="D21" s="4">
        <v>2000</v>
      </c>
      <c r="E21" t="s">
        <v>12</v>
      </c>
      <c r="F21">
        <v>0</v>
      </c>
      <c r="G21">
        <v>0</v>
      </c>
      <c r="I21" s="23"/>
      <c r="J21" t="s">
        <v>80</v>
      </c>
      <c r="L21" s="3"/>
      <c r="N21" s="4"/>
    </row>
    <row r="22" spans="1:14">
      <c r="A22">
        <v>39</v>
      </c>
      <c r="B22" s="3" t="s">
        <v>30</v>
      </c>
      <c r="C22">
        <v>11</v>
      </c>
      <c r="D22" s="4">
        <v>2000</v>
      </c>
      <c r="E22" t="s">
        <v>12</v>
      </c>
      <c r="F22">
        <v>0</v>
      </c>
      <c r="G22">
        <v>0</v>
      </c>
      <c r="I22" s="23"/>
    </row>
    <row r="23" spans="1:14">
      <c r="A23">
        <v>40</v>
      </c>
      <c r="B23" s="3" t="s">
        <v>30</v>
      </c>
      <c r="C23">
        <v>10</v>
      </c>
      <c r="D23" s="4">
        <v>2000</v>
      </c>
      <c r="E23" t="s">
        <v>12</v>
      </c>
      <c r="F23">
        <v>0</v>
      </c>
      <c r="G23">
        <v>0</v>
      </c>
      <c r="I23" s="23"/>
    </row>
    <row r="24" spans="1:14">
      <c r="A24">
        <v>41</v>
      </c>
      <c r="B24" s="3" t="s">
        <v>30</v>
      </c>
      <c r="C24">
        <v>9</v>
      </c>
      <c r="D24" s="4">
        <v>2000</v>
      </c>
      <c r="E24" t="s">
        <v>12</v>
      </c>
      <c r="F24">
        <v>0</v>
      </c>
      <c r="G24">
        <v>0</v>
      </c>
    </row>
    <row r="25" spans="1:14">
      <c r="A25">
        <v>42</v>
      </c>
      <c r="B25" s="3" t="s">
        <v>30</v>
      </c>
      <c r="C25">
        <v>8</v>
      </c>
      <c r="D25" s="4">
        <v>2000</v>
      </c>
      <c r="E25" t="s">
        <v>12</v>
      </c>
      <c r="F25">
        <v>0</v>
      </c>
      <c r="G25">
        <v>0</v>
      </c>
    </row>
    <row r="26" spans="1:14">
      <c r="A26">
        <v>43</v>
      </c>
      <c r="B26" s="3" t="s">
        <v>30</v>
      </c>
      <c r="C26">
        <v>7</v>
      </c>
      <c r="D26" s="4">
        <v>2000</v>
      </c>
      <c r="E26" t="s">
        <v>12</v>
      </c>
      <c r="F26">
        <v>0</v>
      </c>
      <c r="G26">
        <v>0</v>
      </c>
    </row>
    <row r="27" spans="1:14">
      <c r="A27">
        <v>44</v>
      </c>
      <c r="B27" s="3" t="s">
        <v>30</v>
      </c>
      <c r="C27">
        <v>6</v>
      </c>
      <c r="D27" s="4">
        <v>2000</v>
      </c>
      <c r="E27" t="s">
        <v>12</v>
      </c>
      <c r="F27">
        <v>0</v>
      </c>
      <c r="G27">
        <v>0</v>
      </c>
    </row>
    <row r="28" spans="1:14">
      <c r="A28">
        <v>45</v>
      </c>
      <c r="B28" s="3" t="s">
        <v>30</v>
      </c>
      <c r="C28">
        <v>5</v>
      </c>
      <c r="D28" s="4">
        <v>2000</v>
      </c>
      <c r="E28" t="s">
        <v>12</v>
      </c>
      <c r="F28">
        <v>0</v>
      </c>
      <c r="G28">
        <v>0</v>
      </c>
    </row>
    <row r="29" spans="1:14">
      <c r="A29">
        <v>46</v>
      </c>
      <c r="B29" s="3" t="s">
        <v>30</v>
      </c>
      <c r="C29">
        <v>4</v>
      </c>
      <c r="D29" s="4">
        <v>2000</v>
      </c>
      <c r="E29" t="s">
        <v>12</v>
      </c>
      <c r="F29">
        <v>0</v>
      </c>
      <c r="G29">
        <v>0</v>
      </c>
    </row>
    <row r="30" spans="1:14">
      <c r="A30">
        <v>47</v>
      </c>
      <c r="B30" s="3" t="s">
        <v>30</v>
      </c>
      <c r="C30">
        <v>3</v>
      </c>
      <c r="D30" s="4">
        <v>2000</v>
      </c>
      <c r="E30" t="s">
        <v>12</v>
      </c>
      <c r="F30">
        <v>0</v>
      </c>
      <c r="G30">
        <v>0</v>
      </c>
    </row>
    <row r="31" spans="1:14">
      <c r="A31">
        <v>48</v>
      </c>
      <c r="B31" s="3" t="s">
        <v>30</v>
      </c>
      <c r="C31">
        <v>2</v>
      </c>
      <c r="D31" s="4">
        <v>1500</v>
      </c>
      <c r="E31" t="s">
        <v>12</v>
      </c>
      <c r="F31">
        <v>0</v>
      </c>
      <c r="G31">
        <v>0</v>
      </c>
    </row>
    <row r="32" spans="1:14">
      <c r="A32">
        <v>49</v>
      </c>
      <c r="B32" s="3" t="s">
        <v>30</v>
      </c>
      <c r="C32">
        <v>1</v>
      </c>
      <c r="D32" s="4">
        <v>1000</v>
      </c>
      <c r="E32" t="s">
        <v>12</v>
      </c>
      <c r="F32">
        <v>0</v>
      </c>
      <c r="G32">
        <v>0</v>
      </c>
    </row>
    <row r="33" spans="1:9">
      <c r="A33">
        <v>50</v>
      </c>
      <c r="B33" s="3" t="s">
        <v>14</v>
      </c>
      <c r="C33">
        <v>24</v>
      </c>
      <c r="D33" s="27">
        <v>4000</v>
      </c>
      <c r="E33" t="s">
        <v>12</v>
      </c>
      <c r="F33">
        <v>0</v>
      </c>
      <c r="G33">
        <v>0</v>
      </c>
      <c r="I33" s="23"/>
    </row>
    <row r="34" spans="1:9">
      <c r="A34">
        <v>51</v>
      </c>
      <c r="B34" s="3" t="s">
        <v>14</v>
      </c>
      <c r="C34">
        <v>22</v>
      </c>
      <c r="D34" s="27">
        <v>4000</v>
      </c>
      <c r="E34" t="s">
        <v>12</v>
      </c>
      <c r="F34">
        <v>0</v>
      </c>
      <c r="G34">
        <v>0</v>
      </c>
    </row>
    <row r="35" spans="1:9">
      <c r="A35">
        <v>52</v>
      </c>
      <c r="B35" s="3" t="s">
        <v>14</v>
      </c>
      <c r="C35">
        <v>20</v>
      </c>
      <c r="D35" s="27">
        <v>4000</v>
      </c>
      <c r="E35" t="s">
        <v>12</v>
      </c>
      <c r="F35">
        <v>0</v>
      </c>
      <c r="G35">
        <v>0</v>
      </c>
    </row>
    <row r="36" spans="1:9">
      <c r="A36">
        <v>53</v>
      </c>
      <c r="B36" s="3" t="s">
        <v>14</v>
      </c>
      <c r="C36">
        <v>18</v>
      </c>
      <c r="D36" s="27">
        <v>4000</v>
      </c>
      <c r="E36" t="s">
        <v>12</v>
      </c>
      <c r="F36">
        <v>0</v>
      </c>
      <c r="G36">
        <v>0</v>
      </c>
      <c r="I36" s="23"/>
    </row>
    <row r="37" spans="1:9">
      <c r="A37">
        <v>54</v>
      </c>
      <c r="B37" s="3" t="s">
        <v>14</v>
      </c>
      <c r="C37">
        <v>16</v>
      </c>
      <c r="D37" s="27">
        <v>4000</v>
      </c>
      <c r="E37" t="s">
        <v>12</v>
      </c>
      <c r="F37">
        <v>0</v>
      </c>
      <c r="G37">
        <v>0</v>
      </c>
      <c r="I37" s="23"/>
    </row>
    <row r="38" spans="1:9">
      <c r="A38">
        <v>55</v>
      </c>
      <c r="B38" s="3" t="s">
        <v>14</v>
      </c>
      <c r="C38">
        <v>14</v>
      </c>
      <c r="D38" s="27">
        <v>4000</v>
      </c>
      <c r="E38" t="s">
        <v>12</v>
      </c>
      <c r="F38">
        <v>0</v>
      </c>
      <c r="G38">
        <v>0</v>
      </c>
      <c r="I38" s="23"/>
    </row>
    <row r="39" spans="1:9">
      <c r="A39">
        <v>56</v>
      </c>
      <c r="B39" s="3" t="s">
        <v>14</v>
      </c>
      <c r="C39">
        <v>12</v>
      </c>
      <c r="D39" s="27">
        <v>4000</v>
      </c>
      <c r="E39" t="s">
        <v>12</v>
      </c>
      <c r="F39">
        <v>0</v>
      </c>
      <c r="G39">
        <v>0</v>
      </c>
      <c r="I39" s="23"/>
    </row>
    <row r="40" spans="1:9">
      <c r="A40">
        <v>57</v>
      </c>
      <c r="B40" s="3" t="s">
        <v>14</v>
      </c>
      <c r="C40">
        <v>10</v>
      </c>
      <c r="D40" s="27">
        <v>4000</v>
      </c>
      <c r="E40" t="s">
        <v>12</v>
      </c>
      <c r="F40">
        <v>0</v>
      </c>
      <c r="G40">
        <v>0</v>
      </c>
      <c r="I40" s="23"/>
    </row>
    <row r="41" spans="1:9">
      <c r="A41">
        <v>58</v>
      </c>
      <c r="B41" s="3" t="s">
        <v>14</v>
      </c>
      <c r="C41">
        <v>8</v>
      </c>
      <c r="D41" s="27">
        <v>4000</v>
      </c>
      <c r="E41" t="s">
        <v>12</v>
      </c>
      <c r="F41">
        <v>0</v>
      </c>
      <c r="G41">
        <v>0</v>
      </c>
      <c r="I41" s="23"/>
    </row>
    <row r="42" spans="1:9">
      <c r="A42">
        <v>59</v>
      </c>
      <c r="B42" s="3" t="s">
        <v>14</v>
      </c>
      <c r="C42">
        <v>6</v>
      </c>
      <c r="D42" s="27">
        <v>4000</v>
      </c>
      <c r="E42" t="s">
        <v>12</v>
      </c>
      <c r="F42">
        <v>0</v>
      </c>
      <c r="G42">
        <v>0</v>
      </c>
      <c r="I42" s="23"/>
    </row>
    <row r="43" spans="1:9">
      <c r="A43">
        <v>60</v>
      </c>
      <c r="B43" s="3" t="s">
        <v>14</v>
      </c>
      <c r="C43">
        <v>4</v>
      </c>
      <c r="D43" s="27">
        <v>4000</v>
      </c>
      <c r="E43" t="s">
        <v>12</v>
      </c>
      <c r="F43">
        <v>0</v>
      </c>
      <c r="G43">
        <v>0</v>
      </c>
      <c r="I43" s="23"/>
    </row>
    <row r="44" spans="1:9">
      <c r="A44">
        <v>61</v>
      </c>
      <c r="B44" s="3" t="s">
        <v>14</v>
      </c>
      <c r="C44">
        <v>2</v>
      </c>
      <c r="D44" s="27">
        <v>4000</v>
      </c>
      <c r="E44" t="s">
        <v>12</v>
      </c>
      <c r="F44">
        <v>0</v>
      </c>
      <c r="G44">
        <v>0</v>
      </c>
    </row>
    <row r="45" spans="1:9">
      <c r="A45">
        <v>62</v>
      </c>
      <c r="B45" s="3" t="s">
        <v>14</v>
      </c>
      <c r="C45">
        <v>0</v>
      </c>
      <c r="D45" s="27">
        <v>3500</v>
      </c>
      <c r="E45" t="s">
        <v>12</v>
      </c>
      <c r="F45">
        <v>0</v>
      </c>
      <c r="G45">
        <v>0</v>
      </c>
    </row>
    <row r="46" spans="1:9">
      <c r="A46">
        <v>63</v>
      </c>
      <c r="B46" s="3" t="s">
        <v>14</v>
      </c>
      <c r="C46">
        <v>23</v>
      </c>
      <c r="D46" s="27">
        <v>3500</v>
      </c>
      <c r="E46" t="s">
        <v>12</v>
      </c>
      <c r="F46">
        <v>0</v>
      </c>
      <c r="G46">
        <v>0</v>
      </c>
    </row>
    <row r="47" spans="1:9">
      <c r="A47">
        <v>64</v>
      </c>
      <c r="B47" s="3" t="s">
        <v>14</v>
      </c>
      <c r="C47">
        <v>19</v>
      </c>
      <c r="D47" s="27">
        <v>3500</v>
      </c>
      <c r="E47" t="s">
        <v>12</v>
      </c>
      <c r="F47">
        <v>0</v>
      </c>
      <c r="G47">
        <v>0</v>
      </c>
    </row>
    <row r="48" spans="1:9">
      <c r="A48">
        <v>65</v>
      </c>
      <c r="B48" s="3" t="s">
        <v>14</v>
      </c>
      <c r="C48">
        <v>17</v>
      </c>
      <c r="D48" s="27">
        <v>3500</v>
      </c>
      <c r="E48" t="s">
        <v>12</v>
      </c>
      <c r="F48">
        <v>0</v>
      </c>
      <c r="G48">
        <v>0</v>
      </c>
    </row>
    <row r="49" spans="1:7">
      <c r="A49">
        <v>66</v>
      </c>
      <c r="B49" s="3" t="s">
        <v>14</v>
      </c>
      <c r="C49">
        <v>13</v>
      </c>
      <c r="D49" s="27">
        <v>3500</v>
      </c>
      <c r="E49" t="s">
        <v>12</v>
      </c>
      <c r="F49">
        <v>0</v>
      </c>
      <c r="G49">
        <v>0</v>
      </c>
    </row>
    <row r="50" spans="1:7">
      <c r="A50">
        <v>67</v>
      </c>
      <c r="B50" s="3" t="s">
        <v>14</v>
      </c>
      <c r="C50">
        <v>9</v>
      </c>
      <c r="D50" s="27">
        <v>3500</v>
      </c>
      <c r="E50" t="s">
        <v>12</v>
      </c>
      <c r="F50">
        <v>0</v>
      </c>
      <c r="G50">
        <v>0</v>
      </c>
    </row>
    <row r="51" spans="1:7">
      <c r="A51">
        <v>68</v>
      </c>
      <c r="B51" t="s">
        <v>79</v>
      </c>
      <c r="C51">
        <v>26</v>
      </c>
      <c r="D51" s="28">
        <v>1500</v>
      </c>
      <c r="E51" t="s">
        <v>12</v>
      </c>
      <c r="F51">
        <v>0</v>
      </c>
      <c r="G51">
        <v>0</v>
      </c>
    </row>
    <row r="52" spans="1:7">
      <c r="A52">
        <v>69</v>
      </c>
      <c r="B52" t="s">
        <v>79</v>
      </c>
      <c r="C52">
        <v>22</v>
      </c>
      <c r="D52" s="28">
        <v>1500</v>
      </c>
      <c r="E52" t="s">
        <v>12</v>
      </c>
      <c r="F52">
        <v>0</v>
      </c>
      <c r="G52">
        <v>0</v>
      </c>
    </row>
    <row r="53" spans="1:7">
      <c r="A53">
        <v>70</v>
      </c>
      <c r="B53" t="s">
        <v>79</v>
      </c>
      <c r="C53">
        <v>18</v>
      </c>
      <c r="D53" s="28">
        <v>1500</v>
      </c>
      <c r="E53" t="s">
        <v>12</v>
      </c>
      <c r="F53">
        <v>0</v>
      </c>
      <c r="G53">
        <v>0</v>
      </c>
    </row>
    <row r="54" spans="1:7">
      <c r="A54">
        <v>71</v>
      </c>
      <c r="B54" t="s">
        <v>79</v>
      </c>
      <c r="C54">
        <v>14</v>
      </c>
      <c r="D54" s="28">
        <v>1500</v>
      </c>
      <c r="E54" t="s">
        <v>12</v>
      </c>
      <c r="F54">
        <v>0</v>
      </c>
      <c r="G54">
        <v>0</v>
      </c>
    </row>
    <row r="55" spans="1:7">
      <c r="A55">
        <v>72</v>
      </c>
      <c r="B55" t="s">
        <v>79</v>
      </c>
      <c r="C55">
        <v>10</v>
      </c>
      <c r="D55" s="28">
        <v>1500</v>
      </c>
      <c r="E55" t="s">
        <v>12</v>
      </c>
      <c r="F55">
        <v>0</v>
      </c>
      <c r="G55">
        <v>0</v>
      </c>
    </row>
    <row r="56" spans="1:7">
      <c r="A56">
        <v>73</v>
      </c>
      <c r="B56" t="s">
        <v>79</v>
      </c>
      <c r="C56">
        <v>8</v>
      </c>
      <c r="D56" s="28">
        <v>1500</v>
      </c>
      <c r="E56" t="s">
        <v>12</v>
      </c>
      <c r="F56">
        <v>0</v>
      </c>
      <c r="G56">
        <v>0</v>
      </c>
    </row>
    <row r="57" spans="1:7">
      <c r="A57">
        <v>74</v>
      </c>
      <c r="B57" t="s">
        <v>79</v>
      </c>
      <c r="C57">
        <v>4</v>
      </c>
      <c r="D57" s="28">
        <v>1500</v>
      </c>
      <c r="E57" t="s">
        <v>12</v>
      </c>
      <c r="F57">
        <v>0</v>
      </c>
      <c r="G57">
        <v>0</v>
      </c>
    </row>
    <row r="58" spans="1:7">
      <c r="A58">
        <v>75</v>
      </c>
      <c r="B58" t="s">
        <v>79</v>
      </c>
      <c r="C58">
        <v>1</v>
      </c>
      <c r="D58" s="28">
        <v>1500</v>
      </c>
      <c r="E58" t="s">
        <v>12</v>
      </c>
      <c r="F58">
        <v>0</v>
      </c>
      <c r="G58">
        <v>0</v>
      </c>
    </row>
    <row r="59" spans="1:7">
      <c r="A59">
        <v>76</v>
      </c>
      <c r="B59" t="s">
        <v>11</v>
      </c>
      <c r="C59">
        <v>1</v>
      </c>
      <c r="D59">
        <v>1000</v>
      </c>
      <c r="E59" t="s">
        <v>12</v>
      </c>
      <c r="F59">
        <v>0</v>
      </c>
      <c r="G59">
        <v>0</v>
      </c>
    </row>
    <row r="60" spans="1:7">
      <c r="A60">
        <v>77</v>
      </c>
      <c r="B60" t="s">
        <v>11</v>
      </c>
      <c r="C60">
        <v>2</v>
      </c>
      <c r="D60">
        <v>1000</v>
      </c>
      <c r="E60" t="s">
        <v>12</v>
      </c>
      <c r="F60">
        <v>0</v>
      </c>
      <c r="G60">
        <v>0</v>
      </c>
    </row>
    <row r="61" spans="1:7">
      <c r="A61">
        <v>78</v>
      </c>
      <c r="B61" t="s">
        <v>11</v>
      </c>
      <c r="C61">
        <v>3</v>
      </c>
      <c r="D61">
        <v>700</v>
      </c>
      <c r="E61" t="s">
        <v>12</v>
      </c>
      <c r="F61">
        <v>0</v>
      </c>
      <c r="G61">
        <v>0</v>
      </c>
    </row>
    <row r="62" spans="1:7">
      <c r="A62">
        <v>79</v>
      </c>
      <c r="B62" t="s">
        <v>22</v>
      </c>
      <c r="C62">
        <v>1</v>
      </c>
      <c r="D62" s="28">
        <v>0.5</v>
      </c>
      <c r="E62" t="s">
        <v>12</v>
      </c>
      <c r="F62">
        <v>0</v>
      </c>
      <c r="G62">
        <v>0</v>
      </c>
    </row>
    <row r="64" spans="1:7">
      <c r="A64" s="1">
        <v>53</v>
      </c>
      <c r="B64" t="s">
        <v>74</v>
      </c>
      <c r="C64">
        <v>1</v>
      </c>
      <c r="D64" s="28">
        <v>0.5</v>
      </c>
      <c r="E64" t="s">
        <v>12</v>
      </c>
      <c r="F64">
        <v>0</v>
      </c>
      <c r="G64">
        <v>0.9</v>
      </c>
    </row>
  </sheetData>
  <pageMargins left="0.7" right="0.7" top="0.75" bottom="0.75" header="0.3" footer="0.3"/>
  <pageSetup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AB640-29B4-4D0B-B2E7-0EFB25B3D5AC}">
  <sheetPr>
    <tabColor rgb="FF92D050"/>
  </sheetPr>
  <dimension ref="A1:N65"/>
  <sheetViews>
    <sheetView showRuler="0" topLeftCell="B1" zoomScale="64" zoomScaleNormal="64" workbookViewId="0">
      <selection activeCell="H9" sqref="H9"/>
    </sheetView>
  </sheetViews>
  <sheetFormatPr defaultRowHeight="15"/>
  <cols>
    <col min="2" max="2" width="35.85546875" customWidth="1"/>
    <col min="7" max="7" width="13.85546875" customWidth="1"/>
    <col min="10" max="10" width="28.85546875" bestFit="1" customWidth="1"/>
    <col min="11" max="11" width="14.42578125" bestFit="1" customWidth="1"/>
    <col min="12" max="12" width="18.7109375" bestFit="1" customWidth="1"/>
    <col min="13" max="13" width="20.28515625" bestFit="1" customWidth="1"/>
    <col min="15" max="15" width="33.5703125" bestFit="1" customWidth="1"/>
    <col min="16" max="16" width="20.28515625" bestFit="1" customWidth="1"/>
  </cols>
  <sheetData>
    <row r="1" spans="1:11">
      <c r="A1" s="1" t="s">
        <v>17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8</v>
      </c>
      <c r="G1" s="1" t="s">
        <v>9</v>
      </c>
    </row>
    <row r="2" spans="1:11">
      <c r="A2">
        <v>19</v>
      </c>
      <c r="B2" s="3" t="s">
        <v>29</v>
      </c>
      <c r="C2">
        <v>1</v>
      </c>
      <c r="D2" s="4">
        <v>900</v>
      </c>
      <c r="E2" t="s">
        <v>12</v>
      </c>
      <c r="F2">
        <v>0</v>
      </c>
      <c r="G2">
        <v>0</v>
      </c>
    </row>
    <row r="3" spans="1:11">
      <c r="A3">
        <v>20</v>
      </c>
      <c r="B3" s="3" t="s">
        <v>29</v>
      </c>
      <c r="C3">
        <v>1</v>
      </c>
      <c r="D3" s="4">
        <v>900</v>
      </c>
      <c r="E3" t="s">
        <v>12</v>
      </c>
      <c r="F3">
        <v>0</v>
      </c>
      <c r="G3">
        <v>0</v>
      </c>
    </row>
    <row r="4" spans="1:11">
      <c r="A4">
        <v>21</v>
      </c>
      <c r="B4" s="3" t="s">
        <v>29</v>
      </c>
      <c r="C4">
        <v>1</v>
      </c>
      <c r="D4" s="4">
        <v>900</v>
      </c>
      <c r="E4" t="s">
        <v>12</v>
      </c>
      <c r="F4">
        <v>0</v>
      </c>
      <c r="G4">
        <v>0</v>
      </c>
    </row>
    <row r="5" spans="1:11">
      <c r="A5">
        <v>22</v>
      </c>
      <c r="B5" s="3" t="s">
        <v>29</v>
      </c>
      <c r="C5">
        <v>1</v>
      </c>
      <c r="D5" s="4">
        <v>984</v>
      </c>
      <c r="E5" t="s">
        <v>12</v>
      </c>
      <c r="F5">
        <v>0</v>
      </c>
      <c r="G5">
        <v>0</v>
      </c>
    </row>
    <row r="6" spans="1:11">
      <c r="A6">
        <v>23</v>
      </c>
      <c r="B6" s="3" t="s">
        <v>31</v>
      </c>
      <c r="C6">
        <v>20</v>
      </c>
      <c r="D6" s="4">
        <v>1400</v>
      </c>
      <c r="E6" t="s">
        <v>12</v>
      </c>
      <c r="F6">
        <v>0</v>
      </c>
      <c r="G6">
        <v>0</v>
      </c>
    </row>
    <row r="7" spans="1:11">
      <c r="A7">
        <v>24</v>
      </c>
      <c r="B7" s="3" t="s">
        <v>31</v>
      </c>
      <c r="C7">
        <v>16</v>
      </c>
      <c r="D7" s="4">
        <v>1400</v>
      </c>
      <c r="E7" t="s">
        <v>12</v>
      </c>
      <c r="F7">
        <v>0</v>
      </c>
      <c r="G7">
        <v>0</v>
      </c>
      <c r="I7" s="23"/>
    </row>
    <row r="8" spans="1:11" ht="16.149999999999999" customHeight="1">
      <c r="A8">
        <v>25</v>
      </c>
      <c r="B8" s="3" t="s">
        <v>31</v>
      </c>
      <c r="C8">
        <v>12</v>
      </c>
      <c r="D8" s="4">
        <v>1400</v>
      </c>
      <c r="E8" t="s">
        <v>12</v>
      </c>
      <c r="F8">
        <v>0</v>
      </c>
      <c r="G8">
        <v>0</v>
      </c>
      <c r="I8" s="23"/>
      <c r="K8" s="4"/>
    </row>
    <row r="9" spans="1:11" ht="16.149999999999999" customHeight="1">
      <c r="A9">
        <v>26</v>
      </c>
      <c r="B9" s="3" t="s">
        <v>31</v>
      </c>
      <c r="C9">
        <v>7</v>
      </c>
      <c r="D9" s="4">
        <v>1400</v>
      </c>
      <c r="E9" t="s">
        <v>12</v>
      </c>
      <c r="F9">
        <v>0</v>
      </c>
      <c r="G9">
        <v>0</v>
      </c>
      <c r="I9" s="23"/>
      <c r="K9" s="4"/>
    </row>
    <row r="10" spans="1:11" ht="16.149999999999999" customHeight="1">
      <c r="A10">
        <v>27</v>
      </c>
      <c r="B10" s="3" t="s">
        <v>31</v>
      </c>
      <c r="C10">
        <v>2</v>
      </c>
      <c r="D10" s="4">
        <v>1580</v>
      </c>
      <c r="E10" t="s">
        <v>12</v>
      </c>
      <c r="F10">
        <v>0</v>
      </c>
      <c r="G10">
        <v>0</v>
      </c>
      <c r="I10" s="23"/>
      <c r="K10" s="4"/>
    </row>
    <row r="11" spans="1:11" ht="16.149999999999999" customHeight="1">
      <c r="A11">
        <v>28</v>
      </c>
      <c r="B11" s="3" t="s">
        <v>30</v>
      </c>
      <c r="C11">
        <v>24</v>
      </c>
      <c r="D11" s="4">
        <v>2000</v>
      </c>
      <c r="E11" t="s">
        <v>12</v>
      </c>
      <c r="F11">
        <v>0</v>
      </c>
      <c r="G11">
        <v>0</v>
      </c>
      <c r="I11" s="23"/>
      <c r="K11" s="4"/>
    </row>
    <row r="12" spans="1:11" ht="16.149999999999999" customHeight="1">
      <c r="A12">
        <v>29</v>
      </c>
      <c r="B12" s="3" t="s">
        <v>30</v>
      </c>
      <c r="C12">
        <v>23</v>
      </c>
      <c r="D12" s="4">
        <v>2000</v>
      </c>
      <c r="E12" t="s">
        <v>12</v>
      </c>
      <c r="F12">
        <v>0</v>
      </c>
      <c r="G12">
        <v>0</v>
      </c>
      <c r="I12" s="23"/>
      <c r="K12" s="4"/>
    </row>
    <row r="13" spans="1:11" ht="16.149999999999999" customHeight="1">
      <c r="A13">
        <v>30</v>
      </c>
      <c r="B13" s="3" t="s">
        <v>30</v>
      </c>
      <c r="C13">
        <v>21</v>
      </c>
      <c r="D13" s="4">
        <v>2000</v>
      </c>
      <c r="E13" t="s">
        <v>12</v>
      </c>
      <c r="F13">
        <v>0</v>
      </c>
      <c r="G13">
        <v>0</v>
      </c>
      <c r="I13" s="23"/>
      <c r="K13" s="4"/>
    </row>
    <row r="14" spans="1:11" ht="16.149999999999999" customHeight="1">
      <c r="A14">
        <v>31</v>
      </c>
      <c r="B14" s="3" t="s">
        <v>30</v>
      </c>
      <c r="C14">
        <v>19</v>
      </c>
      <c r="D14" s="4">
        <v>2000</v>
      </c>
      <c r="E14" t="s">
        <v>12</v>
      </c>
      <c r="F14">
        <v>0</v>
      </c>
      <c r="G14">
        <v>0</v>
      </c>
      <c r="I14" s="23"/>
      <c r="K14" s="4"/>
    </row>
    <row r="15" spans="1:11" ht="16.149999999999999" customHeight="1">
      <c r="A15">
        <v>32</v>
      </c>
      <c r="B15" s="3" t="s">
        <v>30</v>
      </c>
      <c r="C15">
        <v>18</v>
      </c>
      <c r="D15" s="4">
        <v>2000</v>
      </c>
      <c r="E15" t="s">
        <v>12</v>
      </c>
      <c r="F15">
        <v>0</v>
      </c>
      <c r="G15">
        <v>0</v>
      </c>
      <c r="I15" s="23"/>
      <c r="K15" s="4"/>
    </row>
    <row r="16" spans="1:11">
      <c r="A16">
        <v>33</v>
      </c>
      <c r="B16" s="3" t="s">
        <v>30</v>
      </c>
      <c r="C16">
        <v>17</v>
      </c>
      <c r="D16" s="4">
        <v>2000</v>
      </c>
      <c r="E16" t="s">
        <v>12</v>
      </c>
      <c r="F16">
        <v>0</v>
      </c>
      <c r="G16">
        <v>0</v>
      </c>
      <c r="I16" s="23"/>
      <c r="K16" s="4"/>
    </row>
    <row r="17" spans="1:14" ht="13.9" customHeight="1">
      <c r="A17">
        <v>34</v>
      </c>
      <c r="B17" s="3" t="s">
        <v>30</v>
      </c>
      <c r="C17">
        <v>16</v>
      </c>
      <c r="D17" s="4">
        <v>2000</v>
      </c>
      <c r="E17" t="s">
        <v>12</v>
      </c>
      <c r="F17">
        <v>0</v>
      </c>
      <c r="G17">
        <v>0</v>
      </c>
      <c r="I17" s="23"/>
      <c r="K17" s="4"/>
    </row>
    <row r="18" spans="1:14">
      <c r="A18">
        <v>35</v>
      </c>
      <c r="B18" s="3" t="s">
        <v>30</v>
      </c>
      <c r="C18">
        <v>15</v>
      </c>
      <c r="D18" s="4">
        <v>2000</v>
      </c>
      <c r="E18" t="s">
        <v>12</v>
      </c>
      <c r="F18">
        <v>0</v>
      </c>
      <c r="G18">
        <v>0</v>
      </c>
      <c r="I18" s="23"/>
      <c r="M18" t="s">
        <v>81</v>
      </c>
      <c r="N18" t="s">
        <v>82</v>
      </c>
    </row>
    <row r="19" spans="1:14">
      <c r="A19">
        <v>36</v>
      </c>
      <c r="B19" s="3" t="s">
        <v>30</v>
      </c>
      <c r="C19">
        <v>14</v>
      </c>
      <c r="D19" s="4">
        <v>2000</v>
      </c>
      <c r="E19" t="s">
        <v>12</v>
      </c>
      <c r="F19">
        <v>0</v>
      </c>
      <c r="G19">
        <v>0</v>
      </c>
      <c r="I19" s="23"/>
      <c r="L19" s="3" t="s">
        <v>22</v>
      </c>
      <c r="N19">
        <v>0.5</v>
      </c>
    </row>
    <row r="20" spans="1:14">
      <c r="A20">
        <v>37</v>
      </c>
      <c r="B20" s="3" t="s">
        <v>30</v>
      </c>
      <c r="C20">
        <v>13</v>
      </c>
      <c r="D20" s="4">
        <v>2000</v>
      </c>
      <c r="E20" t="s">
        <v>12</v>
      </c>
      <c r="F20">
        <v>0</v>
      </c>
      <c r="G20">
        <v>0</v>
      </c>
      <c r="I20" s="23"/>
      <c r="L20" s="3" t="s">
        <v>79</v>
      </c>
      <c r="M20">
        <v>15000</v>
      </c>
      <c r="N20">
        <v>12000</v>
      </c>
    </row>
    <row r="21" spans="1:14">
      <c r="A21">
        <v>38</v>
      </c>
      <c r="B21" s="3" t="s">
        <v>30</v>
      </c>
      <c r="C21">
        <v>12</v>
      </c>
      <c r="D21" s="4">
        <v>2000</v>
      </c>
      <c r="E21" t="s">
        <v>12</v>
      </c>
      <c r="F21">
        <v>0</v>
      </c>
      <c r="G21">
        <v>0</v>
      </c>
      <c r="I21" s="23"/>
      <c r="J21" t="s">
        <v>80</v>
      </c>
      <c r="L21" s="3" t="s">
        <v>29</v>
      </c>
      <c r="M21">
        <v>3684</v>
      </c>
      <c r="N21">
        <v>3684</v>
      </c>
    </row>
    <row r="22" spans="1:14">
      <c r="A22">
        <v>39</v>
      </c>
      <c r="B22" s="3" t="s">
        <v>30</v>
      </c>
      <c r="C22">
        <v>11</v>
      </c>
      <c r="D22" s="4">
        <v>2000</v>
      </c>
      <c r="E22" t="s">
        <v>12</v>
      </c>
      <c r="F22">
        <v>0</v>
      </c>
      <c r="G22">
        <v>0</v>
      </c>
      <c r="I22" s="23"/>
      <c r="L22" t="s">
        <v>11</v>
      </c>
      <c r="M22">
        <v>2700</v>
      </c>
      <c r="N22">
        <v>2700</v>
      </c>
    </row>
    <row r="23" spans="1:14">
      <c r="A23">
        <v>40</v>
      </c>
      <c r="B23" s="3" t="s">
        <v>30</v>
      </c>
      <c r="C23">
        <v>10</v>
      </c>
      <c r="D23" s="4">
        <v>2000</v>
      </c>
      <c r="E23" t="s">
        <v>12</v>
      </c>
      <c r="F23">
        <v>0</v>
      </c>
      <c r="G23">
        <v>0</v>
      </c>
      <c r="I23" s="23"/>
      <c r="L23" t="s">
        <v>30</v>
      </c>
      <c r="M23">
        <v>42500</v>
      </c>
      <c r="N23">
        <v>42500</v>
      </c>
    </row>
    <row r="24" spans="1:14">
      <c r="A24">
        <v>41</v>
      </c>
      <c r="B24" s="3" t="s">
        <v>30</v>
      </c>
      <c r="C24">
        <v>9</v>
      </c>
      <c r="D24" s="4">
        <v>2000</v>
      </c>
      <c r="E24" t="s">
        <v>12</v>
      </c>
      <c r="F24">
        <v>0</v>
      </c>
      <c r="G24">
        <v>0</v>
      </c>
      <c r="L24" t="s">
        <v>14</v>
      </c>
      <c r="M24">
        <v>67000</v>
      </c>
      <c r="N24">
        <v>69000</v>
      </c>
    </row>
    <row r="25" spans="1:14">
      <c r="A25">
        <v>42</v>
      </c>
      <c r="B25" s="3" t="s">
        <v>30</v>
      </c>
      <c r="C25">
        <v>8</v>
      </c>
      <c r="D25" s="4">
        <v>2000</v>
      </c>
      <c r="E25" t="s">
        <v>12</v>
      </c>
      <c r="F25">
        <v>0</v>
      </c>
      <c r="G25">
        <v>0</v>
      </c>
      <c r="L25" t="s">
        <v>31</v>
      </c>
      <c r="M25">
        <v>7180</v>
      </c>
      <c r="N25">
        <v>7180</v>
      </c>
    </row>
    <row r="26" spans="1:14">
      <c r="A26">
        <v>43</v>
      </c>
      <c r="B26" s="3" t="s">
        <v>30</v>
      </c>
      <c r="C26">
        <v>7</v>
      </c>
      <c r="D26" s="4">
        <v>2000</v>
      </c>
      <c r="E26" t="s">
        <v>12</v>
      </c>
      <c r="F26">
        <v>0</v>
      </c>
      <c r="G26">
        <v>0</v>
      </c>
      <c r="L26" t="s">
        <v>72</v>
      </c>
      <c r="M26">
        <f>SUM(M20:M25)</f>
        <v>138064</v>
      </c>
      <c r="N26">
        <f>SUM(N19:N25)</f>
        <v>137064.5</v>
      </c>
    </row>
    <row r="27" spans="1:14">
      <c r="A27">
        <v>44</v>
      </c>
      <c r="B27" s="3" t="s">
        <v>30</v>
      </c>
      <c r="C27">
        <v>6</v>
      </c>
      <c r="D27" s="4">
        <v>2000</v>
      </c>
      <c r="E27" t="s">
        <v>12</v>
      </c>
      <c r="F27">
        <v>0</v>
      </c>
      <c r="G27">
        <v>0</v>
      </c>
    </row>
    <row r="28" spans="1:14">
      <c r="A28">
        <v>45</v>
      </c>
      <c r="B28" s="3" t="s">
        <v>30</v>
      </c>
      <c r="C28">
        <v>5</v>
      </c>
      <c r="D28" s="4">
        <v>2000</v>
      </c>
      <c r="E28" t="s">
        <v>12</v>
      </c>
      <c r="F28">
        <v>0</v>
      </c>
      <c r="G28">
        <v>0</v>
      </c>
    </row>
    <row r="29" spans="1:14">
      <c r="A29">
        <v>46</v>
      </c>
      <c r="B29" s="3" t="s">
        <v>30</v>
      </c>
      <c r="C29">
        <v>4</v>
      </c>
      <c r="D29" s="4">
        <v>2000</v>
      </c>
      <c r="E29" t="s">
        <v>12</v>
      </c>
      <c r="F29">
        <v>0</v>
      </c>
      <c r="G29">
        <v>0</v>
      </c>
    </row>
    <row r="30" spans="1:14">
      <c r="A30">
        <v>47</v>
      </c>
      <c r="B30" s="3" t="s">
        <v>30</v>
      </c>
      <c r="C30">
        <v>3</v>
      </c>
      <c r="D30" s="4">
        <v>2000</v>
      </c>
      <c r="E30" t="s">
        <v>12</v>
      </c>
      <c r="F30">
        <v>0</v>
      </c>
      <c r="G30">
        <v>0</v>
      </c>
    </row>
    <row r="31" spans="1:14">
      <c r="A31">
        <v>48</v>
      </c>
      <c r="B31" s="3" t="s">
        <v>30</v>
      </c>
      <c r="C31">
        <v>2</v>
      </c>
      <c r="D31" s="4">
        <v>1500</v>
      </c>
      <c r="E31" t="s">
        <v>12</v>
      </c>
      <c r="F31">
        <v>0</v>
      </c>
      <c r="G31">
        <v>0</v>
      </c>
    </row>
    <row r="32" spans="1:14">
      <c r="A32">
        <v>49</v>
      </c>
      <c r="B32" s="3" t="s">
        <v>30</v>
      </c>
      <c r="C32">
        <v>1</v>
      </c>
      <c r="D32" s="4">
        <v>1000</v>
      </c>
      <c r="E32" t="s">
        <v>12</v>
      </c>
      <c r="F32">
        <v>0</v>
      </c>
      <c r="G32">
        <v>0</v>
      </c>
    </row>
    <row r="33" spans="1:9">
      <c r="A33">
        <v>50</v>
      </c>
      <c r="B33" s="3" t="s">
        <v>14</v>
      </c>
      <c r="C33">
        <v>24</v>
      </c>
      <c r="D33" s="27">
        <v>4000</v>
      </c>
      <c r="E33" t="s">
        <v>12</v>
      </c>
      <c r="F33">
        <v>0</v>
      </c>
      <c r="G33">
        <v>0</v>
      </c>
      <c r="I33" s="23"/>
    </row>
    <row r="34" spans="1:9">
      <c r="A34">
        <v>51</v>
      </c>
      <c r="B34" s="3" t="s">
        <v>14</v>
      </c>
      <c r="C34">
        <v>22</v>
      </c>
      <c r="D34" s="27">
        <v>4000</v>
      </c>
      <c r="E34" t="s">
        <v>12</v>
      </c>
      <c r="F34">
        <v>0</v>
      </c>
      <c r="G34">
        <v>0</v>
      </c>
    </row>
    <row r="35" spans="1:9">
      <c r="A35">
        <v>52</v>
      </c>
      <c r="B35" s="3" t="s">
        <v>14</v>
      </c>
      <c r="C35">
        <v>20</v>
      </c>
      <c r="D35" s="27">
        <v>4000</v>
      </c>
      <c r="E35" t="s">
        <v>12</v>
      </c>
      <c r="F35">
        <v>0</v>
      </c>
      <c r="G35">
        <v>0</v>
      </c>
    </row>
    <row r="36" spans="1:9">
      <c r="A36">
        <v>53</v>
      </c>
      <c r="B36" s="3" t="s">
        <v>14</v>
      </c>
      <c r="C36">
        <v>18</v>
      </c>
      <c r="D36" s="27">
        <v>4000</v>
      </c>
      <c r="E36" t="s">
        <v>12</v>
      </c>
      <c r="F36">
        <v>0</v>
      </c>
      <c r="G36">
        <v>0</v>
      </c>
      <c r="I36" s="23"/>
    </row>
    <row r="37" spans="1:9">
      <c r="A37">
        <v>54</v>
      </c>
      <c r="B37" s="3" t="s">
        <v>14</v>
      </c>
      <c r="C37">
        <v>16</v>
      </c>
      <c r="D37" s="27">
        <v>4000</v>
      </c>
      <c r="E37" t="s">
        <v>12</v>
      </c>
      <c r="F37">
        <v>0</v>
      </c>
      <c r="G37">
        <v>0</v>
      </c>
      <c r="I37" s="23"/>
    </row>
    <row r="38" spans="1:9">
      <c r="A38">
        <v>55</v>
      </c>
      <c r="B38" s="3" t="s">
        <v>14</v>
      </c>
      <c r="C38">
        <v>14</v>
      </c>
      <c r="D38" s="27">
        <v>4000</v>
      </c>
      <c r="E38" t="s">
        <v>12</v>
      </c>
      <c r="F38">
        <v>0</v>
      </c>
      <c r="G38">
        <v>0</v>
      </c>
      <c r="I38" s="23"/>
    </row>
    <row r="39" spans="1:9">
      <c r="A39">
        <v>56</v>
      </c>
      <c r="B39" s="3" t="s">
        <v>14</v>
      </c>
      <c r="C39">
        <v>12</v>
      </c>
      <c r="D39" s="27">
        <v>4000</v>
      </c>
      <c r="E39" t="s">
        <v>12</v>
      </c>
      <c r="F39">
        <v>0</v>
      </c>
      <c r="G39">
        <v>0</v>
      </c>
      <c r="I39" s="23"/>
    </row>
    <row r="40" spans="1:9">
      <c r="A40">
        <v>57</v>
      </c>
      <c r="B40" s="3" t="s">
        <v>14</v>
      </c>
      <c r="C40">
        <v>10</v>
      </c>
      <c r="D40" s="27">
        <v>4000</v>
      </c>
      <c r="E40" t="s">
        <v>12</v>
      </c>
      <c r="F40">
        <v>0</v>
      </c>
      <c r="G40">
        <v>0</v>
      </c>
      <c r="I40" s="23"/>
    </row>
    <row r="41" spans="1:9">
      <c r="A41">
        <v>58</v>
      </c>
      <c r="B41" s="3" t="s">
        <v>14</v>
      </c>
      <c r="C41">
        <v>8</v>
      </c>
      <c r="D41" s="27">
        <v>3500</v>
      </c>
      <c r="E41" t="s">
        <v>12</v>
      </c>
      <c r="F41">
        <v>0</v>
      </c>
      <c r="G41">
        <v>0</v>
      </c>
      <c r="I41" s="23"/>
    </row>
    <row r="42" spans="1:9">
      <c r="A42">
        <v>59</v>
      </c>
      <c r="B42" s="3" t="s">
        <v>14</v>
      </c>
      <c r="C42">
        <v>6</v>
      </c>
      <c r="D42" s="27">
        <v>3500</v>
      </c>
      <c r="E42" t="s">
        <v>12</v>
      </c>
      <c r="F42">
        <v>0</v>
      </c>
      <c r="G42">
        <v>0</v>
      </c>
      <c r="I42" s="23"/>
    </row>
    <row r="43" spans="1:9">
      <c r="A43">
        <v>60</v>
      </c>
      <c r="B43" s="3" t="s">
        <v>14</v>
      </c>
      <c r="C43">
        <v>4</v>
      </c>
      <c r="D43" s="27">
        <v>3500</v>
      </c>
      <c r="E43" t="s">
        <v>12</v>
      </c>
      <c r="F43">
        <v>0</v>
      </c>
      <c r="G43">
        <v>0</v>
      </c>
      <c r="I43" s="23"/>
    </row>
    <row r="44" spans="1:9">
      <c r="A44">
        <v>61</v>
      </c>
      <c r="B44" s="3" t="s">
        <v>14</v>
      </c>
      <c r="C44">
        <v>2</v>
      </c>
      <c r="D44" s="27">
        <v>3500</v>
      </c>
      <c r="E44" t="s">
        <v>12</v>
      </c>
      <c r="F44">
        <v>0</v>
      </c>
      <c r="G44">
        <v>0</v>
      </c>
    </row>
    <row r="45" spans="1:9">
      <c r="A45">
        <v>62</v>
      </c>
      <c r="B45" s="3" t="s">
        <v>14</v>
      </c>
      <c r="C45">
        <v>0</v>
      </c>
      <c r="D45" s="27">
        <v>3500</v>
      </c>
      <c r="E45" t="s">
        <v>12</v>
      </c>
      <c r="F45">
        <v>0</v>
      </c>
      <c r="G45">
        <v>0</v>
      </c>
    </row>
    <row r="46" spans="1:9">
      <c r="A46">
        <v>63</v>
      </c>
      <c r="B46" s="3" t="s">
        <v>14</v>
      </c>
      <c r="C46">
        <v>23</v>
      </c>
      <c r="D46" s="27">
        <v>3500</v>
      </c>
      <c r="E46" t="s">
        <v>12</v>
      </c>
      <c r="F46">
        <v>0</v>
      </c>
      <c r="G46">
        <v>0</v>
      </c>
    </row>
    <row r="47" spans="1:9">
      <c r="A47">
        <v>64</v>
      </c>
      <c r="B47" s="3" t="s">
        <v>14</v>
      </c>
      <c r="C47">
        <v>19</v>
      </c>
      <c r="D47" s="27">
        <v>3500</v>
      </c>
      <c r="E47" t="s">
        <v>12</v>
      </c>
      <c r="F47">
        <v>0</v>
      </c>
      <c r="G47">
        <v>0</v>
      </c>
    </row>
    <row r="48" spans="1:9">
      <c r="A48">
        <v>65</v>
      </c>
      <c r="B48" s="3" t="s">
        <v>14</v>
      </c>
      <c r="C48">
        <v>17</v>
      </c>
      <c r="D48" s="27">
        <v>3500</v>
      </c>
      <c r="E48" t="s">
        <v>12</v>
      </c>
      <c r="F48">
        <v>0</v>
      </c>
      <c r="G48">
        <v>0</v>
      </c>
    </row>
    <row r="49" spans="1:7">
      <c r="A49">
        <v>66</v>
      </c>
      <c r="B49" s="3" t="s">
        <v>14</v>
      </c>
      <c r="C49">
        <v>13</v>
      </c>
      <c r="D49" s="27">
        <v>3500</v>
      </c>
      <c r="E49" t="s">
        <v>12</v>
      </c>
      <c r="F49">
        <v>0</v>
      </c>
      <c r="G49">
        <v>0</v>
      </c>
    </row>
    <row r="50" spans="1:7">
      <c r="A50">
        <v>67</v>
      </c>
      <c r="B50" s="3" t="s">
        <v>14</v>
      </c>
      <c r="C50">
        <v>9</v>
      </c>
      <c r="D50" s="27">
        <v>3500</v>
      </c>
      <c r="E50" t="s">
        <v>12</v>
      </c>
      <c r="F50">
        <v>0</v>
      </c>
      <c r="G50">
        <v>0</v>
      </c>
    </row>
    <row r="51" spans="1:7">
      <c r="A51">
        <v>68</v>
      </c>
      <c r="B51" t="s">
        <v>79</v>
      </c>
      <c r="C51">
        <v>26</v>
      </c>
      <c r="D51" s="28">
        <v>1500</v>
      </c>
      <c r="E51" t="s">
        <v>12</v>
      </c>
      <c r="F51">
        <v>0</v>
      </c>
      <c r="G51">
        <v>0</v>
      </c>
    </row>
    <row r="52" spans="1:7">
      <c r="A52">
        <v>69</v>
      </c>
      <c r="B52" t="s">
        <v>79</v>
      </c>
      <c r="C52">
        <v>22</v>
      </c>
      <c r="D52" s="28">
        <v>1500</v>
      </c>
      <c r="E52" t="s">
        <v>12</v>
      </c>
      <c r="F52">
        <v>0</v>
      </c>
      <c r="G52">
        <v>0</v>
      </c>
    </row>
    <row r="53" spans="1:7">
      <c r="A53">
        <v>70</v>
      </c>
      <c r="B53" t="s">
        <v>79</v>
      </c>
      <c r="C53">
        <v>18</v>
      </c>
      <c r="D53" s="28">
        <v>2000</v>
      </c>
      <c r="E53" t="s">
        <v>12</v>
      </c>
      <c r="F53">
        <v>0</v>
      </c>
      <c r="G53">
        <v>0</v>
      </c>
    </row>
    <row r="54" spans="1:7">
      <c r="A54">
        <v>71</v>
      </c>
      <c r="B54" t="s">
        <v>79</v>
      </c>
      <c r="C54">
        <v>14</v>
      </c>
      <c r="D54" s="28">
        <v>2000</v>
      </c>
      <c r="E54" t="s">
        <v>12</v>
      </c>
      <c r="F54">
        <v>0</v>
      </c>
      <c r="G54">
        <v>0</v>
      </c>
    </row>
    <row r="55" spans="1:7">
      <c r="A55">
        <v>72</v>
      </c>
      <c r="B55" t="s">
        <v>79</v>
      </c>
      <c r="C55">
        <v>10</v>
      </c>
      <c r="D55" s="28">
        <v>2000</v>
      </c>
      <c r="E55" t="s">
        <v>12</v>
      </c>
      <c r="F55">
        <v>0</v>
      </c>
      <c r="G55">
        <v>0</v>
      </c>
    </row>
    <row r="56" spans="1:7">
      <c r="A56">
        <v>73</v>
      </c>
      <c r="B56" t="s">
        <v>79</v>
      </c>
      <c r="C56">
        <v>8</v>
      </c>
      <c r="D56" s="28">
        <v>2000</v>
      </c>
      <c r="E56" t="s">
        <v>12</v>
      </c>
      <c r="F56">
        <v>0</v>
      </c>
      <c r="G56">
        <v>0</v>
      </c>
    </row>
    <row r="57" spans="1:7">
      <c r="A57">
        <v>74</v>
      </c>
      <c r="B57" t="s">
        <v>79</v>
      </c>
      <c r="C57">
        <v>4</v>
      </c>
      <c r="D57" s="28">
        <v>2000</v>
      </c>
      <c r="E57" t="s">
        <v>12</v>
      </c>
      <c r="F57">
        <v>0</v>
      </c>
      <c r="G57">
        <v>0</v>
      </c>
    </row>
    <row r="58" spans="1:7">
      <c r="A58">
        <v>75</v>
      </c>
      <c r="B58" t="s">
        <v>79</v>
      </c>
      <c r="C58">
        <v>1</v>
      </c>
      <c r="D58" s="28">
        <v>2000</v>
      </c>
      <c r="E58" t="s">
        <v>12</v>
      </c>
      <c r="F58">
        <v>0</v>
      </c>
      <c r="G58">
        <v>0</v>
      </c>
    </row>
    <row r="59" spans="1:7">
      <c r="A59">
        <v>76</v>
      </c>
      <c r="B59" t="s">
        <v>11</v>
      </c>
      <c r="C59">
        <v>1</v>
      </c>
      <c r="D59">
        <v>1000</v>
      </c>
      <c r="E59" t="s">
        <v>12</v>
      </c>
      <c r="F59">
        <v>0</v>
      </c>
      <c r="G59">
        <v>0</v>
      </c>
    </row>
    <row r="60" spans="1:7">
      <c r="A60">
        <v>77</v>
      </c>
      <c r="B60" t="s">
        <v>11</v>
      </c>
      <c r="C60">
        <v>2</v>
      </c>
      <c r="D60">
        <v>1000</v>
      </c>
      <c r="E60" t="s">
        <v>12</v>
      </c>
      <c r="F60">
        <v>0</v>
      </c>
      <c r="G60">
        <v>0</v>
      </c>
    </row>
    <row r="61" spans="1:7">
      <c r="A61">
        <v>78</v>
      </c>
      <c r="B61" t="s">
        <v>11</v>
      </c>
      <c r="C61">
        <v>3</v>
      </c>
      <c r="D61">
        <v>700</v>
      </c>
      <c r="E61" t="s">
        <v>12</v>
      </c>
      <c r="F61">
        <v>0</v>
      </c>
      <c r="G61">
        <v>0</v>
      </c>
    </row>
    <row r="64" spans="1:7">
      <c r="A64" s="1">
        <v>53</v>
      </c>
      <c r="B64" t="s">
        <v>74</v>
      </c>
      <c r="C64">
        <v>1</v>
      </c>
      <c r="D64" s="28">
        <v>0.5</v>
      </c>
      <c r="E64" t="s">
        <v>12</v>
      </c>
      <c r="F64">
        <v>0</v>
      </c>
      <c r="G64">
        <v>0.9</v>
      </c>
    </row>
    <row r="65" spans="1:7">
      <c r="A65" s="1">
        <v>54</v>
      </c>
      <c r="B65" t="s">
        <v>22</v>
      </c>
      <c r="C65">
        <v>1</v>
      </c>
      <c r="D65" s="28">
        <v>0.5</v>
      </c>
      <c r="E65" t="s">
        <v>12</v>
      </c>
      <c r="F65">
        <v>0</v>
      </c>
      <c r="G65">
        <v>0</v>
      </c>
    </row>
  </sheetData>
  <phoneticPr fontId="2" type="noConversion"/>
  <pageMargins left="0.7" right="0.7" top="0.75" bottom="0.75" header="0.3" footer="0.3"/>
  <pageSetup orientation="portrait" horizontalDpi="1200" verticalDpi="12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62F14-A446-4EBC-A910-A89BBAE801AB}">
  <sheetPr>
    <tabColor rgb="FF0070C0"/>
  </sheetPr>
  <dimension ref="A1:O76"/>
  <sheetViews>
    <sheetView showRuler="0" zoomScale="70" zoomScaleNormal="70" workbookViewId="0">
      <selection activeCell="G1" sqref="C1:G1"/>
    </sheetView>
  </sheetViews>
  <sheetFormatPr defaultRowHeight="15"/>
  <cols>
    <col min="2" max="2" width="27.28515625" customWidth="1"/>
    <col min="7" max="7" width="13.85546875" customWidth="1"/>
    <col min="10" max="10" width="32.140625" customWidth="1"/>
    <col min="11" max="11" width="14.42578125" bestFit="1" customWidth="1"/>
    <col min="13" max="13" width="20.28515625" bestFit="1" customWidth="1"/>
    <col min="14" max="15" width="15.140625" bestFit="1" customWidth="1"/>
    <col min="16" max="16" width="19.28515625" bestFit="1" customWidth="1"/>
    <col min="17" max="17" width="20.85546875" bestFit="1" customWidth="1"/>
  </cols>
  <sheetData>
    <row r="1" spans="1:15">
      <c r="A1" t="s">
        <v>17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8</v>
      </c>
      <c r="G1" s="1" t="s">
        <v>9</v>
      </c>
    </row>
    <row r="2" spans="1:15">
      <c r="A2" s="1">
        <v>20</v>
      </c>
      <c r="B2" t="s">
        <v>35</v>
      </c>
      <c r="C2">
        <v>1</v>
      </c>
      <c r="D2" s="28">
        <v>1</v>
      </c>
      <c r="E2" t="s">
        <v>12</v>
      </c>
      <c r="F2">
        <v>0</v>
      </c>
      <c r="G2">
        <v>0</v>
      </c>
      <c r="M2" s="2" t="s">
        <v>20</v>
      </c>
      <c r="N2" t="s">
        <v>21</v>
      </c>
    </row>
    <row r="3" spans="1:15">
      <c r="A3" s="1">
        <v>21</v>
      </c>
      <c r="B3" s="3" t="s">
        <v>83</v>
      </c>
      <c r="C3">
        <v>15</v>
      </c>
      <c r="D3" s="28">
        <v>1000</v>
      </c>
      <c r="E3" t="s">
        <v>12</v>
      </c>
      <c r="F3">
        <v>0</v>
      </c>
      <c r="G3">
        <v>0</v>
      </c>
      <c r="I3" s="23"/>
      <c r="M3" s="3" t="s">
        <v>84</v>
      </c>
      <c r="N3">
        <v>18000</v>
      </c>
      <c r="O3">
        <v>18000</v>
      </c>
    </row>
    <row r="4" spans="1:15" ht="16.149999999999999" customHeight="1">
      <c r="A4" s="1">
        <v>22</v>
      </c>
      <c r="B4" t="s">
        <v>83</v>
      </c>
      <c r="C4">
        <f>20</f>
        <v>20</v>
      </c>
      <c r="D4" s="28">
        <v>1000</v>
      </c>
      <c r="E4" t="s">
        <v>12</v>
      </c>
      <c r="F4">
        <v>0</v>
      </c>
      <c r="G4">
        <v>0</v>
      </c>
      <c r="I4" s="23"/>
      <c r="K4" s="4"/>
      <c r="M4" s="3" t="s">
        <v>29</v>
      </c>
      <c r="N4">
        <v>400</v>
      </c>
      <c r="O4">
        <v>400</v>
      </c>
    </row>
    <row r="5" spans="1:15" ht="16.149999999999999" customHeight="1">
      <c r="A5" s="1">
        <v>23</v>
      </c>
      <c r="B5" t="s">
        <v>84</v>
      </c>
      <c r="C5">
        <v>23</v>
      </c>
      <c r="D5" s="28">
        <v>1000</v>
      </c>
      <c r="E5" t="s">
        <v>12</v>
      </c>
      <c r="F5">
        <v>0</v>
      </c>
      <c r="G5">
        <v>0</v>
      </c>
      <c r="I5" s="23"/>
      <c r="J5" s="3"/>
      <c r="K5" s="4"/>
      <c r="M5" s="3" t="s">
        <v>38</v>
      </c>
      <c r="N5">
        <v>70000</v>
      </c>
      <c r="O5">
        <v>70000</v>
      </c>
    </row>
    <row r="6" spans="1:15" ht="16.149999999999999" customHeight="1">
      <c r="A6" s="1">
        <v>24</v>
      </c>
      <c r="B6" t="s">
        <v>84</v>
      </c>
      <c r="C6">
        <v>20</v>
      </c>
      <c r="D6" s="28">
        <v>1000</v>
      </c>
      <c r="E6" t="s">
        <v>12</v>
      </c>
      <c r="F6">
        <v>0</v>
      </c>
      <c r="G6">
        <v>0</v>
      </c>
      <c r="I6" s="23"/>
      <c r="J6" s="3"/>
      <c r="K6" s="4"/>
      <c r="M6" s="3" t="s">
        <v>39</v>
      </c>
      <c r="N6">
        <v>39000</v>
      </c>
      <c r="O6">
        <v>38000</v>
      </c>
    </row>
    <row r="7" spans="1:15" ht="16.149999999999999" customHeight="1">
      <c r="A7" s="1">
        <v>25</v>
      </c>
      <c r="B7" t="s">
        <v>84</v>
      </c>
      <c r="C7">
        <v>1</v>
      </c>
      <c r="D7" s="28">
        <v>1000</v>
      </c>
      <c r="E7" t="s">
        <v>12</v>
      </c>
      <c r="F7">
        <v>0</v>
      </c>
      <c r="G7">
        <v>0</v>
      </c>
      <c r="I7" s="23"/>
      <c r="J7" s="3"/>
      <c r="K7" s="4"/>
      <c r="M7" s="3" t="s">
        <v>40</v>
      </c>
      <c r="N7">
        <v>12000</v>
      </c>
      <c r="O7">
        <v>12000</v>
      </c>
    </row>
    <row r="8" spans="1:15" ht="16.149999999999999" customHeight="1">
      <c r="A8" s="1">
        <v>26</v>
      </c>
      <c r="B8" t="s">
        <v>84</v>
      </c>
      <c r="C8">
        <v>16</v>
      </c>
      <c r="D8" s="28">
        <v>1000</v>
      </c>
      <c r="E8" t="s">
        <v>12</v>
      </c>
      <c r="F8">
        <v>0</v>
      </c>
      <c r="G8">
        <v>0</v>
      </c>
      <c r="I8" s="23"/>
      <c r="K8" s="4"/>
      <c r="M8" s="3" t="s">
        <v>67</v>
      </c>
    </row>
    <row r="9" spans="1:15" ht="16.149999999999999" customHeight="1">
      <c r="A9" s="1">
        <v>27</v>
      </c>
      <c r="B9" t="s">
        <v>84</v>
      </c>
      <c r="C9">
        <v>13</v>
      </c>
      <c r="D9" s="28">
        <v>1000</v>
      </c>
      <c r="E9" t="s">
        <v>12</v>
      </c>
      <c r="F9">
        <v>0</v>
      </c>
      <c r="G9">
        <v>0</v>
      </c>
      <c r="I9" s="23"/>
      <c r="J9" s="19" t="s">
        <v>85</v>
      </c>
      <c r="K9" s="4"/>
      <c r="M9" s="3" t="s">
        <v>86</v>
      </c>
      <c r="N9">
        <v>10000</v>
      </c>
      <c r="O9">
        <v>10000</v>
      </c>
    </row>
    <row r="10" spans="1:15" ht="16.149999999999999" customHeight="1">
      <c r="A10" s="1">
        <v>28</v>
      </c>
      <c r="B10" t="s">
        <v>84</v>
      </c>
      <c r="C10">
        <v>10</v>
      </c>
      <c r="D10" s="28">
        <v>1000</v>
      </c>
      <c r="E10" t="s">
        <v>12</v>
      </c>
      <c r="F10">
        <v>0</v>
      </c>
      <c r="G10">
        <v>0</v>
      </c>
      <c r="I10" s="23"/>
      <c r="J10" t="s">
        <v>87</v>
      </c>
      <c r="K10" s="4"/>
      <c r="M10" s="3" t="s">
        <v>83</v>
      </c>
      <c r="N10">
        <v>2000</v>
      </c>
      <c r="O10">
        <v>2000</v>
      </c>
    </row>
    <row r="11" spans="1:15" ht="16.149999999999999" customHeight="1">
      <c r="A11" s="1">
        <v>29</v>
      </c>
      <c r="B11" s="3" t="s">
        <v>84</v>
      </c>
      <c r="C11">
        <v>7</v>
      </c>
      <c r="D11" s="28">
        <v>1000</v>
      </c>
      <c r="E11" t="s">
        <v>12</v>
      </c>
      <c r="F11">
        <v>0</v>
      </c>
      <c r="G11">
        <v>0</v>
      </c>
      <c r="I11" s="23"/>
      <c r="K11" s="4"/>
      <c r="M11" s="3" t="s">
        <v>35</v>
      </c>
      <c r="N11">
        <v>1</v>
      </c>
      <c r="O11">
        <v>1</v>
      </c>
    </row>
    <row r="12" spans="1:15">
      <c r="A12" s="1">
        <v>30</v>
      </c>
      <c r="B12" s="3" t="s">
        <v>84</v>
      </c>
      <c r="C12">
        <v>5</v>
      </c>
      <c r="D12" s="28">
        <v>1000</v>
      </c>
      <c r="E12" t="s">
        <v>12</v>
      </c>
      <c r="F12">
        <v>0</v>
      </c>
      <c r="G12">
        <v>0</v>
      </c>
      <c r="I12" s="23"/>
      <c r="K12" s="4"/>
      <c r="M12" s="3" t="s">
        <v>32</v>
      </c>
      <c r="N12">
        <v>151401</v>
      </c>
    </row>
    <row r="13" spans="1:15" ht="13.9" customHeight="1">
      <c r="A13" s="1">
        <v>31</v>
      </c>
      <c r="B13" s="3" t="s">
        <v>84</v>
      </c>
      <c r="C13">
        <v>3</v>
      </c>
      <c r="D13" s="28">
        <v>1000</v>
      </c>
      <c r="E13" t="s">
        <v>12</v>
      </c>
      <c r="F13">
        <v>0</v>
      </c>
      <c r="G13">
        <v>0</v>
      </c>
      <c r="I13" s="23"/>
      <c r="K13" s="4"/>
    </row>
    <row r="14" spans="1:15">
      <c r="A14" s="1">
        <v>32</v>
      </c>
      <c r="B14" t="s">
        <v>84</v>
      </c>
      <c r="C14">
        <f t="shared" ref="C14:C22" si="0">C4-1</f>
        <v>19</v>
      </c>
      <c r="D14" s="28">
        <v>1000</v>
      </c>
      <c r="E14" t="s">
        <v>12</v>
      </c>
      <c r="F14">
        <v>0</v>
      </c>
      <c r="G14">
        <v>0</v>
      </c>
      <c r="I14" s="23"/>
      <c r="L14" s="3"/>
    </row>
    <row r="15" spans="1:15">
      <c r="A15" s="1">
        <v>33</v>
      </c>
      <c r="B15" t="s">
        <v>84</v>
      </c>
      <c r="C15">
        <f t="shared" si="0"/>
        <v>22</v>
      </c>
      <c r="D15" s="28">
        <v>1000</v>
      </c>
      <c r="E15" t="s">
        <v>12</v>
      </c>
      <c r="F15">
        <v>0</v>
      </c>
      <c r="G15">
        <v>0</v>
      </c>
      <c r="I15" s="23"/>
      <c r="J15" t="s">
        <v>49</v>
      </c>
      <c r="K15">
        <v>12</v>
      </c>
      <c r="L15" s="3">
        <f>K15*1000</f>
        <v>12000</v>
      </c>
    </row>
    <row r="16" spans="1:15">
      <c r="A16" s="1">
        <v>34</v>
      </c>
      <c r="B16" t="s">
        <v>84</v>
      </c>
      <c r="C16">
        <f t="shared" si="0"/>
        <v>19</v>
      </c>
      <c r="D16" s="28">
        <v>1000</v>
      </c>
      <c r="E16" t="s">
        <v>12</v>
      </c>
      <c r="F16">
        <v>0</v>
      </c>
      <c r="G16">
        <v>0</v>
      </c>
      <c r="I16" s="23"/>
      <c r="J16" t="s">
        <v>50</v>
      </c>
      <c r="K16">
        <v>57</v>
      </c>
      <c r="L16" s="3">
        <f t="shared" ref="L16:L25" si="1">K16*1000</f>
        <v>57000</v>
      </c>
      <c r="M16">
        <f>L16-GETPIVOTDATA("Capacity",$M$2,"Technology","Wind Offshore")</f>
        <v>18000</v>
      </c>
    </row>
    <row r="17" spans="1:13">
      <c r="A17" s="1">
        <v>35</v>
      </c>
      <c r="B17" t="s">
        <v>84</v>
      </c>
      <c r="C17">
        <f t="shared" si="0"/>
        <v>0</v>
      </c>
      <c r="D17" s="28">
        <v>1000</v>
      </c>
      <c r="E17" t="s">
        <v>12</v>
      </c>
      <c r="F17">
        <v>0</v>
      </c>
      <c r="G17">
        <v>0</v>
      </c>
      <c r="I17" s="23"/>
      <c r="J17" t="s">
        <v>51</v>
      </c>
      <c r="K17">
        <v>107</v>
      </c>
      <c r="L17" s="3">
        <f t="shared" si="1"/>
        <v>107000</v>
      </c>
      <c r="M17">
        <f>L17-GETPIVOTDATA("Capacity",$M$2,"Technology","Solar PV large")</f>
        <v>37000</v>
      </c>
    </row>
    <row r="18" spans="1:13">
      <c r="A18" s="1">
        <v>36</v>
      </c>
      <c r="B18" t="s">
        <v>84</v>
      </c>
      <c r="C18">
        <f t="shared" si="0"/>
        <v>15</v>
      </c>
      <c r="D18" s="28">
        <v>1000</v>
      </c>
      <c r="E18" t="s">
        <v>12</v>
      </c>
      <c r="F18">
        <v>0</v>
      </c>
      <c r="G18">
        <v>0</v>
      </c>
      <c r="I18" s="23"/>
      <c r="J18" t="s">
        <v>88</v>
      </c>
      <c r="K18" t="s">
        <v>89</v>
      </c>
      <c r="L18" s="3" t="e">
        <f t="shared" si="1"/>
        <v>#VALUE!</v>
      </c>
    </row>
    <row r="19" spans="1:13">
      <c r="A19" s="1">
        <v>37</v>
      </c>
      <c r="B19" t="s">
        <v>84</v>
      </c>
      <c r="C19">
        <f t="shared" si="0"/>
        <v>12</v>
      </c>
      <c r="D19" s="28">
        <v>1000</v>
      </c>
      <c r="E19" t="s">
        <v>12</v>
      </c>
      <c r="F19">
        <v>0</v>
      </c>
      <c r="G19">
        <v>0</v>
      </c>
      <c r="I19" s="23"/>
      <c r="J19" t="s">
        <v>29</v>
      </c>
      <c r="K19">
        <v>0.48</v>
      </c>
      <c r="L19" s="3">
        <f t="shared" si="1"/>
        <v>480</v>
      </c>
    </row>
    <row r="20" spans="1:13">
      <c r="A20" s="1">
        <v>38</v>
      </c>
      <c r="B20" t="s">
        <v>84</v>
      </c>
      <c r="C20">
        <f t="shared" si="0"/>
        <v>9</v>
      </c>
      <c r="D20" s="28">
        <v>1000</v>
      </c>
      <c r="E20" t="s">
        <v>12</v>
      </c>
      <c r="F20">
        <v>0</v>
      </c>
      <c r="G20">
        <v>0</v>
      </c>
      <c r="J20" t="s">
        <v>53</v>
      </c>
      <c r="K20">
        <v>8.4499999999999993</v>
      </c>
      <c r="L20" s="3">
        <f t="shared" si="1"/>
        <v>8450</v>
      </c>
      <c r="M20">
        <f>L20-GETPIVOTDATA("Capacity",$M$2,"Technology","hydrogen OCGT")</f>
        <v>-9550</v>
      </c>
    </row>
    <row r="21" spans="1:13">
      <c r="A21" s="1">
        <v>39</v>
      </c>
      <c r="B21" t="s">
        <v>84</v>
      </c>
      <c r="C21">
        <f t="shared" si="0"/>
        <v>6</v>
      </c>
      <c r="D21" s="28">
        <v>1000</v>
      </c>
      <c r="E21" t="s">
        <v>12</v>
      </c>
      <c r="F21">
        <v>0</v>
      </c>
      <c r="G21">
        <v>0</v>
      </c>
      <c r="J21" t="s">
        <v>54</v>
      </c>
      <c r="K21">
        <v>26</v>
      </c>
      <c r="L21" s="3">
        <f t="shared" si="1"/>
        <v>26000</v>
      </c>
      <c r="M21" t="e">
        <f>L21-GETPIVOTDATA("Capacity",$M$2,"Technology","Lithium_ion_battery")</f>
        <v>#REF!</v>
      </c>
    </row>
    <row r="22" spans="1:13">
      <c r="A22" s="1">
        <v>40</v>
      </c>
      <c r="B22" t="s">
        <v>84</v>
      </c>
      <c r="C22">
        <f t="shared" si="0"/>
        <v>4</v>
      </c>
      <c r="D22" s="28">
        <v>1000</v>
      </c>
      <c r="E22" t="s">
        <v>12</v>
      </c>
      <c r="F22">
        <v>0</v>
      </c>
      <c r="G22">
        <v>0</v>
      </c>
      <c r="J22" t="s">
        <v>55</v>
      </c>
      <c r="K22">
        <v>4.38</v>
      </c>
      <c r="L22" s="3">
        <f t="shared" si="1"/>
        <v>4380</v>
      </c>
    </row>
    <row r="23" spans="1:13">
      <c r="A23" s="1">
        <v>41</v>
      </c>
      <c r="B23" t="s">
        <v>86</v>
      </c>
      <c r="C23">
        <v>24</v>
      </c>
      <c r="D23" s="28">
        <v>1000</v>
      </c>
      <c r="E23" t="s">
        <v>12</v>
      </c>
      <c r="F23">
        <v>0</v>
      </c>
      <c r="G23">
        <v>0.9</v>
      </c>
      <c r="J23" t="s">
        <v>56</v>
      </c>
      <c r="K23">
        <v>1.58</v>
      </c>
      <c r="L23" s="3">
        <f t="shared" si="1"/>
        <v>1580</v>
      </c>
    </row>
    <row r="24" spans="1:13">
      <c r="A24" s="1">
        <v>42</v>
      </c>
      <c r="B24" t="s">
        <v>86</v>
      </c>
      <c r="C24">
        <v>23</v>
      </c>
      <c r="D24" s="28">
        <v>1000</v>
      </c>
      <c r="E24" t="s">
        <v>12</v>
      </c>
      <c r="F24">
        <v>0</v>
      </c>
      <c r="G24">
        <v>0.9</v>
      </c>
      <c r="J24" t="s">
        <v>57</v>
      </c>
      <c r="K24">
        <v>0.04</v>
      </c>
      <c r="L24" s="3">
        <f t="shared" si="1"/>
        <v>40</v>
      </c>
    </row>
    <row r="25" spans="1:13">
      <c r="A25" s="1">
        <v>43</v>
      </c>
      <c r="B25" t="s">
        <v>86</v>
      </c>
      <c r="C25">
        <v>21</v>
      </c>
      <c r="D25" s="28">
        <v>1000</v>
      </c>
      <c r="E25" t="s">
        <v>12</v>
      </c>
      <c r="F25">
        <v>0</v>
      </c>
      <c r="G25">
        <v>0.9</v>
      </c>
      <c r="J25" t="s">
        <v>58</v>
      </c>
      <c r="K25">
        <v>0.45</v>
      </c>
      <c r="L25" s="3">
        <f t="shared" si="1"/>
        <v>450</v>
      </c>
    </row>
    <row r="26" spans="1:13">
      <c r="A26" s="1">
        <v>44</v>
      </c>
      <c r="B26" t="s">
        <v>86</v>
      </c>
      <c r="C26">
        <f t="shared" ref="C26:C31" si="2">C25-3</f>
        <v>18</v>
      </c>
      <c r="D26" s="28">
        <v>1000</v>
      </c>
      <c r="E26" t="s">
        <v>12</v>
      </c>
      <c r="F26">
        <v>0</v>
      </c>
      <c r="G26">
        <v>0.9</v>
      </c>
    </row>
    <row r="27" spans="1:13">
      <c r="A27" s="1">
        <v>45</v>
      </c>
      <c r="B27" t="s">
        <v>86</v>
      </c>
      <c r="C27">
        <f t="shared" si="2"/>
        <v>15</v>
      </c>
      <c r="D27" s="28">
        <v>1000</v>
      </c>
      <c r="E27" t="s">
        <v>12</v>
      </c>
      <c r="F27">
        <v>0</v>
      </c>
      <c r="G27">
        <v>0.9</v>
      </c>
      <c r="I27" s="23"/>
    </row>
    <row r="28" spans="1:13">
      <c r="A28" s="1">
        <v>46</v>
      </c>
      <c r="B28" t="s">
        <v>86</v>
      </c>
      <c r="C28">
        <f t="shared" si="2"/>
        <v>12</v>
      </c>
      <c r="D28" s="28">
        <v>1000</v>
      </c>
      <c r="E28" t="s">
        <v>12</v>
      </c>
      <c r="F28">
        <v>0</v>
      </c>
      <c r="G28">
        <v>0.9</v>
      </c>
    </row>
    <row r="29" spans="1:13">
      <c r="A29" s="1">
        <v>47</v>
      </c>
      <c r="B29" t="s">
        <v>86</v>
      </c>
      <c r="C29">
        <f t="shared" si="2"/>
        <v>9</v>
      </c>
      <c r="D29" s="28">
        <v>1000</v>
      </c>
      <c r="E29" t="s">
        <v>12</v>
      </c>
      <c r="F29">
        <v>0</v>
      </c>
      <c r="G29">
        <v>0.9</v>
      </c>
      <c r="I29" s="23"/>
    </row>
    <row r="30" spans="1:13">
      <c r="A30" s="1">
        <v>48</v>
      </c>
      <c r="B30" t="s">
        <v>86</v>
      </c>
      <c r="C30">
        <f t="shared" si="2"/>
        <v>6</v>
      </c>
      <c r="D30" s="28">
        <v>1000</v>
      </c>
      <c r="E30" t="s">
        <v>12</v>
      </c>
      <c r="F30">
        <v>0</v>
      </c>
      <c r="G30">
        <v>0.9</v>
      </c>
      <c r="I30" s="23"/>
    </row>
    <row r="31" spans="1:13">
      <c r="A31" s="1">
        <v>49</v>
      </c>
      <c r="B31" t="s">
        <v>86</v>
      </c>
      <c r="C31">
        <f t="shared" si="2"/>
        <v>3</v>
      </c>
      <c r="D31" s="28">
        <v>1000</v>
      </c>
      <c r="E31" t="s">
        <v>12</v>
      </c>
      <c r="F31">
        <v>0</v>
      </c>
      <c r="G31">
        <v>0.9</v>
      </c>
      <c r="I31" s="23"/>
    </row>
    <row r="32" spans="1:13">
      <c r="A32" s="1">
        <v>50</v>
      </c>
      <c r="B32" t="s">
        <v>86</v>
      </c>
      <c r="C32">
        <v>1</v>
      </c>
      <c r="D32" s="28">
        <v>1000</v>
      </c>
      <c r="E32" t="s">
        <v>12</v>
      </c>
      <c r="F32">
        <v>0</v>
      </c>
      <c r="G32">
        <v>0.9</v>
      </c>
      <c r="I32" s="23"/>
    </row>
    <row r="33" spans="1:9">
      <c r="A33" s="1">
        <v>51</v>
      </c>
      <c r="B33" s="3" t="s">
        <v>29</v>
      </c>
      <c r="C33">
        <v>15</v>
      </c>
      <c r="D33" s="4">
        <v>400</v>
      </c>
      <c r="E33" t="s">
        <v>12</v>
      </c>
      <c r="F33">
        <v>0</v>
      </c>
      <c r="G33">
        <v>0</v>
      </c>
      <c r="I33" s="23"/>
    </row>
    <row r="34" spans="1:9">
      <c r="A34" s="1">
        <v>52</v>
      </c>
      <c r="B34" t="s">
        <v>38</v>
      </c>
      <c r="C34">
        <v>1</v>
      </c>
      <c r="D34" s="4">
        <v>3000</v>
      </c>
      <c r="E34" t="s">
        <v>12</v>
      </c>
      <c r="F34">
        <v>0</v>
      </c>
      <c r="G34">
        <v>0</v>
      </c>
      <c r="I34" s="23"/>
    </row>
    <row r="35" spans="1:9">
      <c r="A35" s="1">
        <v>53</v>
      </c>
      <c r="B35" s="3" t="s">
        <v>38</v>
      </c>
      <c r="C35">
        <v>2</v>
      </c>
      <c r="D35">
        <v>3000</v>
      </c>
      <c r="E35" t="s">
        <v>12</v>
      </c>
      <c r="F35">
        <v>0</v>
      </c>
      <c r="G35">
        <v>0</v>
      </c>
      <c r="I35" s="23"/>
    </row>
    <row r="36" spans="1:9">
      <c r="A36" s="1">
        <v>54</v>
      </c>
      <c r="B36" s="3" t="s">
        <v>38</v>
      </c>
      <c r="C36">
        <v>3</v>
      </c>
      <c r="D36">
        <v>3000</v>
      </c>
      <c r="E36" t="s">
        <v>12</v>
      </c>
      <c r="F36">
        <v>0</v>
      </c>
      <c r="G36">
        <v>0</v>
      </c>
    </row>
    <row r="37" spans="1:9">
      <c r="A37" s="1">
        <v>55</v>
      </c>
      <c r="B37" s="3" t="s">
        <v>38</v>
      </c>
      <c r="C37">
        <v>4</v>
      </c>
      <c r="D37">
        <v>3000</v>
      </c>
      <c r="E37" t="s">
        <v>12</v>
      </c>
      <c r="F37">
        <v>0</v>
      </c>
      <c r="G37">
        <v>0</v>
      </c>
    </row>
    <row r="38" spans="1:9">
      <c r="A38" s="1">
        <v>56</v>
      </c>
      <c r="B38" s="3" t="s">
        <v>38</v>
      </c>
      <c r="C38">
        <v>5</v>
      </c>
      <c r="D38">
        <v>3000</v>
      </c>
      <c r="E38" t="s">
        <v>12</v>
      </c>
      <c r="F38">
        <v>0</v>
      </c>
      <c r="G38">
        <v>0</v>
      </c>
    </row>
    <row r="39" spans="1:9">
      <c r="A39" s="1">
        <v>57</v>
      </c>
      <c r="B39" t="s">
        <v>38</v>
      </c>
      <c r="C39">
        <v>24</v>
      </c>
      <c r="D39">
        <v>3000</v>
      </c>
      <c r="E39" t="s">
        <v>12</v>
      </c>
      <c r="F39">
        <v>0</v>
      </c>
      <c r="G39">
        <v>0</v>
      </c>
    </row>
    <row r="40" spans="1:9">
      <c r="A40" s="1">
        <v>58</v>
      </c>
      <c r="B40" s="3" t="s">
        <v>38</v>
      </c>
      <c r="C40">
        <v>6</v>
      </c>
      <c r="D40">
        <v>3000</v>
      </c>
      <c r="E40" t="s">
        <v>12</v>
      </c>
      <c r="F40">
        <v>0</v>
      </c>
      <c r="G40">
        <v>0</v>
      </c>
    </row>
    <row r="41" spans="1:9">
      <c r="A41" s="1">
        <v>59</v>
      </c>
      <c r="B41" s="3" t="s">
        <v>38</v>
      </c>
      <c r="C41">
        <v>7</v>
      </c>
      <c r="D41">
        <v>3000</v>
      </c>
      <c r="E41" t="s">
        <v>12</v>
      </c>
      <c r="F41">
        <v>0</v>
      </c>
      <c r="G41">
        <v>0</v>
      </c>
    </row>
    <row r="42" spans="1:9">
      <c r="A42" s="1">
        <v>60</v>
      </c>
      <c r="B42" s="3" t="s">
        <v>38</v>
      </c>
      <c r="C42">
        <v>8</v>
      </c>
      <c r="D42">
        <v>3000</v>
      </c>
      <c r="E42" t="s">
        <v>12</v>
      </c>
      <c r="F42">
        <v>0</v>
      </c>
      <c r="G42">
        <v>0</v>
      </c>
    </row>
    <row r="43" spans="1:9">
      <c r="A43" s="1">
        <v>61</v>
      </c>
      <c r="B43" s="3" t="s">
        <v>38</v>
      </c>
      <c r="C43">
        <v>20</v>
      </c>
      <c r="D43">
        <v>3000</v>
      </c>
      <c r="E43" t="s">
        <v>12</v>
      </c>
      <c r="F43">
        <v>0</v>
      </c>
      <c r="G43">
        <v>0</v>
      </c>
    </row>
    <row r="44" spans="1:9">
      <c r="A44" s="1">
        <v>62</v>
      </c>
      <c r="B44" s="3" t="s">
        <v>38</v>
      </c>
      <c r="C44">
        <v>9</v>
      </c>
      <c r="D44">
        <v>3000</v>
      </c>
      <c r="E44" t="s">
        <v>12</v>
      </c>
      <c r="F44">
        <v>0</v>
      </c>
      <c r="G44">
        <v>0</v>
      </c>
    </row>
    <row r="45" spans="1:9">
      <c r="A45" s="1">
        <v>63</v>
      </c>
      <c r="B45" s="3" t="s">
        <v>38</v>
      </c>
      <c r="C45">
        <v>10</v>
      </c>
      <c r="D45">
        <v>3000</v>
      </c>
      <c r="E45" t="s">
        <v>12</v>
      </c>
      <c r="F45">
        <v>0</v>
      </c>
      <c r="G45">
        <v>0</v>
      </c>
    </row>
    <row r="46" spans="1:9">
      <c r="A46" s="1">
        <v>64</v>
      </c>
      <c r="B46" s="3" t="s">
        <v>38</v>
      </c>
      <c r="C46">
        <v>11</v>
      </c>
      <c r="D46">
        <v>3000</v>
      </c>
      <c r="E46" t="s">
        <v>12</v>
      </c>
      <c r="F46">
        <v>0</v>
      </c>
      <c r="G46">
        <v>0</v>
      </c>
    </row>
    <row r="47" spans="1:9">
      <c r="A47" s="1">
        <v>65</v>
      </c>
      <c r="B47" s="3" t="s">
        <v>38</v>
      </c>
      <c r="C47">
        <v>12</v>
      </c>
      <c r="D47">
        <v>3000</v>
      </c>
      <c r="E47" t="s">
        <v>12</v>
      </c>
      <c r="F47">
        <v>0</v>
      </c>
      <c r="G47">
        <v>0</v>
      </c>
    </row>
    <row r="48" spans="1:9">
      <c r="A48" s="1">
        <v>66</v>
      </c>
      <c r="B48" s="3" t="s">
        <v>38</v>
      </c>
      <c r="C48">
        <v>13</v>
      </c>
      <c r="D48">
        <v>3000</v>
      </c>
      <c r="E48" t="s">
        <v>12</v>
      </c>
      <c r="F48">
        <v>0</v>
      </c>
      <c r="G48">
        <v>0</v>
      </c>
    </row>
    <row r="49" spans="1:7">
      <c r="A49" s="1">
        <v>67</v>
      </c>
      <c r="B49" s="3" t="s">
        <v>38</v>
      </c>
      <c r="C49">
        <v>14</v>
      </c>
      <c r="D49">
        <v>3000</v>
      </c>
      <c r="E49" t="s">
        <v>12</v>
      </c>
      <c r="F49">
        <v>0</v>
      </c>
      <c r="G49">
        <v>0</v>
      </c>
    </row>
    <row r="50" spans="1:7">
      <c r="A50" s="1">
        <v>68</v>
      </c>
      <c r="B50" s="3" t="s">
        <v>38</v>
      </c>
      <c r="C50">
        <v>15</v>
      </c>
      <c r="D50">
        <v>3000</v>
      </c>
      <c r="E50" t="s">
        <v>12</v>
      </c>
      <c r="F50">
        <v>0</v>
      </c>
      <c r="G50">
        <v>0</v>
      </c>
    </row>
    <row r="51" spans="1:7">
      <c r="A51" s="1">
        <v>69</v>
      </c>
      <c r="B51" s="3" t="s">
        <v>38</v>
      </c>
      <c r="C51">
        <v>16</v>
      </c>
      <c r="D51">
        <v>2000</v>
      </c>
      <c r="E51" t="s">
        <v>12</v>
      </c>
      <c r="F51">
        <v>0</v>
      </c>
      <c r="G51">
        <v>0</v>
      </c>
    </row>
    <row r="52" spans="1:7">
      <c r="A52" s="1">
        <v>70</v>
      </c>
      <c r="B52" s="3" t="s">
        <v>38</v>
      </c>
      <c r="C52">
        <v>17</v>
      </c>
      <c r="D52">
        <v>2000</v>
      </c>
      <c r="E52" t="s">
        <v>12</v>
      </c>
      <c r="F52">
        <v>0</v>
      </c>
      <c r="G52">
        <v>0</v>
      </c>
    </row>
    <row r="53" spans="1:7">
      <c r="A53" s="1">
        <v>71</v>
      </c>
      <c r="B53" s="3" t="s">
        <v>38</v>
      </c>
      <c r="C53">
        <v>18</v>
      </c>
      <c r="D53">
        <v>3000</v>
      </c>
      <c r="E53" t="s">
        <v>12</v>
      </c>
      <c r="F53">
        <v>0</v>
      </c>
      <c r="G53">
        <v>0</v>
      </c>
    </row>
    <row r="54" spans="1:7">
      <c r="A54" s="1">
        <v>72</v>
      </c>
      <c r="B54" s="3" t="s">
        <v>38</v>
      </c>
      <c r="C54">
        <v>19</v>
      </c>
      <c r="D54">
        <v>3000</v>
      </c>
      <c r="E54" t="s">
        <v>12</v>
      </c>
      <c r="F54">
        <v>0</v>
      </c>
      <c r="G54">
        <v>0</v>
      </c>
    </row>
    <row r="55" spans="1:7" ht="12" customHeight="1">
      <c r="A55" s="1">
        <v>73</v>
      </c>
      <c r="B55" s="3" t="s">
        <v>38</v>
      </c>
      <c r="C55">
        <v>21</v>
      </c>
      <c r="D55">
        <v>3000</v>
      </c>
      <c r="E55" t="s">
        <v>12</v>
      </c>
      <c r="F55">
        <v>0</v>
      </c>
      <c r="G55">
        <v>0</v>
      </c>
    </row>
    <row r="56" spans="1:7">
      <c r="A56" s="1">
        <v>74</v>
      </c>
      <c r="B56" s="3" t="s">
        <v>38</v>
      </c>
      <c r="C56">
        <v>22</v>
      </c>
      <c r="D56">
        <v>3000</v>
      </c>
      <c r="E56" t="s">
        <v>12</v>
      </c>
      <c r="F56">
        <v>0</v>
      </c>
      <c r="G56">
        <v>0</v>
      </c>
    </row>
    <row r="57" spans="1:7">
      <c r="A57" s="1">
        <v>75</v>
      </c>
      <c r="B57" s="3" t="s">
        <v>38</v>
      </c>
      <c r="C57">
        <v>23</v>
      </c>
      <c r="D57">
        <v>3000</v>
      </c>
      <c r="E57" t="s">
        <v>12</v>
      </c>
      <c r="F57">
        <v>0</v>
      </c>
      <c r="G57">
        <v>0</v>
      </c>
    </row>
    <row r="58" spans="1:7">
      <c r="A58" s="1">
        <v>76</v>
      </c>
      <c r="B58" t="s">
        <v>39</v>
      </c>
      <c r="C58">
        <v>29</v>
      </c>
      <c r="D58">
        <v>3000</v>
      </c>
      <c r="E58" t="s">
        <v>12</v>
      </c>
      <c r="F58">
        <v>0</v>
      </c>
      <c r="G58">
        <v>0</v>
      </c>
    </row>
    <row r="59" spans="1:7">
      <c r="A59" s="1">
        <v>77</v>
      </c>
      <c r="B59" t="s">
        <v>39</v>
      </c>
      <c r="C59">
        <v>27</v>
      </c>
      <c r="D59">
        <v>3000</v>
      </c>
      <c r="E59" t="s">
        <v>12</v>
      </c>
      <c r="F59">
        <v>0</v>
      </c>
      <c r="G59">
        <v>0</v>
      </c>
    </row>
    <row r="60" spans="1:7">
      <c r="A60" s="1">
        <v>78</v>
      </c>
      <c r="B60" t="s">
        <v>39</v>
      </c>
      <c r="C60">
        <v>25</v>
      </c>
      <c r="D60">
        <v>3000</v>
      </c>
      <c r="E60" t="s">
        <v>12</v>
      </c>
      <c r="F60">
        <v>0</v>
      </c>
      <c r="G60">
        <v>0</v>
      </c>
    </row>
    <row r="61" spans="1:7">
      <c r="A61" s="1">
        <v>79</v>
      </c>
      <c r="B61" t="s">
        <v>39</v>
      </c>
      <c r="C61">
        <v>23</v>
      </c>
      <c r="D61">
        <v>3000</v>
      </c>
      <c r="E61" t="s">
        <v>12</v>
      </c>
      <c r="F61">
        <v>0</v>
      </c>
      <c r="G61">
        <v>0</v>
      </c>
    </row>
    <row r="62" spans="1:7">
      <c r="A62" s="1">
        <v>80</v>
      </c>
      <c r="B62" t="s">
        <v>39</v>
      </c>
      <c r="C62">
        <v>21</v>
      </c>
      <c r="D62">
        <v>3000</v>
      </c>
      <c r="E62" t="s">
        <v>12</v>
      </c>
      <c r="F62">
        <v>0</v>
      </c>
      <c r="G62">
        <v>0</v>
      </c>
    </row>
    <row r="63" spans="1:7">
      <c r="A63" s="1">
        <v>81</v>
      </c>
      <c r="B63" t="s">
        <v>39</v>
      </c>
      <c r="C63">
        <v>19</v>
      </c>
      <c r="D63">
        <v>3000</v>
      </c>
      <c r="E63" t="s">
        <v>12</v>
      </c>
      <c r="F63">
        <v>0</v>
      </c>
      <c r="G63">
        <v>0</v>
      </c>
    </row>
    <row r="64" spans="1:7">
      <c r="A64" s="1">
        <v>82</v>
      </c>
      <c r="B64" t="s">
        <v>39</v>
      </c>
      <c r="C64">
        <v>17</v>
      </c>
      <c r="D64">
        <v>3000</v>
      </c>
      <c r="E64" t="s">
        <v>12</v>
      </c>
      <c r="F64">
        <v>0</v>
      </c>
      <c r="G64">
        <v>0</v>
      </c>
    </row>
    <row r="65" spans="1:7">
      <c r="A65" s="1">
        <v>83</v>
      </c>
      <c r="B65" t="s">
        <v>39</v>
      </c>
      <c r="C65">
        <v>14</v>
      </c>
      <c r="D65">
        <v>3000</v>
      </c>
      <c r="E65" t="s">
        <v>12</v>
      </c>
      <c r="F65">
        <v>0</v>
      </c>
      <c r="G65">
        <v>0</v>
      </c>
    </row>
    <row r="66" spans="1:7">
      <c r="A66" s="1">
        <v>84</v>
      </c>
      <c r="B66" t="s">
        <v>39</v>
      </c>
      <c r="C66">
        <v>12</v>
      </c>
      <c r="D66">
        <v>3000</v>
      </c>
      <c r="E66" t="s">
        <v>12</v>
      </c>
      <c r="F66">
        <v>0</v>
      </c>
      <c r="G66">
        <v>0</v>
      </c>
    </row>
    <row r="67" spans="1:7">
      <c r="A67" s="1">
        <v>85</v>
      </c>
      <c r="B67" t="s">
        <v>39</v>
      </c>
      <c r="C67">
        <v>10</v>
      </c>
      <c r="D67">
        <v>2000</v>
      </c>
      <c r="E67" t="s">
        <v>12</v>
      </c>
      <c r="F67">
        <v>0</v>
      </c>
      <c r="G67">
        <v>0</v>
      </c>
    </row>
    <row r="68" spans="1:7">
      <c r="A68" s="1">
        <v>86</v>
      </c>
      <c r="B68" t="s">
        <v>39</v>
      </c>
      <c r="C68">
        <v>6</v>
      </c>
      <c r="D68">
        <v>3000</v>
      </c>
      <c r="E68" t="s">
        <v>12</v>
      </c>
      <c r="F68">
        <v>0</v>
      </c>
      <c r="G68">
        <v>0</v>
      </c>
    </row>
    <row r="69" spans="1:7">
      <c r="A69" s="1">
        <v>87</v>
      </c>
      <c r="B69" t="s">
        <v>39</v>
      </c>
      <c r="C69">
        <v>4</v>
      </c>
      <c r="D69">
        <v>3000</v>
      </c>
      <c r="E69" t="s">
        <v>12</v>
      </c>
      <c r="F69">
        <v>0</v>
      </c>
      <c r="G69">
        <v>0</v>
      </c>
    </row>
    <row r="70" spans="1:7">
      <c r="A70" s="1">
        <v>88</v>
      </c>
      <c r="B70" t="s">
        <v>39</v>
      </c>
      <c r="C70">
        <v>2</v>
      </c>
      <c r="D70">
        <v>3000</v>
      </c>
      <c r="E70" t="s">
        <v>12</v>
      </c>
      <c r="F70">
        <v>0</v>
      </c>
      <c r="G70">
        <v>0</v>
      </c>
    </row>
    <row r="71" spans="1:7">
      <c r="A71" s="1">
        <v>89</v>
      </c>
      <c r="B71" s="3" t="s">
        <v>40</v>
      </c>
      <c r="C71">
        <v>27</v>
      </c>
      <c r="D71" s="4">
        <v>2400</v>
      </c>
      <c r="E71" t="s">
        <v>12</v>
      </c>
      <c r="F71">
        <v>0</v>
      </c>
      <c r="G71">
        <v>0</v>
      </c>
    </row>
    <row r="72" spans="1:7">
      <c r="A72" s="1">
        <v>90</v>
      </c>
      <c r="B72" s="3" t="s">
        <v>40</v>
      </c>
      <c r="C72">
        <v>22</v>
      </c>
      <c r="D72" s="4">
        <v>2400</v>
      </c>
      <c r="E72" t="s">
        <v>12</v>
      </c>
      <c r="F72">
        <v>0</v>
      </c>
      <c r="G72">
        <v>0</v>
      </c>
    </row>
    <row r="73" spans="1:7">
      <c r="A73" s="1">
        <v>91</v>
      </c>
      <c r="B73" s="3" t="s">
        <v>40</v>
      </c>
      <c r="C73">
        <v>16</v>
      </c>
      <c r="D73" s="4">
        <v>2400</v>
      </c>
      <c r="E73" t="s">
        <v>12</v>
      </c>
      <c r="F73">
        <v>0</v>
      </c>
      <c r="G73">
        <v>0</v>
      </c>
    </row>
    <row r="74" spans="1:7">
      <c r="A74" s="1">
        <v>92</v>
      </c>
      <c r="B74" s="3" t="s">
        <v>40</v>
      </c>
      <c r="C74">
        <v>7</v>
      </c>
      <c r="D74" s="4">
        <v>2400</v>
      </c>
      <c r="E74" t="s">
        <v>12</v>
      </c>
      <c r="F74">
        <v>0</v>
      </c>
      <c r="G74">
        <v>0</v>
      </c>
    </row>
    <row r="75" spans="1:7">
      <c r="A75" s="1">
        <v>93</v>
      </c>
      <c r="B75" s="3" t="s">
        <v>40</v>
      </c>
      <c r="C75">
        <v>2</v>
      </c>
      <c r="D75">
        <v>2400</v>
      </c>
      <c r="E75" t="s">
        <v>12</v>
      </c>
      <c r="F75">
        <v>0</v>
      </c>
      <c r="G75">
        <v>0</v>
      </c>
    </row>
    <row r="76" spans="1:7">
      <c r="D76" s="28"/>
    </row>
  </sheetData>
  <autoFilter ref="A1:G75" xr:uid="{38262F14-A446-4EBC-A910-A89BBAE801AB}">
    <sortState xmlns:xlrd2="http://schemas.microsoft.com/office/spreadsheetml/2017/richdata2" ref="A2:G75">
      <sortCondition ref="B1:B75"/>
    </sortState>
  </autoFilter>
  <phoneticPr fontId="2" type="noConversion"/>
  <pageMargins left="0.7" right="0.7" top="0.75" bottom="0.75" header="0.3" footer="0.3"/>
  <pageSetup orientation="portrait" horizontalDpi="1200" verticalDpi="12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D1FE2-7ECD-489A-A2DC-38034E20E145}">
  <sheetPr>
    <tabColor rgb="FF0070C0"/>
  </sheetPr>
  <dimension ref="A1:N29"/>
  <sheetViews>
    <sheetView zoomScale="115" zoomScaleNormal="115" workbookViewId="0">
      <selection activeCell="E21" sqref="E21"/>
    </sheetView>
  </sheetViews>
  <sheetFormatPr defaultRowHeight="15"/>
  <cols>
    <col min="2" max="2" width="23.140625" customWidth="1"/>
    <col min="6" max="6" width="22.42578125" customWidth="1"/>
    <col min="12" max="12" width="19.7109375" bestFit="1" customWidth="1"/>
    <col min="13" max="13" width="15.140625" bestFit="1" customWidth="1"/>
  </cols>
  <sheetData>
    <row r="1" spans="1:14">
      <c r="A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/>
      <c r="M1" s="5"/>
    </row>
    <row r="2" spans="1:14">
      <c r="A2">
        <v>20</v>
      </c>
      <c r="B2" t="s">
        <v>84</v>
      </c>
      <c r="C2">
        <v>5</v>
      </c>
      <c r="D2">
        <v>4000</v>
      </c>
      <c r="E2" t="s">
        <v>12</v>
      </c>
      <c r="F2" t="s">
        <v>13</v>
      </c>
      <c r="G2">
        <v>0</v>
      </c>
      <c r="H2">
        <v>0</v>
      </c>
      <c r="L2" s="2" t="s">
        <v>20</v>
      </c>
      <c r="M2" t="s">
        <v>21</v>
      </c>
    </row>
    <row r="3" spans="1:14">
      <c r="A3">
        <v>21</v>
      </c>
      <c r="B3" t="s">
        <v>84</v>
      </c>
      <c r="C3">
        <v>6</v>
      </c>
      <c r="D3">
        <v>4000</v>
      </c>
      <c r="E3" t="s">
        <v>12</v>
      </c>
      <c r="F3" t="s">
        <v>13</v>
      </c>
      <c r="G3">
        <v>0</v>
      </c>
      <c r="H3">
        <v>0</v>
      </c>
      <c r="L3" s="3" t="s">
        <v>84</v>
      </c>
      <c r="M3">
        <v>16000</v>
      </c>
      <c r="N3">
        <f>GETPIVOTDATA("Capacity",$L$2,"Technology","hydrogen OCGT")*0.9</f>
        <v>14400</v>
      </c>
    </row>
    <row r="4" spans="1:14">
      <c r="A4">
        <v>22</v>
      </c>
      <c r="B4" t="s">
        <v>84</v>
      </c>
      <c r="C4">
        <v>7</v>
      </c>
      <c r="D4">
        <v>4000</v>
      </c>
      <c r="E4" t="s">
        <v>12</v>
      </c>
      <c r="F4" t="s">
        <v>13</v>
      </c>
      <c r="G4">
        <v>0</v>
      </c>
      <c r="H4">
        <v>0</v>
      </c>
      <c r="L4" s="3" t="s">
        <v>38</v>
      </c>
      <c r="M4">
        <v>60000</v>
      </c>
      <c r="N4">
        <f>GETPIVOTDATA("Capacity",$L$2,"Technology","hydrogen OCGT")*0.5</f>
        <v>8000</v>
      </c>
    </row>
    <row r="5" spans="1:14">
      <c r="A5">
        <v>23</v>
      </c>
      <c r="B5" t="s">
        <v>84</v>
      </c>
      <c r="C5">
        <v>8</v>
      </c>
      <c r="D5">
        <v>2000</v>
      </c>
      <c r="E5" t="s">
        <v>12</v>
      </c>
      <c r="F5" t="s">
        <v>13</v>
      </c>
      <c r="G5">
        <v>0</v>
      </c>
      <c r="H5">
        <v>0</v>
      </c>
      <c r="L5" s="3" t="s">
        <v>39</v>
      </c>
      <c r="M5">
        <v>39000</v>
      </c>
      <c r="N5">
        <f>GETPIVOTDATA("Capacity",$L$2,"Technology","hydrogen OCGT")*0.1</f>
        <v>1600</v>
      </c>
    </row>
    <row r="6" spans="1:14">
      <c r="A6">
        <v>24</v>
      </c>
      <c r="B6" t="s">
        <v>84</v>
      </c>
      <c r="C6">
        <v>9</v>
      </c>
      <c r="D6">
        <v>2000</v>
      </c>
      <c r="E6" t="s">
        <v>12</v>
      </c>
      <c r="F6" t="s">
        <v>13</v>
      </c>
      <c r="G6">
        <v>0</v>
      </c>
      <c r="H6">
        <v>0</v>
      </c>
      <c r="L6" s="3" t="s">
        <v>40</v>
      </c>
      <c r="M6">
        <v>12000</v>
      </c>
      <c r="N6">
        <f>GETPIVOTDATA("Capacity",$L$2,"Technology","hydrogen OCGT")*0.13</f>
        <v>2080</v>
      </c>
    </row>
    <row r="7" spans="1:14">
      <c r="A7">
        <v>25</v>
      </c>
      <c r="B7" t="s">
        <v>86</v>
      </c>
      <c r="C7">
        <v>6</v>
      </c>
      <c r="D7">
        <v>4000</v>
      </c>
      <c r="E7" t="s">
        <v>12</v>
      </c>
      <c r="F7" t="s">
        <v>13</v>
      </c>
      <c r="G7">
        <v>0</v>
      </c>
      <c r="H7">
        <v>0.9</v>
      </c>
      <c r="L7" s="3" t="s">
        <v>86</v>
      </c>
      <c r="M7">
        <v>10000</v>
      </c>
      <c r="N7">
        <f>GETPIVOTDATA("Capacity",$L$2,"Technology","hydrogen OCGT")*0.9</f>
        <v>14400</v>
      </c>
    </row>
    <row r="8" spans="1:14">
      <c r="A8">
        <v>26</v>
      </c>
      <c r="B8" t="s">
        <v>38</v>
      </c>
      <c r="C8">
        <v>1</v>
      </c>
      <c r="D8">
        <v>70000</v>
      </c>
      <c r="E8" t="s">
        <v>12</v>
      </c>
      <c r="F8" t="s">
        <v>13</v>
      </c>
      <c r="G8">
        <v>0</v>
      </c>
      <c r="H8">
        <v>0</v>
      </c>
      <c r="L8" s="3" t="s">
        <v>29</v>
      </c>
      <c r="M8">
        <v>400</v>
      </c>
    </row>
    <row r="9" spans="1:14">
      <c r="A9">
        <v>27</v>
      </c>
      <c r="B9" t="s">
        <v>39</v>
      </c>
      <c r="C9">
        <v>1</v>
      </c>
      <c r="D9">
        <v>38000</v>
      </c>
      <c r="E9" t="s">
        <v>12</v>
      </c>
      <c r="F9" t="s">
        <v>13</v>
      </c>
      <c r="G9">
        <v>0</v>
      </c>
      <c r="H9">
        <v>0</v>
      </c>
      <c r="L9" s="3" t="s">
        <v>83</v>
      </c>
      <c r="M9">
        <v>2000</v>
      </c>
      <c r="N9">
        <f>SUM(N3:N7)</f>
        <v>40480</v>
      </c>
    </row>
    <row r="10" spans="1:14">
      <c r="A10">
        <v>28</v>
      </c>
      <c r="B10" t="s">
        <v>40</v>
      </c>
      <c r="C10">
        <v>1</v>
      </c>
      <c r="D10">
        <v>12000</v>
      </c>
      <c r="E10" t="s">
        <v>12</v>
      </c>
      <c r="F10" t="s">
        <v>13</v>
      </c>
      <c r="G10">
        <v>0</v>
      </c>
      <c r="H10">
        <v>0</v>
      </c>
      <c r="L10" s="3" t="s">
        <v>67</v>
      </c>
    </row>
    <row r="11" spans="1:14">
      <c r="A11">
        <v>29</v>
      </c>
      <c r="B11" t="s">
        <v>29</v>
      </c>
      <c r="C11">
        <v>8</v>
      </c>
      <c r="D11">
        <v>400</v>
      </c>
      <c r="E11" t="s">
        <v>12</v>
      </c>
      <c r="F11" t="s">
        <v>13</v>
      </c>
      <c r="G11">
        <v>0</v>
      </c>
      <c r="H11">
        <v>0</v>
      </c>
      <c r="L11" s="3" t="s">
        <v>32</v>
      </c>
      <c r="M11">
        <v>139400</v>
      </c>
    </row>
    <row r="12" spans="1:14">
      <c r="A12">
        <v>30</v>
      </c>
      <c r="B12" t="s">
        <v>83</v>
      </c>
      <c r="C12">
        <v>8</v>
      </c>
      <c r="D12">
        <v>2000</v>
      </c>
      <c r="E12" t="s">
        <v>12</v>
      </c>
      <c r="F12" t="s">
        <v>13</v>
      </c>
      <c r="G12">
        <v>0</v>
      </c>
      <c r="H12">
        <v>0</v>
      </c>
    </row>
    <row r="13" spans="1:14">
      <c r="A13">
        <v>31</v>
      </c>
      <c r="B13" t="s">
        <v>86</v>
      </c>
      <c r="C13">
        <v>1</v>
      </c>
      <c r="D13">
        <v>6000</v>
      </c>
      <c r="E13" t="s">
        <v>12</v>
      </c>
      <c r="F13" t="s">
        <v>13</v>
      </c>
      <c r="G13">
        <v>0</v>
      </c>
      <c r="H13">
        <v>0.9</v>
      </c>
    </row>
    <row r="16" spans="1:14">
      <c r="N16" s="3"/>
    </row>
    <row r="17" spans="12:14">
      <c r="N17" s="3"/>
    </row>
    <row r="18" spans="12:14">
      <c r="N18" s="3"/>
    </row>
    <row r="19" spans="12:14">
      <c r="N19" s="3"/>
    </row>
    <row r="20" spans="12:14">
      <c r="N20" s="3"/>
    </row>
    <row r="21" spans="12:14">
      <c r="L21" s="3"/>
      <c r="N21" s="3"/>
    </row>
    <row r="22" spans="12:14">
      <c r="L22" s="3"/>
      <c r="N22" s="3"/>
    </row>
    <row r="23" spans="12:14">
      <c r="L23" s="3"/>
      <c r="N23" s="3"/>
    </row>
    <row r="24" spans="12:14">
      <c r="L24" s="3"/>
      <c r="N24" s="3"/>
    </row>
    <row r="25" spans="12:14">
      <c r="L25" s="3"/>
      <c r="N25" s="3"/>
    </row>
    <row r="26" spans="12:14">
      <c r="L26" s="3"/>
    </row>
    <row r="27" spans="12:14">
      <c r="L27" s="3"/>
    </row>
    <row r="28" spans="12:14">
      <c r="L28" s="3"/>
    </row>
    <row r="29" spans="12:14">
      <c r="L29" s="3"/>
    </row>
  </sheetData>
  <autoFilter ref="A1:H1" xr:uid="{91B88372-FD70-4A88-9C48-DBF8E6D97E61}">
    <sortState xmlns:xlrd2="http://schemas.microsoft.com/office/spreadsheetml/2017/richdata2" ref="A2:H17">
      <sortCondition ref="B1"/>
    </sortState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5F2AB-36C9-45F1-BA2B-9CD5F5EA8A3B}">
  <dimension ref="A1:O76"/>
  <sheetViews>
    <sheetView showRuler="0" topLeftCell="A33" zoomScaleNormal="100" workbookViewId="0">
      <selection activeCell="H16" sqref="H16"/>
    </sheetView>
  </sheetViews>
  <sheetFormatPr defaultRowHeight="15"/>
  <cols>
    <col min="2" max="2" width="27.28515625" customWidth="1"/>
    <col min="7" max="7" width="13.85546875" customWidth="1"/>
    <col min="10" max="10" width="28.85546875" bestFit="1" customWidth="1"/>
    <col min="11" max="11" width="14.42578125" bestFit="1" customWidth="1"/>
    <col min="13" max="13" width="20.28515625" bestFit="1" customWidth="1"/>
    <col min="14" max="15" width="15.140625" bestFit="1" customWidth="1"/>
    <col min="16" max="16" width="19.28515625" bestFit="1" customWidth="1"/>
    <col min="17" max="17" width="20.85546875" bestFit="1" customWidth="1"/>
  </cols>
  <sheetData>
    <row r="1" spans="1:15">
      <c r="A1" t="s">
        <v>17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8</v>
      </c>
      <c r="G1" s="1" t="s">
        <v>9</v>
      </c>
    </row>
    <row r="2" spans="1:15">
      <c r="A2" s="1">
        <v>20</v>
      </c>
      <c r="B2" t="s">
        <v>35</v>
      </c>
      <c r="C2">
        <v>1</v>
      </c>
      <c r="D2" s="28">
        <v>1</v>
      </c>
      <c r="E2" t="s">
        <v>12</v>
      </c>
      <c r="F2">
        <v>0</v>
      </c>
      <c r="G2">
        <v>0</v>
      </c>
      <c r="M2" t="s">
        <v>20</v>
      </c>
      <c r="N2" t="s">
        <v>21</v>
      </c>
    </row>
    <row r="3" spans="1:15">
      <c r="A3" s="1">
        <v>21</v>
      </c>
      <c r="B3" s="3" t="s">
        <v>83</v>
      </c>
      <c r="C3">
        <v>15</v>
      </c>
      <c r="D3" s="28">
        <v>1000</v>
      </c>
      <c r="E3" t="s">
        <v>12</v>
      </c>
      <c r="F3">
        <v>0</v>
      </c>
      <c r="G3">
        <v>0</v>
      </c>
      <c r="I3" s="23"/>
      <c r="M3" s="3" t="s">
        <v>84</v>
      </c>
      <c r="N3">
        <v>18000</v>
      </c>
      <c r="O3">
        <v>18000</v>
      </c>
    </row>
    <row r="4" spans="1:15" ht="16.149999999999999" customHeight="1">
      <c r="A4" s="1">
        <v>22</v>
      </c>
      <c r="B4" t="s">
        <v>83</v>
      </c>
      <c r="C4">
        <f>20</f>
        <v>20</v>
      </c>
      <c r="D4" s="28">
        <v>1000</v>
      </c>
      <c r="E4" t="s">
        <v>12</v>
      </c>
      <c r="F4">
        <v>0</v>
      </c>
      <c r="G4">
        <v>0</v>
      </c>
      <c r="I4" s="23"/>
      <c r="K4" s="4"/>
      <c r="M4" s="3" t="s">
        <v>29</v>
      </c>
      <c r="N4">
        <v>400</v>
      </c>
      <c r="O4">
        <v>400</v>
      </c>
    </row>
    <row r="5" spans="1:15" ht="16.149999999999999" customHeight="1">
      <c r="A5" s="1">
        <v>23</v>
      </c>
      <c r="B5" t="s">
        <v>84</v>
      </c>
      <c r="C5">
        <v>23</v>
      </c>
      <c r="D5" s="28">
        <v>1000</v>
      </c>
      <c r="E5" t="s">
        <v>12</v>
      </c>
      <c r="F5">
        <v>0</v>
      </c>
      <c r="G5">
        <v>0</v>
      </c>
      <c r="I5" s="23"/>
      <c r="J5" s="3"/>
      <c r="K5" s="4"/>
      <c r="M5" s="3" t="s">
        <v>38</v>
      </c>
      <c r="N5">
        <v>70000</v>
      </c>
      <c r="O5">
        <v>70000</v>
      </c>
    </row>
    <row r="6" spans="1:15" ht="16.149999999999999" customHeight="1">
      <c r="A6" s="1">
        <v>24</v>
      </c>
      <c r="B6" t="s">
        <v>84</v>
      </c>
      <c r="C6">
        <v>20</v>
      </c>
      <c r="D6" s="28">
        <v>1000</v>
      </c>
      <c r="E6" t="s">
        <v>12</v>
      </c>
      <c r="F6">
        <v>0</v>
      </c>
      <c r="G6">
        <v>0</v>
      </c>
      <c r="I6" s="23"/>
      <c r="J6" s="3"/>
      <c r="K6" s="4"/>
      <c r="M6" s="3" t="s">
        <v>39</v>
      </c>
      <c r="N6">
        <v>39000</v>
      </c>
      <c r="O6">
        <v>38000</v>
      </c>
    </row>
    <row r="7" spans="1:15" ht="16.149999999999999" customHeight="1">
      <c r="A7" s="1">
        <v>25</v>
      </c>
      <c r="B7" t="s">
        <v>84</v>
      </c>
      <c r="C7">
        <v>1</v>
      </c>
      <c r="D7" s="28">
        <v>1000</v>
      </c>
      <c r="E7" t="s">
        <v>12</v>
      </c>
      <c r="F7">
        <v>0</v>
      </c>
      <c r="G7">
        <v>0</v>
      </c>
      <c r="I7" s="23"/>
      <c r="J7" s="3"/>
      <c r="K7" s="4"/>
      <c r="M7" s="3" t="s">
        <v>40</v>
      </c>
      <c r="N7">
        <v>12000</v>
      </c>
      <c r="O7">
        <v>12000</v>
      </c>
    </row>
    <row r="8" spans="1:15" ht="16.149999999999999" customHeight="1">
      <c r="A8" s="1">
        <v>26</v>
      </c>
      <c r="B8" t="s">
        <v>84</v>
      </c>
      <c r="C8">
        <v>16</v>
      </c>
      <c r="D8" s="28">
        <v>1000</v>
      </c>
      <c r="E8" t="s">
        <v>12</v>
      </c>
      <c r="F8">
        <v>0</v>
      </c>
      <c r="G8">
        <v>0</v>
      </c>
      <c r="I8" s="23"/>
      <c r="K8" s="4"/>
      <c r="M8" s="3" t="s">
        <v>67</v>
      </c>
    </row>
    <row r="9" spans="1:15" ht="16.149999999999999" customHeight="1">
      <c r="A9" s="1">
        <v>27</v>
      </c>
      <c r="B9" t="s">
        <v>84</v>
      </c>
      <c r="C9">
        <v>13</v>
      </c>
      <c r="D9" s="28">
        <v>1000</v>
      </c>
      <c r="E9" t="s">
        <v>12</v>
      </c>
      <c r="F9">
        <v>0</v>
      </c>
      <c r="G9">
        <v>0</v>
      </c>
      <c r="I9" s="23"/>
      <c r="J9" t="s">
        <v>85</v>
      </c>
      <c r="K9" s="4"/>
      <c r="M9" s="3" t="s">
        <v>86</v>
      </c>
      <c r="N9">
        <v>10000</v>
      </c>
      <c r="O9">
        <v>10000</v>
      </c>
    </row>
    <row r="10" spans="1:15" ht="16.149999999999999" customHeight="1">
      <c r="A10" s="1">
        <v>28</v>
      </c>
      <c r="B10" t="s">
        <v>84</v>
      </c>
      <c r="C10">
        <v>10</v>
      </c>
      <c r="D10" s="28">
        <v>1000</v>
      </c>
      <c r="E10" t="s">
        <v>12</v>
      </c>
      <c r="F10">
        <v>0</v>
      </c>
      <c r="G10">
        <v>0</v>
      </c>
      <c r="I10" s="23"/>
      <c r="J10" t="s">
        <v>87</v>
      </c>
      <c r="K10" s="4"/>
      <c r="M10" s="3" t="s">
        <v>83</v>
      </c>
      <c r="N10">
        <v>2000</v>
      </c>
      <c r="O10">
        <v>2000</v>
      </c>
    </row>
    <row r="11" spans="1:15" ht="16.149999999999999" customHeight="1">
      <c r="A11" s="1">
        <v>29</v>
      </c>
      <c r="B11" s="3" t="s">
        <v>84</v>
      </c>
      <c r="C11">
        <v>7</v>
      </c>
      <c r="D11" s="28">
        <v>1000</v>
      </c>
      <c r="E11" t="s">
        <v>12</v>
      </c>
      <c r="F11">
        <v>0</v>
      </c>
      <c r="G11">
        <v>0</v>
      </c>
      <c r="I11" s="23"/>
      <c r="K11" s="4"/>
      <c r="M11" s="3" t="s">
        <v>35</v>
      </c>
      <c r="N11">
        <v>1</v>
      </c>
      <c r="O11">
        <v>1</v>
      </c>
    </row>
    <row r="12" spans="1:15">
      <c r="A12" s="1">
        <v>30</v>
      </c>
      <c r="B12" s="3" t="s">
        <v>84</v>
      </c>
      <c r="C12">
        <v>5</v>
      </c>
      <c r="D12" s="28">
        <v>1000</v>
      </c>
      <c r="E12" t="s">
        <v>12</v>
      </c>
      <c r="F12">
        <v>0</v>
      </c>
      <c r="G12">
        <v>0</v>
      </c>
      <c r="I12" s="23"/>
      <c r="K12" s="4"/>
      <c r="M12" s="3" t="s">
        <v>32</v>
      </c>
      <c r="N12">
        <v>151401</v>
      </c>
    </row>
    <row r="13" spans="1:15" ht="13.9" customHeight="1">
      <c r="A13" s="1">
        <v>31</v>
      </c>
      <c r="B13" s="3" t="s">
        <v>84</v>
      </c>
      <c r="C13">
        <v>3</v>
      </c>
      <c r="D13" s="28">
        <v>1000</v>
      </c>
      <c r="E13" t="s">
        <v>12</v>
      </c>
      <c r="F13">
        <v>0</v>
      </c>
      <c r="G13">
        <v>0</v>
      </c>
      <c r="I13" s="23"/>
      <c r="K13" s="4"/>
    </row>
    <row r="14" spans="1:15">
      <c r="A14" s="1">
        <v>32</v>
      </c>
      <c r="B14" t="s">
        <v>84</v>
      </c>
      <c r="C14">
        <f t="shared" ref="C14:C22" si="0">C4-1</f>
        <v>19</v>
      </c>
      <c r="D14" s="28">
        <v>1000</v>
      </c>
      <c r="E14" t="s">
        <v>12</v>
      </c>
      <c r="F14">
        <v>0</v>
      </c>
      <c r="G14">
        <v>0</v>
      </c>
      <c r="I14" s="23"/>
      <c r="L14" s="3"/>
    </row>
    <row r="15" spans="1:15">
      <c r="A15" s="1">
        <v>33</v>
      </c>
      <c r="B15" t="s">
        <v>84</v>
      </c>
      <c r="C15">
        <f t="shared" si="0"/>
        <v>22</v>
      </c>
      <c r="D15" s="28">
        <v>1000</v>
      </c>
      <c r="E15" t="s">
        <v>12</v>
      </c>
      <c r="F15">
        <v>0</v>
      </c>
      <c r="G15">
        <v>0</v>
      </c>
      <c r="I15" s="23"/>
      <c r="J15" t="s">
        <v>49</v>
      </c>
      <c r="K15">
        <v>12</v>
      </c>
      <c r="L15" s="3">
        <f>K15*1000</f>
        <v>12000</v>
      </c>
    </row>
    <row r="16" spans="1:15">
      <c r="A16" s="1">
        <v>34</v>
      </c>
      <c r="B16" t="s">
        <v>84</v>
      </c>
      <c r="C16">
        <f t="shared" si="0"/>
        <v>19</v>
      </c>
      <c r="D16" s="28">
        <v>1000</v>
      </c>
      <c r="E16" t="s">
        <v>12</v>
      </c>
      <c r="F16">
        <v>0</v>
      </c>
      <c r="G16">
        <v>0</v>
      </c>
      <c r="I16" s="23"/>
      <c r="J16" t="s">
        <v>50</v>
      </c>
      <c r="K16">
        <v>57</v>
      </c>
      <c r="L16" s="3">
        <f t="shared" ref="L16:L25" si="1">K16*1000</f>
        <v>57000</v>
      </c>
      <c r="M16">
        <f>L16-GETPIVOTDATA("Capacity",$M$2,"Technology","Wind Offshore")</f>
        <v>18000</v>
      </c>
    </row>
    <row r="17" spans="1:13">
      <c r="A17" s="1">
        <v>35</v>
      </c>
      <c r="B17" t="s">
        <v>84</v>
      </c>
      <c r="C17">
        <f t="shared" si="0"/>
        <v>0</v>
      </c>
      <c r="D17" s="28">
        <v>1000</v>
      </c>
      <c r="E17" t="s">
        <v>12</v>
      </c>
      <c r="F17">
        <v>0</v>
      </c>
      <c r="G17">
        <v>0</v>
      </c>
      <c r="I17" s="23"/>
      <c r="J17" t="s">
        <v>51</v>
      </c>
      <c r="K17">
        <v>107</v>
      </c>
      <c r="L17" s="3">
        <f t="shared" si="1"/>
        <v>107000</v>
      </c>
      <c r="M17">
        <f>L17-GETPIVOTDATA("Capacity",$M$2,"Technology","Solar PV large")</f>
        <v>37000</v>
      </c>
    </row>
    <row r="18" spans="1:13">
      <c r="A18" s="1">
        <v>36</v>
      </c>
      <c r="B18" t="s">
        <v>84</v>
      </c>
      <c r="C18">
        <f t="shared" si="0"/>
        <v>15</v>
      </c>
      <c r="D18" s="28">
        <v>1000</v>
      </c>
      <c r="E18" t="s">
        <v>12</v>
      </c>
      <c r="F18">
        <v>0</v>
      </c>
      <c r="G18">
        <v>0</v>
      </c>
      <c r="I18" s="23"/>
      <c r="J18" t="s">
        <v>88</v>
      </c>
      <c r="K18" t="s">
        <v>89</v>
      </c>
      <c r="L18" s="3" t="e">
        <f t="shared" si="1"/>
        <v>#VALUE!</v>
      </c>
    </row>
    <row r="19" spans="1:13">
      <c r="A19" s="1">
        <v>37</v>
      </c>
      <c r="B19" t="s">
        <v>84</v>
      </c>
      <c r="C19">
        <f t="shared" si="0"/>
        <v>12</v>
      </c>
      <c r="D19" s="28">
        <v>900</v>
      </c>
      <c r="E19" t="s">
        <v>12</v>
      </c>
      <c r="F19">
        <v>0</v>
      </c>
      <c r="G19">
        <v>0</v>
      </c>
      <c r="I19" s="23"/>
      <c r="J19" t="s">
        <v>29</v>
      </c>
      <c r="K19">
        <v>0.48</v>
      </c>
      <c r="L19" s="3">
        <f t="shared" si="1"/>
        <v>480</v>
      </c>
    </row>
    <row r="20" spans="1:13">
      <c r="A20" s="1">
        <v>38</v>
      </c>
      <c r="B20" t="s">
        <v>84</v>
      </c>
      <c r="C20">
        <f t="shared" si="0"/>
        <v>9</v>
      </c>
      <c r="D20" s="28">
        <v>500</v>
      </c>
      <c r="E20" t="s">
        <v>12</v>
      </c>
      <c r="F20">
        <v>0</v>
      </c>
      <c r="G20">
        <v>0</v>
      </c>
      <c r="J20" t="s">
        <v>53</v>
      </c>
      <c r="K20">
        <v>8.4499999999999993</v>
      </c>
      <c r="L20" s="3">
        <f t="shared" si="1"/>
        <v>8450</v>
      </c>
      <c r="M20">
        <f>L20-GETPIVOTDATA("Capacity",$M$2,"Technology","hydrogen OCGT")</f>
        <v>-9550</v>
      </c>
    </row>
    <row r="21" spans="1:13">
      <c r="A21" s="1">
        <v>39</v>
      </c>
      <c r="B21" t="s">
        <v>84</v>
      </c>
      <c r="C21">
        <f t="shared" si="0"/>
        <v>6</v>
      </c>
      <c r="D21" s="28">
        <v>500</v>
      </c>
      <c r="E21" t="s">
        <v>12</v>
      </c>
      <c r="F21">
        <v>0</v>
      </c>
      <c r="G21">
        <v>0</v>
      </c>
      <c r="J21" t="s">
        <v>54</v>
      </c>
      <c r="K21">
        <v>26</v>
      </c>
      <c r="L21" s="3">
        <f t="shared" si="1"/>
        <v>26000</v>
      </c>
      <c r="M21" t="e">
        <f>L21-GETPIVOTDATA("Capacity",$M$2,"Technology","Lithium_ion_battery")</f>
        <v>#REF!</v>
      </c>
    </row>
    <row r="22" spans="1:13">
      <c r="A22" s="1">
        <v>40</v>
      </c>
      <c r="B22" t="s">
        <v>84</v>
      </c>
      <c r="C22">
        <f t="shared" si="0"/>
        <v>4</v>
      </c>
      <c r="D22" s="28">
        <v>500</v>
      </c>
      <c r="E22" t="s">
        <v>12</v>
      </c>
      <c r="F22">
        <v>0</v>
      </c>
      <c r="G22">
        <v>0</v>
      </c>
      <c r="J22" t="s">
        <v>55</v>
      </c>
      <c r="K22">
        <v>4.38</v>
      </c>
      <c r="L22" s="3">
        <f t="shared" si="1"/>
        <v>4380</v>
      </c>
    </row>
    <row r="23" spans="1:13">
      <c r="A23" s="1">
        <v>41</v>
      </c>
      <c r="B23" t="s">
        <v>86</v>
      </c>
      <c r="C23">
        <v>24</v>
      </c>
      <c r="D23" s="28">
        <v>500</v>
      </c>
      <c r="E23" t="s">
        <v>12</v>
      </c>
      <c r="F23">
        <v>0</v>
      </c>
      <c r="G23">
        <v>0.9</v>
      </c>
      <c r="J23" t="s">
        <v>56</v>
      </c>
      <c r="K23">
        <v>1.58</v>
      </c>
      <c r="L23" s="3">
        <f t="shared" si="1"/>
        <v>1580</v>
      </c>
    </row>
    <row r="24" spans="1:13">
      <c r="A24" s="1">
        <v>42</v>
      </c>
      <c r="B24" t="s">
        <v>86</v>
      </c>
      <c r="C24">
        <v>23</v>
      </c>
      <c r="D24" s="28">
        <v>500</v>
      </c>
      <c r="E24" t="s">
        <v>12</v>
      </c>
      <c r="F24">
        <v>0</v>
      </c>
      <c r="G24">
        <v>0.9</v>
      </c>
      <c r="J24" t="s">
        <v>57</v>
      </c>
      <c r="K24">
        <v>0.04</v>
      </c>
      <c r="L24" s="3">
        <f t="shared" si="1"/>
        <v>40</v>
      </c>
    </row>
    <row r="25" spans="1:13">
      <c r="A25" s="1">
        <v>43</v>
      </c>
      <c r="B25" t="s">
        <v>86</v>
      </c>
      <c r="C25">
        <v>21</v>
      </c>
      <c r="D25" s="28">
        <v>500</v>
      </c>
      <c r="E25" t="s">
        <v>12</v>
      </c>
      <c r="F25">
        <v>0</v>
      </c>
      <c r="G25">
        <v>0.9</v>
      </c>
      <c r="J25" t="s">
        <v>58</v>
      </c>
      <c r="K25">
        <v>0.45</v>
      </c>
      <c r="L25" s="3">
        <f t="shared" si="1"/>
        <v>450</v>
      </c>
    </row>
    <row r="26" spans="1:13">
      <c r="A26" s="1">
        <v>44</v>
      </c>
      <c r="B26" t="s">
        <v>86</v>
      </c>
      <c r="C26">
        <f t="shared" ref="C26:C31" si="2">C25-3</f>
        <v>18</v>
      </c>
      <c r="D26" s="28">
        <v>500</v>
      </c>
      <c r="E26" t="s">
        <v>12</v>
      </c>
      <c r="F26">
        <v>0</v>
      </c>
      <c r="G26">
        <v>0.9</v>
      </c>
    </row>
    <row r="27" spans="1:13">
      <c r="A27" s="1">
        <v>45</v>
      </c>
      <c r="B27" t="s">
        <v>86</v>
      </c>
      <c r="C27">
        <f t="shared" si="2"/>
        <v>15</v>
      </c>
      <c r="D27" s="28">
        <v>500</v>
      </c>
      <c r="E27" t="s">
        <v>12</v>
      </c>
      <c r="F27">
        <v>0</v>
      </c>
      <c r="G27">
        <v>0.9</v>
      </c>
      <c r="I27" s="23"/>
    </row>
    <row r="28" spans="1:13">
      <c r="A28" s="1">
        <v>46</v>
      </c>
      <c r="B28" t="s">
        <v>86</v>
      </c>
      <c r="C28">
        <f t="shared" si="2"/>
        <v>12</v>
      </c>
      <c r="D28" s="28">
        <v>500</v>
      </c>
      <c r="E28" t="s">
        <v>12</v>
      </c>
      <c r="F28">
        <v>0</v>
      </c>
      <c r="G28">
        <v>0.9</v>
      </c>
    </row>
    <row r="29" spans="1:13">
      <c r="A29" s="1">
        <v>47</v>
      </c>
      <c r="B29" t="s">
        <v>86</v>
      </c>
      <c r="C29">
        <f t="shared" si="2"/>
        <v>9</v>
      </c>
      <c r="D29" s="28">
        <v>500</v>
      </c>
      <c r="E29" t="s">
        <v>12</v>
      </c>
      <c r="F29">
        <v>0</v>
      </c>
      <c r="G29">
        <v>0.9</v>
      </c>
      <c r="I29" s="23"/>
    </row>
    <row r="30" spans="1:13">
      <c r="A30" s="1">
        <v>48</v>
      </c>
      <c r="B30" t="s">
        <v>86</v>
      </c>
      <c r="C30">
        <f t="shared" si="2"/>
        <v>6</v>
      </c>
      <c r="D30" s="28">
        <v>500</v>
      </c>
      <c r="E30" t="s">
        <v>12</v>
      </c>
      <c r="F30">
        <v>0</v>
      </c>
      <c r="G30">
        <v>0.9</v>
      </c>
      <c r="I30" s="23"/>
    </row>
    <row r="31" spans="1:13">
      <c r="A31" s="1">
        <v>49</v>
      </c>
      <c r="B31" t="s">
        <v>86</v>
      </c>
      <c r="C31">
        <f t="shared" si="2"/>
        <v>3</v>
      </c>
      <c r="D31" s="28">
        <v>500</v>
      </c>
      <c r="E31" t="s">
        <v>12</v>
      </c>
      <c r="F31">
        <v>0</v>
      </c>
      <c r="G31">
        <v>0.9</v>
      </c>
      <c r="I31" s="23"/>
    </row>
    <row r="32" spans="1:13">
      <c r="A32" s="1">
        <v>50</v>
      </c>
      <c r="B32" t="s">
        <v>86</v>
      </c>
      <c r="C32">
        <v>1</v>
      </c>
      <c r="D32" s="28">
        <v>500</v>
      </c>
      <c r="E32" t="s">
        <v>12</v>
      </c>
      <c r="F32">
        <v>0</v>
      </c>
      <c r="G32">
        <v>0.9</v>
      </c>
      <c r="I32" s="23"/>
    </row>
    <row r="33" spans="1:9">
      <c r="A33" s="1">
        <v>51</v>
      </c>
      <c r="B33" s="3" t="s">
        <v>29</v>
      </c>
      <c r="C33">
        <v>15</v>
      </c>
      <c r="D33" s="4">
        <v>400</v>
      </c>
      <c r="E33" t="s">
        <v>12</v>
      </c>
      <c r="F33">
        <v>0</v>
      </c>
      <c r="G33">
        <v>0</v>
      </c>
      <c r="I33" s="23"/>
    </row>
    <row r="34" spans="1:9">
      <c r="A34" s="1">
        <v>52</v>
      </c>
      <c r="B34" t="s">
        <v>38</v>
      </c>
      <c r="C34">
        <v>1</v>
      </c>
      <c r="D34" s="4">
        <v>4000</v>
      </c>
      <c r="E34" t="s">
        <v>12</v>
      </c>
      <c r="F34">
        <v>0</v>
      </c>
      <c r="G34">
        <v>0</v>
      </c>
      <c r="I34" s="23"/>
    </row>
    <row r="35" spans="1:9">
      <c r="A35" s="1">
        <v>53</v>
      </c>
      <c r="B35" s="3" t="s">
        <v>38</v>
      </c>
      <c r="C35">
        <v>2</v>
      </c>
      <c r="D35" s="4">
        <v>4000</v>
      </c>
      <c r="E35" t="s">
        <v>12</v>
      </c>
      <c r="F35">
        <v>0</v>
      </c>
      <c r="G35">
        <v>0</v>
      </c>
      <c r="I35" s="23"/>
    </row>
    <row r="36" spans="1:9">
      <c r="A36" s="1">
        <v>54</v>
      </c>
      <c r="B36" s="3" t="s">
        <v>38</v>
      </c>
      <c r="C36">
        <v>3</v>
      </c>
      <c r="D36" s="4">
        <v>4000</v>
      </c>
      <c r="E36" t="s">
        <v>12</v>
      </c>
      <c r="F36">
        <v>0</v>
      </c>
      <c r="G36">
        <v>0</v>
      </c>
    </row>
    <row r="37" spans="1:9">
      <c r="A37" s="1">
        <v>55</v>
      </c>
      <c r="B37" s="3" t="s">
        <v>38</v>
      </c>
      <c r="C37">
        <v>4</v>
      </c>
      <c r="D37" s="4">
        <v>4000</v>
      </c>
      <c r="E37" t="s">
        <v>12</v>
      </c>
      <c r="F37">
        <v>0</v>
      </c>
      <c r="G37">
        <v>0</v>
      </c>
    </row>
    <row r="38" spans="1:9">
      <c r="A38" s="1">
        <v>56</v>
      </c>
      <c r="B38" s="3" t="s">
        <v>38</v>
      </c>
      <c r="C38">
        <v>5</v>
      </c>
      <c r="D38" s="4">
        <v>4000</v>
      </c>
      <c r="E38" t="s">
        <v>12</v>
      </c>
      <c r="F38">
        <v>0</v>
      </c>
      <c r="G38">
        <v>0</v>
      </c>
    </row>
    <row r="39" spans="1:9">
      <c r="A39" s="1">
        <v>57</v>
      </c>
      <c r="B39" t="s">
        <v>38</v>
      </c>
      <c r="C39">
        <v>24</v>
      </c>
      <c r="D39" s="4">
        <v>4000</v>
      </c>
      <c r="E39" t="s">
        <v>12</v>
      </c>
      <c r="F39">
        <v>0</v>
      </c>
      <c r="G39">
        <v>0</v>
      </c>
    </row>
    <row r="40" spans="1:9">
      <c r="A40" s="1">
        <v>58</v>
      </c>
      <c r="B40" s="3" t="s">
        <v>38</v>
      </c>
      <c r="C40">
        <v>6</v>
      </c>
      <c r="D40" s="4">
        <v>4000</v>
      </c>
      <c r="E40" t="s">
        <v>12</v>
      </c>
      <c r="F40">
        <v>0</v>
      </c>
      <c r="G40">
        <v>0</v>
      </c>
    </row>
    <row r="41" spans="1:9">
      <c r="A41" s="1">
        <v>59</v>
      </c>
      <c r="B41" s="3" t="s">
        <v>38</v>
      </c>
      <c r="C41">
        <v>7</v>
      </c>
      <c r="D41">
        <v>3000</v>
      </c>
      <c r="E41" t="s">
        <v>12</v>
      </c>
      <c r="F41">
        <v>0</v>
      </c>
      <c r="G41">
        <v>0</v>
      </c>
    </row>
    <row r="42" spans="1:9">
      <c r="A42" s="1">
        <v>60</v>
      </c>
      <c r="B42" s="3" t="s">
        <v>38</v>
      </c>
      <c r="C42">
        <v>8</v>
      </c>
      <c r="D42">
        <v>3000</v>
      </c>
      <c r="E42" t="s">
        <v>12</v>
      </c>
      <c r="F42">
        <v>0</v>
      </c>
      <c r="G42">
        <v>0</v>
      </c>
    </row>
    <row r="43" spans="1:9">
      <c r="A43" s="1">
        <v>61</v>
      </c>
      <c r="B43" s="3" t="s">
        <v>38</v>
      </c>
      <c r="C43">
        <v>20</v>
      </c>
      <c r="D43">
        <v>3000</v>
      </c>
      <c r="E43" t="s">
        <v>12</v>
      </c>
      <c r="F43">
        <v>0</v>
      </c>
      <c r="G43">
        <v>0</v>
      </c>
    </row>
    <row r="44" spans="1:9">
      <c r="A44" s="1">
        <v>62</v>
      </c>
      <c r="B44" s="3" t="s">
        <v>38</v>
      </c>
      <c r="C44">
        <v>9</v>
      </c>
      <c r="D44">
        <v>3000</v>
      </c>
      <c r="E44" t="s">
        <v>12</v>
      </c>
      <c r="F44">
        <v>0</v>
      </c>
      <c r="G44">
        <v>0</v>
      </c>
    </row>
    <row r="45" spans="1:9">
      <c r="A45" s="1">
        <v>63</v>
      </c>
      <c r="B45" s="3" t="s">
        <v>38</v>
      </c>
      <c r="C45">
        <v>10</v>
      </c>
      <c r="D45">
        <v>3000</v>
      </c>
      <c r="E45" t="s">
        <v>12</v>
      </c>
      <c r="F45">
        <v>0</v>
      </c>
      <c r="G45">
        <v>0</v>
      </c>
    </row>
    <row r="46" spans="1:9">
      <c r="A46" s="1">
        <v>64</v>
      </c>
      <c r="B46" s="3" t="s">
        <v>38</v>
      </c>
      <c r="C46">
        <v>11</v>
      </c>
      <c r="D46">
        <v>3000</v>
      </c>
      <c r="E46" t="s">
        <v>12</v>
      </c>
      <c r="F46">
        <v>0</v>
      </c>
      <c r="G46">
        <v>0</v>
      </c>
    </row>
    <row r="47" spans="1:9">
      <c r="A47" s="1">
        <v>65</v>
      </c>
      <c r="B47" s="3" t="s">
        <v>38</v>
      </c>
      <c r="C47">
        <v>12</v>
      </c>
      <c r="D47">
        <v>3000</v>
      </c>
      <c r="E47" t="s">
        <v>12</v>
      </c>
      <c r="F47">
        <v>0</v>
      </c>
      <c r="G47">
        <v>0</v>
      </c>
    </row>
    <row r="48" spans="1:9">
      <c r="A48" s="1">
        <v>66</v>
      </c>
      <c r="B48" s="3" t="s">
        <v>38</v>
      </c>
      <c r="C48">
        <v>13</v>
      </c>
      <c r="D48">
        <v>3000</v>
      </c>
      <c r="E48" t="s">
        <v>12</v>
      </c>
      <c r="F48">
        <v>0</v>
      </c>
      <c r="G48">
        <v>0</v>
      </c>
    </row>
    <row r="49" spans="1:7">
      <c r="A49" s="1">
        <v>67</v>
      </c>
      <c r="B49" s="3" t="s">
        <v>38</v>
      </c>
      <c r="C49">
        <v>14</v>
      </c>
      <c r="D49">
        <v>3000</v>
      </c>
      <c r="E49" t="s">
        <v>12</v>
      </c>
      <c r="F49">
        <v>0</v>
      </c>
      <c r="G49">
        <v>0</v>
      </c>
    </row>
    <row r="50" spans="1:7">
      <c r="A50" s="1">
        <v>68</v>
      </c>
      <c r="B50" s="3" t="s">
        <v>38</v>
      </c>
      <c r="C50">
        <v>15</v>
      </c>
      <c r="D50">
        <v>3000</v>
      </c>
      <c r="E50" t="s">
        <v>12</v>
      </c>
      <c r="F50">
        <v>0</v>
      </c>
      <c r="G50">
        <v>0</v>
      </c>
    </row>
    <row r="51" spans="1:7">
      <c r="A51" s="1">
        <v>69</v>
      </c>
      <c r="B51" s="3" t="s">
        <v>38</v>
      </c>
      <c r="C51">
        <v>16</v>
      </c>
      <c r="D51">
        <v>3000</v>
      </c>
      <c r="E51" t="s">
        <v>12</v>
      </c>
      <c r="F51">
        <v>0</v>
      </c>
      <c r="G51">
        <v>0</v>
      </c>
    </row>
    <row r="52" spans="1:7">
      <c r="A52" s="1">
        <v>70</v>
      </c>
      <c r="B52" s="3" t="s">
        <v>38</v>
      </c>
      <c r="C52">
        <v>17</v>
      </c>
      <c r="D52">
        <v>3000</v>
      </c>
      <c r="E52" t="s">
        <v>12</v>
      </c>
      <c r="F52">
        <v>0</v>
      </c>
      <c r="G52">
        <v>0</v>
      </c>
    </row>
    <row r="53" spans="1:7">
      <c r="A53" s="1">
        <v>71</v>
      </c>
      <c r="B53" s="3" t="s">
        <v>38</v>
      </c>
      <c r="C53">
        <v>18</v>
      </c>
      <c r="D53">
        <v>3000</v>
      </c>
      <c r="E53" t="s">
        <v>12</v>
      </c>
      <c r="F53">
        <v>0</v>
      </c>
      <c r="G53">
        <v>0</v>
      </c>
    </row>
    <row r="54" spans="1:7">
      <c r="A54" s="1">
        <v>72</v>
      </c>
      <c r="B54" s="3" t="s">
        <v>38</v>
      </c>
      <c r="C54">
        <v>19</v>
      </c>
      <c r="D54">
        <v>3000</v>
      </c>
      <c r="E54" t="s">
        <v>12</v>
      </c>
      <c r="F54">
        <v>0</v>
      </c>
      <c r="G54">
        <v>0</v>
      </c>
    </row>
    <row r="55" spans="1:7" ht="12" customHeight="1">
      <c r="A55" s="1">
        <v>73</v>
      </c>
      <c r="B55" s="3" t="s">
        <v>38</v>
      </c>
      <c r="C55">
        <v>21</v>
      </c>
      <c r="D55">
        <v>3000</v>
      </c>
      <c r="E55" t="s">
        <v>12</v>
      </c>
      <c r="F55">
        <v>0</v>
      </c>
      <c r="G55">
        <v>0</v>
      </c>
    </row>
    <row r="56" spans="1:7">
      <c r="A56" s="1">
        <v>74</v>
      </c>
      <c r="B56" s="3" t="s">
        <v>38</v>
      </c>
      <c r="C56">
        <v>22</v>
      </c>
      <c r="D56">
        <v>3000</v>
      </c>
      <c r="E56" t="s">
        <v>12</v>
      </c>
      <c r="F56">
        <v>0</v>
      </c>
      <c r="G56">
        <v>0</v>
      </c>
    </row>
    <row r="57" spans="1:7">
      <c r="A57" s="1">
        <v>75</v>
      </c>
      <c r="B57" s="3" t="s">
        <v>38</v>
      </c>
      <c r="C57">
        <v>23</v>
      </c>
      <c r="D57">
        <v>3000</v>
      </c>
      <c r="E57" t="s">
        <v>12</v>
      </c>
      <c r="F57">
        <v>0</v>
      </c>
      <c r="G57">
        <v>0</v>
      </c>
    </row>
    <row r="58" spans="1:7">
      <c r="A58" s="1">
        <v>76</v>
      </c>
      <c r="B58" t="s">
        <v>39</v>
      </c>
      <c r="C58">
        <v>29</v>
      </c>
      <c r="D58">
        <v>3000</v>
      </c>
      <c r="E58" t="s">
        <v>12</v>
      </c>
      <c r="F58">
        <v>0</v>
      </c>
      <c r="G58">
        <v>0</v>
      </c>
    </row>
    <row r="59" spans="1:7">
      <c r="A59" s="1">
        <v>77</v>
      </c>
      <c r="B59" t="s">
        <v>39</v>
      </c>
      <c r="C59">
        <v>27</v>
      </c>
      <c r="D59">
        <v>3000</v>
      </c>
      <c r="E59" t="s">
        <v>12</v>
      </c>
      <c r="F59">
        <v>0</v>
      </c>
      <c r="G59">
        <v>0</v>
      </c>
    </row>
    <row r="60" spans="1:7">
      <c r="A60" s="1">
        <v>78</v>
      </c>
      <c r="B60" t="s">
        <v>39</v>
      </c>
      <c r="C60">
        <v>25</v>
      </c>
      <c r="D60">
        <v>3000</v>
      </c>
      <c r="E60" t="s">
        <v>12</v>
      </c>
      <c r="F60">
        <v>0</v>
      </c>
      <c r="G60">
        <v>0</v>
      </c>
    </row>
    <row r="61" spans="1:7">
      <c r="A61" s="1">
        <v>79</v>
      </c>
      <c r="B61" t="s">
        <v>39</v>
      </c>
      <c r="C61">
        <v>23</v>
      </c>
      <c r="D61">
        <v>3000</v>
      </c>
      <c r="E61" t="s">
        <v>12</v>
      </c>
      <c r="F61">
        <v>0</v>
      </c>
      <c r="G61">
        <v>0</v>
      </c>
    </row>
    <row r="62" spans="1:7">
      <c r="A62" s="1">
        <v>80</v>
      </c>
      <c r="B62" t="s">
        <v>39</v>
      </c>
      <c r="C62">
        <v>21</v>
      </c>
      <c r="D62">
        <v>3000</v>
      </c>
      <c r="E62" t="s">
        <v>12</v>
      </c>
      <c r="F62">
        <v>0</v>
      </c>
      <c r="G62">
        <v>0</v>
      </c>
    </row>
    <row r="63" spans="1:7">
      <c r="A63" s="1">
        <v>81</v>
      </c>
      <c r="B63" t="s">
        <v>39</v>
      </c>
      <c r="C63">
        <v>19</v>
      </c>
      <c r="D63">
        <v>3000</v>
      </c>
      <c r="E63" t="s">
        <v>12</v>
      </c>
      <c r="F63">
        <v>0</v>
      </c>
      <c r="G63">
        <v>0</v>
      </c>
    </row>
    <row r="64" spans="1:7">
      <c r="A64" s="1">
        <v>82</v>
      </c>
      <c r="B64" t="s">
        <v>39</v>
      </c>
      <c r="C64">
        <v>17</v>
      </c>
      <c r="D64">
        <v>3000</v>
      </c>
      <c r="E64" t="s">
        <v>12</v>
      </c>
      <c r="F64">
        <v>0</v>
      </c>
      <c r="G64">
        <v>0</v>
      </c>
    </row>
    <row r="65" spans="1:7">
      <c r="A65" s="1">
        <v>83</v>
      </c>
      <c r="B65" t="s">
        <v>39</v>
      </c>
      <c r="C65">
        <v>14</v>
      </c>
      <c r="D65">
        <v>3000</v>
      </c>
      <c r="E65" t="s">
        <v>12</v>
      </c>
      <c r="F65">
        <v>0</v>
      </c>
      <c r="G65">
        <v>0</v>
      </c>
    </row>
    <row r="66" spans="1:7">
      <c r="A66" s="1">
        <v>84</v>
      </c>
      <c r="B66" t="s">
        <v>39</v>
      </c>
      <c r="C66">
        <v>12</v>
      </c>
      <c r="D66">
        <v>3000</v>
      </c>
      <c r="E66" t="s">
        <v>12</v>
      </c>
      <c r="F66">
        <v>0</v>
      </c>
      <c r="G66">
        <v>0</v>
      </c>
    </row>
    <row r="67" spans="1:7">
      <c r="A67" s="1">
        <v>85</v>
      </c>
      <c r="B67" t="s">
        <v>39</v>
      </c>
      <c r="C67">
        <v>10</v>
      </c>
      <c r="D67">
        <v>2000</v>
      </c>
      <c r="E67" t="s">
        <v>12</v>
      </c>
      <c r="F67">
        <v>0</v>
      </c>
      <c r="G67">
        <v>0</v>
      </c>
    </row>
    <row r="68" spans="1:7">
      <c r="A68" s="1">
        <v>86</v>
      </c>
      <c r="B68" t="s">
        <v>39</v>
      </c>
      <c r="C68">
        <v>6</v>
      </c>
      <c r="D68">
        <v>2000</v>
      </c>
      <c r="E68" t="s">
        <v>12</v>
      </c>
      <c r="F68">
        <v>0</v>
      </c>
      <c r="G68">
        <v>0</v>
      </c>
    </row>
    <row r="69" spans="1:7">
      <c r="A69" s="1">
        <v>87</v>
      </c>
      <c r="B69" t="s">
        <v>39</v>
      </c>
      <c r="C69">
        <v>4</v>
      </c>
      <c r="D69">
        <v>2000</v>
      </c>
      <c r="E69" t="s">
        <v>12</v>
      </c>
      <c r="F69">
        <v>0</v>
      </c>
      <c r="G69">
        <v>0</v>
      </c>
    </row>
    <row r="70" spans="1:7">
      <c r="A70" s="1">
        <v>88</v>
      </c>
      <c r="B70" t="s">
        <v>39</v>
      </c>
      <c r="C70">
        <v>2</v>
      </c>
      <c r="D70">
        <v>2000</v>
      </c>
      <c r="E70" t="s">
        <v>12</v>
      </c>
      <c r="F70">
        <v>0</v>
      </c>
      <c r="G70">
        <v>0</v>
      </c>
    </row>
    <row r="71" spans="1:7">
      <c r="A71" s="1">
        <v>89</v>
      </c>
      <c r="B71" s="3" t="s">
        <v>40</v>
      </c>
      <c r="C71">
        <v>27</v>
      </c>
      <c r="D71" s="4">
        <v>2400</v>
      </c>
      <c r="E71" t="s">
        <v>12</v>
      </c>
      <c r="F71">
        <v>0</v>
      </c>
      <c r="G71">
        <v>0</v>
      </c>
    </row>
    <row r="72" spans="1:7">
      <c r="A72" s="1">
        <v>90</v>
      </c>
      <c r="B72" s="3" t="s">
        <v>40</v>
      </c>
      <c r="C72">
        <v>22</v>
      </c>
      <c r="D72" s="4">
        <v>2400</v>
      </c>
      <c r="E72" t="s">
        <v>12</v>
      </c>
      <c r="F72">
        <v>0</v>
      </c>
      <c r="G72">
        <v>0</v>
      </c>
    </row>
    <row r="73" spans="1:7">
      <c r="A73" s="1">
        <v>91</v>
      </c>
      <c r="B73" s="3" t="s">
        <v>40</v>
      </c>
      <c r="C73">
        <v>16</v>
      </c>
      <c r="D73" s="4">
        <v>2400</v>
      </c>
      <c r="E73" t="s">
        <v>12</v>
      </c>
      <c r="F73">
        <v>0</v>
      </c>
      <c r="G73">
        <v>0</v>
      </c>
    </row>
    <row r="74" spans="1:7">
      <c r="A74" s="1">
        <v>92</v>
      </c>
      <c r="B74" s="3" t="s">
        <v>40</v>
      </c>
      <c r="C74">
        <v>7</v>
      </c>
      <c r="D74" s="4">
        <v>2400</v>
      </c>
      <c r="E74" t="s">
        <v>12</v>
      </c>
      <c r="F74">
        <v>0</v>
      </c>
      <c r="G74">
        <v>0</v>
      </c>
    </row>
    <row r="75" spans="1:7">
      <c r="A75" s="1">
        <v>93</v>
      </c>
      <c r="B75" s="3" t="s">
        <v>40</v>
      </c>
      <c r="C75">
        <v>2</v>
      </c>
      <c r="D75">
        <v>2400</v>
      </c>
      <c r="E75" t="s">
        <v>12</v>
      </c>
      <c r="F75">
        <v>0</v>
      </c>
      <c r="G75">
        <v>0</v>
      </c>
    </row>
    <row r="76" spans="1:7">
      <c r="D76" s="28"/>
    </row>
  </sheetData>
  <autoFilter ref="A1:G75" xr:uid="{38262F14-A446-4EBC-A910-A89BBAE801AB}">
    <sortState xmlns:xlrd2="http://schemas.microsoft.com/office/spreadsheetml/2017/richdata2" ref="A2:G75">
      <sortCondition ref="B1:B75"/>
    </sortState>
  </autoFilter>
  <pageMargins left="0.7" right="0.7" top="0.75" bottom="0.75" header="0.3" footer="0.3"/>
  <pageSetup orientation="portrait" horizontalDpi="1200" verticalDpi="12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4DEAE-C8BB-44BC-945C-749D779BED7E}">
  <dimension ref="A1:N61"/>
  <sheetViews>
    <sheetView showRuler="0" topLeftCell="A27" zoomScale="85" zoomScaleNormal="85" workbookViewId="0">
      <selection activeCell="L85" sqref="L85"/>
    </sheetView>
  </sheetViews>
  <sheetFormatPr defaultRowHeight="15"/>
  <cols>
    <col min="2" max="2" width="27.28515625" customWidth="1"/>
    <col min="7" max="7" width="13.85546875" customWidth="1"/>
    <col min="10" max="10" width="28.85546875" bestFit="1" customWidth="1"/>
    <col min="11" max="11" width="14.42578125" bestFit="1" customWidth="1"/>
    <col min="13" max="13" width="20.28515625" bestFit="1" customWidth="1"/>
    <col min="14" max="15" width="15.140625" bestFit="1" customWidth="1"/>
    <col min="16" max="16" width="19.28515625" bestFit="1" customWidth="1"/>
    <col min="17" max="17" width="20.85546875" bestFit="1" customWidth="1"/>
  </cols>
  <sheetData>
    <row r="1" spans="1:14">
      <c r="A1" t="s">
        <v>17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8</v>
      </c>
      <c r="G1" s="1" t="s">
        <v>9</v>
      </c>
    </row>
    <row r="2" spans="1:14">
      <c r="A2" s="1">
        <v>23</v>
      </c>
      <c r="B2" s="3" t="s">
        <v>40</v>
      </c>
      <c r="C2">
        <v>20</v>
      </c>
      <c r="D2" s="4">
        <v>2400</v>
      </c>
      <c r="E2" t="s">
        <v>12</v>
      </c>
      <c r="F2">
        <v>0</v>
      </c>
      <c r="G2">
        <v>0</v>
      </c>
      <c r="M2" s="2" t="s">
        <v>20</v>
      </c>
      <c r="N2" t="s">
        <v>21</v>
      </c>
    </row>
    <row r="3" spans="1:14">
      <c r="A3" s="1">
        <v>24</v>
      </c>
      <c r="B3" s="3" t="s">
        <v>40</v>
      </c>
      <c r="C3">
        <v>16</v>
      </c>
      <c r="D3" s="4">
        <v>2400</v>
      </c>
      <c r="E3" t="s">
        <v>12</v>
      </c>
      <c r="F3">
        <v>0</v>
      </c>
      <c r="G3">
        <v>0</v>
      </c>
      <c r="I3" s="23"/>
      <c r="M3" s="3" t="s">
        <v>84</v>
      </c>
      <c r="N3">
        <v>18000</v>
      </c>
    </row>
    <row r="4" spans="1:14" ht="16.149999999999999" customHeight="1">
      <c r="A4" s="1">
        <v>25</v>
      </c>
      <c r="B4" s="3" t="s">
        <v>40</v>
      </c>
      <c r="C4">
        <v>12</v>
      </c>
      <c r="D4" s="4">
        <v>2400</v>
      </c>
      <c r="E4" t="s">
        <v>12</v>
      </c>
      <c r="F4">
        <v>0</v>
      </c>
      <c r="G4">
        <v>0</v>
      </c>
      <c r="I4" s="23"/>
      <c r="K4" s="4"/>
      <c r="M4" s="3" t="s">
        <v>29</v>
      </c>
      <c r="N4">
        <v>400</v>
      </c>
    </row>
    <row r="5" spans="1:14" ht="16.149999999999999" customHeight="1">
      <c r="A5" s="1">
        <v>26</v>
      </c>
      <c r="B5" s="3" t="s">
        <v>40</v>
      </c>
      <c r="C5">
        <v>7</v>
      </c>
      <c r="D5" s="4">
        <v>2400</v>
      </c>
      <c r="E5" t="s">
        <v>12</v>
      </c>
      <c r="F5">
        <v>0</v>
      </c>
      <c r="G5">
        <v>0</v>
      </c>
      <c r="I5" s="23"/>
      <c r="J5" s="3"/>
      <c r="K5" s="4"/>
      <c r="M5" s="3" t="s">
        <v>38</v>
      </c>
      <c r="N5">
        <v>70000</v>
      </c>
    </row>
    <row r="6" spans="1:14" ht="16.149999999999999" customHeight="1">
      <c r="A6" s="1">
        <v>27</v>
      </c>
      <c r="B6" s="3" t="s">
        <v>40</v>
      </c>
      <c r="C6">
        <v>2</v>
      </c>
      <c r="D6">
        <v>2400</v>
      </c>
      <c r="E6" t="s">
        <v>12</v>
      </c>
      <c r="F6">
        <v>0</v>
      </c>
      <c r="G6">
        <v>0</v>
      </c>
      <c r="I6" s="23"/>
      <c r="J6" s="3"/>
      <c r="K6" s="4"/>
      <c r="M6" s="3" t="s">
        <v>39</v>
      </c>
      <c r="N6">
        <v>39000</v>
      </c>
    </row>
    <row r="7" spans="1:14" ht="16.149999999999999" customHeight="1">
      <c r="A7" s="1">
        <v>28</v>
      </c>
      <c r="B7" s="3" t="s">
        <v>38</v>
      </c>
      <c r="C7">
        <v>22</v>
      </c>
      <c r="D7">
        <v>1000</v>
      </c>
      <c r="E7" t="s">
        <v>12</v>
      </c>
      <c r="F7">
        <v>0</v>
      </c>
      <c r="G7">
        <v>0</v>
      </c>
      <c r="I7" s="23"/>
      <c r="J7" s="3"/>
      <c r="K7" s="4"/>
      <c r="M7" s="3" t="s">
        <v>40</v>
      </c>
      <c r="N7">
        <v>12000</v>
      </c>
    </row>
    <row r="8" spans="1:14" ht="16.149999999999999" customHeight="1">
      <c r="A8" s="1">
        <v>29</v>
      </c>
      <c r="B8" s="3" t="s">
        <v>38</v>
      </c>
      <c r="C8">
        <v>23</v>
      </c>
      <c r="D8">
        <v>1000</v>
      </c>
      <c r="E8" t="s">
        <v>12</v>
      </c>
      <c r="F8">
        <v>0</v>
      </c>
      <c r="G8">
        <v>0</v>
      </c>
      <c r="I8" s="23"/>
      <c r="K8" s="4"/>
      <c r="M8" s="3" t="s">
        <v>67</v>
      </c>
    </row>
    <row r="9" spans="1:14" ht="16.149999999999999" customHeight="1">
      <c r="A9" s="1">
        <v>30</v>
      </c>
      <c r="B9" s="3" t="s">
        <v>38</v>
      </c>
      <c r="C9">
        <v>21</v>
      </c>
      <c r="D9">
        <v>1000</v>
      </c>
      <c r="E9" t="s">
        <v>12</v>
      </c>
      <c r="F9">
        <v>0</v>
      </c>
      <c r="G9">
        <v>0</v>
      </c>
      <c r="I9" s="23"/>
      <c r="J9" t="s">
        <v>85</v>
      </c>
      <c r="K9" s="4"/>
      <c r="M9" s="3" t="s">
        <v>86</v>
      </c>
      <c r="N9">
        <v>10000</v>
      </c>
    </row>
    <row r="10" spans="1:14" ht="16.149999999999999" customHeight="1">
      <c r="A10" s="1">
        <v>31</v>
      </c>
      <c r="B10" s="3" t="s">
        <v>38</v>
      </c>
      <c r="C10">
        <v>19</v>
      </c>
      <c r="D10">
        <v>1000</v>
      </c>
      <c r="E10" t="s">
        <v>12</v>
      </c>
      <c r="F10">
        <v>0</v>
      </c>
      <c r="G10">
        <v>0</v>
      </c>
      <c r="I10" s="23"/>
      <c r="J10" t="s">
        <v>87</v>
      </c>
      <c r="K10" s="4"/>
      <c r="M10" s="3" t="s">
        <v>83</v>
      </c>
      <c r="N10">
        <v>2000</v>
      </c>
    </row>
    <row r="11" spans="1:14" ht="16.149999999999999" customHeight="1">
      <c r="A11" s="1">
        <v>32</v>
      </c>
      <c r="B11" s="3" t="s">
        <v>38</v>
      </c>
      <c r="C11">
        <v>18</v>
      </c>
      <c r="D11">
        <v>5000</v>
      </c>
      <c r="E11" t="s">
        <v>12</v>
      </c>
      <c r="F11">
        <v>0</v>
      </c>
      <c r="G11">
        <v>0</v>
      </c>
      <c r="I11" s="23"/>
      <c r="K11" s="4"/>
      <c r="M11" s="3" t="s">
        <v>35</v>
      </c>
      <c r="N11">
        <v>1</v>
      </c>
    </row>
    <row r="12" spans="1:14">
      <c r="A12" s="1">
        <v>33</v>
      </c>
      <c r="B12" s="3" t="s">
        <v>38</v>
      </c>
      <c r="C12">
        <v>17</v>
      </c>
      <c r="D12">
        <v>5000</v>
      </c>
      <c r="E12" t="s">
        <v>12</v>
      </c>
      <c r="F12">
        <v>0</v>
      </c>
      <c r="G12">
        <v>0</v>
      </c>
      <c r="I12" s="23"/>
      <c r="K12" s="4"/>
      <c r="M12" s="3" t="s">
        <v>32</v>
      </c>
      <c r="N12">
        <v>151401</v>
      </c>
    </row>
    <row r="13" spans="1:14" ht="13.9" customHeight="1">
      <c r="A13" s="1">
        <v>34</v>
      </c>
      <c r="B13" s="3" t="s">
        <v>38</v>
      </c>
      <c r="C13">
        <v>16</v>
      </c>
      <c r="D13">
        <v>5000</v>
      </c>
      <c r="E13" t="s">
        <v>12</v>
      </c>
      <c r="F13">
        <v>0</v>
      </c>
      <c r="G13">
        <v>0</v>
      </c>
      <c r="I13" s="23"/>
      <c r="K13" s="4"/>
    </row>
    <row r="14" spans="1:14">
      <c r="A14" s="1">
        <v>35</v>
      </c>
      <c r="B14" s="3" t="s">
        <v>38</v>
      </c>
      <c r="C14">
        <v>15</v>
      </c>
      <c r="D14">
        <v>5000</v>
      </c>
      <c r="E14" t="s">
        <v>12</v>
      </c>
      <c r="F14">
        <v>0</v>
      </c>
      <c r="G14">
        <v>0</v>
      </c>
      <c r="I14" s="23"/>
      <c r="L14" s="3"/>
    </row>
    <row r="15" spans="1:14">
      <c r="A15" s="1">
        <v>36</v>
      </c>
      <c r="B15" s="3" t="s">
        <v>38</v>
      </c>
      <c r="C15">
        <v>14</v>
      </c>
      <c r="D15">
        <v>5000</v>
      </c>
      <c r="E15" t="s">
        <v>12</v>
      </c>
      <c r="F15">
        <v>0</v>
      </c>
      <c r="G15">
        <v>0</v>
      </c>
      <c r="I15" s="23"/>
      <c r="J15" t="s">
        <v>49</v>
      </c>
      <c r="K15">
        <v>12</v>
      </c>
      <c r="L15" s="3">
        <f>K15*1000</f>
        <v>12000</v>
      </c>
    </row>
    <row r="16" spans="1:14">
      <c r="A16" s="1">
        <v>37</v>
      </c>
      <c r="B16" s="3" t="s">
        <v>38</v>
      </c>
      <c r="C16">
        <v>13</v>
      </c>
      <c r="D16">
        <v>5000</v>
      </c>
      <c r="E16" t="s">
        <v>12</v>
      </c>
      <c r="F16">
        <v>0</v>
      </c>
      <c r="G16">
        <v>0</v>
      </c>
      <c r="I16" s="23"/>
      <c r="J16" t="s">
        <v>50</v>
      </c>
      <c r="K16">
        <v>57</v>
      </c>
      <c r="L16" s="3">
        <f t="shared" ref="L16:L25" si="0">K16*1000</f>
        <v>57000</v>
      </c>
      <c r="M16">
        <f>L16-GETPIVOTDATA("Capacity",$M$2,"Technology","Wind Offshore")</f>
        <v>18000</v>
      </c>
    </row>
    <row r="17" spans="1:13">
      <c r="A17" s="1">
        <v>38</v>
      </c>
      <c r="B17" s="3" t="s">
        <v>38</v>
      </c>
      <c r="C17">
        <v>12</v>
      </c>
      <c r="D17">
        <v>5000</v>
      </c>
      <c r="E17" t="s">
        <v>12</v>
      </c>
      <c r="F17">
        <v>0</v>
      </c>
      <c r="G17">
        <v>0</v>
      </c>
      <c r="I17" s="23"/>
      <c r="J17" t="s">
        <v>51</v>
      </c>
      <c r="K17">
        <v>107</v>
      </c>
      <c r="L17" s="3">
        <f t="shared" si="0"/>
        <v>107000</v>
      </c>
      <c r="M17">
        <f>L17-GETPIVOTDATA("Capacity",$M$2,"Technology","Solar PV large")</f>
        <v>37000</v>
      </c>
    </row>
    <row r="18" spans="1:13">
      <c r="A18" s="1">
        <v>39</v>
      </c>
      <c r="B18" s="3" t="s">
        <v>38</v>
      </c>
      <c r="C18">
        <v>11</v>
      </c>
      <c r="D18">
        <v>5000</v>
      </c>
      <c r="E18" t="s">
        <v>12</v>
      </c>
      <c r="F18">
        <v>0</v>
      </c>
      <c r="G18">
        <v>0</v>
      </c>
      <c r="I18" s="23"/>
      <c r="J18" t="s">
        <v>88</v>
      </c>
      <c r="K18" t="s">
        <v>89</v>
      </c>
      <c r="L18" s="3" t="e">
        <f t="shared" si="0"/>
        <v>#VALUE!</v>
      </c>
    </row>
    <row r="19" spans="1:13">
      <c r="A19" s="1">
        <v>40</v>
      </c>
      <c r="B19" s="3" t="s">
        <v>38</v>
      </c>
      <c r="C19">
        <v>10</v>
      </c>
      <c r="D19">
        <v>5000</v>
      </c>
      <c r="E19" t="s">
        <v>12</v>
      </c>
      <c r="F19">
        <v>0</v>
      </c>
      <c r="G19">
        <v>0</v>
      </c>
      <c r="I19" s="23"/>
      <c r="J19" t="s">
        <v>29</v>
      </c>
      <c r="K19">
        <v>0.48</v>
      </c>
      <c r="L19" s="3">
        <f t="shared" si="0"/>
        <v>480</v>
      </c>
    </row>
    <row r="20" spans="1:13">
      <c r="A20" s="1">
        <v>41</v>
      </c>
      <c r="B20" s="3" t="s">
        <v>38</v>
      </c>
      <c r="C20">
        <v>9</v>
      </c>
      <c r="D20" s="4">
        <v>4000</v>
      </c>
      <c r="E20" t="s">
        <v>12</v>
      </c>
      <c r="F20">
        <v>0</v>
      </c>
      <c r="G20">
        <v>0</v>
      </c>
      <c r="J20" t="s">
        <v>53</v>
      </c>
      <c r="K20">
        <v>8.4499999999999993</v>
      </c>
      <c r="L20" s="3">
        <f t="shared" si="0"/>
        <v>8450</v>
      </c>
      <c r="M20">
        <f>L20-GETPIVOTDATA("Capacity",$M$2,"Technology","hydrogen OCGT")</f>
        <v>-9550</v>
      </c>
    </row>
    <row r="21" spans="1:13">
      <c r="A21" s="1">
        <v>42</v>
      </c>
      <c r="B21" s="3" t="s">
        <v>38</v>
      </c>
      <c r="C21">
        <v>8</v>
      </c>
      <c r="D21" s="4">
        <v>4000</v>
      </c>
      <c r="E21" t="s">
        <v>12</v>
      </c>
      <c r="F21">
        <v>0</v>
      </c>
      <c r="G21">
        <v>0</v>
      </c>
      <c r="J21" t="s">
        <v>54</v>
      </c>
      <c r="K21">
        <v>26</v>
      </c>
      <c r="L21" s="3">
        <f t="shared" si="0"/>
        <v>26000</v>
      </c>
      <c r="M21" t="e">
        <f>L21-GETPIVOTDATA("Capacity",$M$2,"Technology","Lithium_ion_battery")</f>
        <v>#REF!</v>
      </c>
    </row>
    <row r="22" spans="1:13">
      <c r="A22" s="1">
        <v>43</v>
      </c>
      <c r="B22" s="3" t="s">
        <v>38</v>
      </c>
      <c r="C22">
        <v>7</v>
      </c>
      <c r="D22" s="4">
        <v>4000</v>
      </c>
      <c r="E22" t="s">
        <v>12</v>
      </c>
      <c r="F22">
        <v>0</v>
      </c>
      <c r="G22">
        <v>0</v>
      </c>
      <c r="J22" t="s">
        <v>55</v>
      </c>
      <c r="K22">
        <v>4.38</v>
      </c>
      <c r="L22" s="3">
        <f t="shared" si="0"/>
        <v>4380</v>
      </c>
    </row>
    <row r="23" spans="1:13">
      <c r="A23" s="1">
        <v>44</v>
      </c>
      <c r="B23" s="3" t="s">
        <v>38</v>
      </c>
      <c r="C23">
        <v>6</v>
      </c>
      <c r="D23" s="4">
        <v>4000</v>
      </c>
      <c r="E23" t="s">
        <v>12</v>
      </c>
      <c r="F23">
        <v>0</v>
      </c>
      <c r="G23">
        <v>0</v>
      </c>
      <c r="J23" t="s">
        <v>56</v>
      </c>
      <c r="K23">
        <v>1.58</v>
      </c>
      <c r="L23" s="3">
        <f t="shared" si="0"/>
        <v>1580</v>
      </c>
    </row>
    <row r="24" spans="1:13">
      <c r="A24" s="1">
        <v>45</v>
      </c>
      <c r="B24" s="3" t="s">
        <v>38</v>
      </c>
      <c r="C24">
        <v>5</v>
      </c>
      <c r="D24" s="4">
        <v>4000</v>
      </c>
      <c r="E24" t="s">
        <v>12</v>
      </c>
      <c r="F24">
        <v>0</v>
      </c>
      <c r="G24">
        <v>0</v>
      </c>
      <c r="J24" t="s">
        <v>57</v>
      </c>
      <c r="K24">
        <v>0.04</v>
      </c>
      <c r="L24" s="3">
        <f t="shared" si="0"/>
        <v>40</v>
      </c>
    </row>
    <row r="25" spans="1:13">
      <c r="A25" s="1">
        <v>46</v>
      </c>
      <c r="B25" s="3" t="s">
        <v>38</v>
      </c>
      <c r="C25">
        <v>4</v>
      </c>
      <c r="D25" s="4">
        <v>4000</v>
      </c>
      <c r="E25" t="s">
        <v>12</v>
      </c>
      <c r="F25">
        <v>0</v>
      </c>
      <c r="G25">
        <v>0</v>
      </c>
      <c r="J25" t="s">
        <v>58</v>
      </c>
      <c r="K25">
        <v>0.45</v>
      </c>
      <c r="L25" s="3">
        <f t="shared" si="0"/>
        <v>450</v>
      </c>
    </row>
    <row r="26" spans="1:13">
      <c r="A26" s="1">
        <v>47</v>
      </c>
      <c r="B26" t="s">
        <v>38</v>
      </c>
      <c r="C26">
        <v>3</v>
      </c>
      <c r="D26" s="4">
        <v>4000</v>
      </c>
      <c r="E26" t="s">
        <v>12</v>
      </c>
      <c r="F26">
        <v>0</v>
      </c>
      <c r="G26">
        <v>0</v>
      </c>
    </row>
    <row r="27" spans="1:13">
      <c r="A27" s="1">
        <v>48</v>
      </c>
      <c r="B27" t="s">
        <v>39</v>
      </c>
      <c r="C27">
        <v>24</v>
      </c>
      <c r="D27">
        <v>3000</v>
      </c>
      <c r="E27" t="s">
        <v>12</v>
      </c>
      <c r="F27">
        <v>0</v>
      </c>
      <c r="G27">
        <v>0</v>
      </c>
      <c r="I27" s="23"/>
    </row>
    <row r="28" spans="1:13">
      <c r="A28" s="1">
        <v>49</v>
      </c>
      <c r="B28" t="s">
        <v>39</v>
      </c>
      <c r="C28">
        <v>22</v>
      </c>
      <c r="D28">
        <v>3000</v>
      </c>
      <c r="E28" t="s">
        <v>12</v>
      </c>
      <c r="F28">
        <v>0</v>
      </c>
      <c r="G28">
        <v>0</v>
      </c>
    </row>
    <row r="29" spans="1:13">
      <c r="A29" s="1">
        <v>50</v>
      </c>
      <c r="B29" t="s">
        <v>39</v>
      </c>
      <c r="C29">
        <v>20</v>
      </c>
      <c r="D29">
        <v>3000</v>
      </c>
      <c r="E29" t="s">
        <v>12</v>
      </c>
      <c r="F29">
        <v>0</v>
      </c>
      <c r="G29">
        <v>0</v>
      </c>
      <c r="I29" s="23"/>
    </row>
    <row r="30" spans="1:13">
      <c r="A30" s="1">
        <v>51</v>
      </c>
      <c r="B30" t="s">
        <v>39</v>
      </c>
      <c r="C30">
        <v>18</v>
      </c>
      <c r="D30">
        <v>3000</v>
      </c>
      <c r="E30" t="s">
        <v>12</v>
      </c>
      <c r="F30">
        <v>0</v>
      </c>
      <c r="G30">
        <v>0</v>
      </c>
      <c r="I30" s="23"/>
    </row>
    <row r="31" spans="1:13">
      <c r="A31" s="1">
        <v>52</v>
      </c>
      <c r="B31" t="s">
        <v>39</v>
      </c>
      <c r="C31">
        <v>16</v>
      </c>
      <c r="D31">
        <v>3000</v>
      </c>
      <c r="E31" t="s">
        <v>12</v>
      </c>
      <c r="F31">
        <v>0</v>
      </c>
      <c r="G31">
        <v>0</v>
      </c>
      <c r="I31" s="23"/>
    </row>
    <row r="32" spans="1:13">
      <c r="A32" s="1">
        <v>53</v>
      </c>
      <c r="B32" t="s">
        <v>39</v>
      </c>
      <c r="C32">
        <v>14</v>
      </c>
      <c r="D32">
        <v>3000</v>
      </c>
      <c r="E32" t="s">
        <v>12</v>
      </c>
      <c r="F32">
        <v>0</v>
      </c>
      <c r="G32">
        <v>0</v>
      </c>
      <c r="I32" s="23"/>
    </row>
    <row r="33" spans="1:9">
      <c r="A33" s="1">
        <v>54</v>
      </c>
      <c r="B33" t="s">
        <v>39</v>
      </c>
      <c r="C33">
        <v>10</v>
      </c>
      <c r="D33">
        <v>3000</v>
      </c>
      <c r="E33" t="s">
        <v>12</v>
      </c>
      <c r="F33">
        <v>0</v>
      </c>
      <c r="G33">
        <v>0</v>
      </c>
      <c r="I33" s="23"/>
    </row>
    <row r="34" spans="1:9">
      <c r="A34" s="1">
        <v>55</v>
      </c>
      <c r="B34" t="s">
        <v>39</v>
      </c>
      <c r="C34">
        <v>8</v>
      </c>
      <c r="D34">
        <v>3000</v>
      </c>
      <c r="E34" t="s">
        <v>12</v>
      </c>
      <c r="F34">
        <v>0</v>
      </c>
      <c r="G34">
        <v>0</v>
      </c>
      <c r="I34" s="23"/>
    </row>
    <row r="35" spans="1:9">
      <c r="A35" s="1">
        <v>56</v>
      </c>
      <c r="B35" t="s">
        <v>39</v>
      </c>
      <c r="C35">
        <v>6</v>
      </c>
      <c r="D35">
        <v>4000</v>
      </c>
      <c r="E35" t="s">
        <v>12</v>
      </c>
      <c r="F35">
        <v>0</v>
      </c>
      <c r="G35">
        <v>0</v>
      </c>
      <c r="I35" s="23"/>
    </row>
    <row r="36" spans="1:9">
      <c r="A36" s="1">
        <v>57</v>
      </c>
      <c r="B36" t="s">
        <v>39</v>
      </c>
      <c r="C36">
        <v>4</v>
      </c>
      <c r="D36">
        <v>3000</v>
      </c>
      <c r="E36" t="s">
        <v>12</v>
      </c>
      <c r="F36">
        <v>0</v>
      </c>
      <c r="G36">
        <v>0</v>
      </c>
    </row>
    <row r="37" spans="1:9">
      <c r="A37" s="1">
        <v>58</v>
      </c>
      <c r="B37" t="s">
        <v>39</v>
      </c>
      <c r="C37">
        <v>3</v>
      </c>
      <c r="D37">
        <v>4000</v>
      </c>
      <c r="E37" t="s">
        <v>12</v>
      </c>
      <c r="F37">
        <v>0</v>
      </c>
      <c r="G37">
        <v>0</v>
      </c>
    </row>
    <row r="38" spans="1:9">
      <c r="A38" s="1">
        <v>59</v>
      </c>
      <c r="B38" t="s">
        <v>39</v>
      </c>
      <c r="C38">
        <v>2</v>
      </c>
      <c r="D38">
        <v>4000</v>
      </c>
      <c r="E38" t="s">
        <v>12</v>
      </c>
      <c r="F38">
        <v>0</v>
      </c>
      <c r="G38">
        <v>0</v>
      </c>
    </row>
    <row r="39" spans="1:9">
      <c r="A39" s="1">
        <v>60</v>
      </c>
      <c r="B39" t="s">
        <v>84</v>
      </c>
      <c r="C39">
        <v>21</v>
      </c>
      <c r="D39" s="28">
        <v>2000</v>
      </c>
      <c r="E39" t="s">
        <v>12</v>
      </c>
      <c r="F39">
        <v>0</v>
      </c>
      <c r="G39">
        <v>0</v>
      </c>
    </row>
    <row r="40" spans="1:9">
      <c r="A40" s="1">
        <v>61</v>
      </c>
      <c r="B40" t="s">
        <v>84</v>
      </c>
      <c r="C40">
        <v>20</v>
      </c>
      <c r="D40" s="28">
        <v>2000</v>
      </c>
      <c r="E40" t="s">
        <v>12</v>
      </c>
      <c r="F40">
        <v>0</v>
      </c>
      <c r="G40">
        <v>0</v>
      </c>
    </row>
    <row r="41" spans="1:9">
      <c r="A41" s="1">
        <v>62</v>
      </c>
      <c r="B41" t="s">
        <v>84</v>
      </c>
      <c r="C41">
        <v>18</v>
      </c>
      <c r="D41" s="28">
        <v>2000</v>
      </c>
      <c r="E41" t="s">
        <v>12</v>
      </c>
      <c r="F41">
        <v>0</v>
      </c>
      <c r="G41">
        <v>0</v>
      </c>
    </row>
    <row r="42" spans="1:9">
      <c r="A42" s="1">
        <v>63</v>
      </c>
      <c r="B42" t="s">
        <v>84</v>
      </c>
      <c r="C42">
        <v>16</v>
      </c>
      <c r="D42" s="28">
        <v>2000</v>
      </c>
      <c r="E42" t="s">
        <v>12</v>
      </c>
      <c r="F42">
        <v>0</v>
      </c>
      <c r="G42">
        <v>0</v>
      </c>
    </row>
    <row r="43" spans="1:9">
      <c r="A43" s="1">
        <v>64</v>
      </c>
      <c r="B43" t="s">
        <v>84</v>
      </c>
      <c r="C43">
        <v>13</v>
      </c>
      <c r="D43" s="28">
        <v>2000</v>
      </c>
      <c r="E43" t="s">
        <v>12</v>
      </c>
      <c r="F43">
        <v>0</v>
      </c>
      <c r="G43">
        <v>0</v>
      </c>
    </row>
    <row r="44" spans="1:9">
      <c r="A44" s="1">
        <v>65</v>
      </c>
      <c r="B44" t="s">
        <v>84</v>
      </c>
      <c r="C44">
        <v>10</v>
      </c>
      <c r="D44" s="28">
        <v>2000</v>
      </c>
      <c r="E44" t="s">
        <v>12</v>
      </c>
      <c r="F44">
        <v>0</v>
      </c>
      <c r="G44">
        <v>0</v>
      </c>
    </row>
    <row r="45" spans="1:9">
      <c r="A45" s="1">
        <v>66</v>
      </c>
      <c r="B45" s="3" t="s">
        <v>84</v>
      </c>
      <c r="C45">
        <v>7</v>
      </c>
      <c r="D45" s="28">
        <v>2000</v>
      </c>
      <c r="E45" t="s">
        <v>12</v>
      </c>
      <c r="F45">
        <v>0</v>
      </c>
      <c r="G45">
        <v>0</v>
      </c>
    </row>
    <row r="46" spans="1:9">
      <c r="A46" s="1">
        <v>67</v>
      </c>
      <c r="B46" s="3" t="s">
        <v>84</v>
      </c>
      <c r="C46">
        <v>5</v>
      </c>
      <c r="D46" s="28">
        <v>2000</v>
      </c>
      <c r="E46" t="s">
        <v>12</v>
      </c>
      <c r="F46">
        <v>0</v>
      </c>
      <c r="G46">
        <v>0</v>
      </c>
    </row>
    <row r="47" spans="1:9">
      <c r="A47" s="1">
        <v>68</v>
      </c>
      <c r="B47" s="3" t="s">
        <v>84</v>
      </c>
      <c r="C47">
        <v>3</v>
      </c>
      <c r="D47" s="28">
        <v>2000</v>
      </c>
      <c r="E47" t="s">
        <v>12</v>
      </c>
      <c r="F47">
        <v>0</v>
      </c>
      <c r="G47">
        <v>0</v>
      </c>
    </row>
    <row r="48" spans="1:9">
      <c r="A48" s="1">
        <v>69</v>
      </c>
      <c r="B48" s="3" t="s">
        <v>84</v>
      </c>
      <c r="C48">
        <v>2</v>
      </c>
      <c r="D48" s="28">
        <v>2000</v>
      </c>
      <c r="E48" t="s">
        <v>12</v>
      </c>
      <c r="F48">
        <v>0</v>
      </c>
      <c r="G48">
        <v>0</v>
      </c>
    </row>
    <row r="49" spans="1:7">
      <c r="A49" s="1">
        <v>70</v>
      </c>
      <c r="B49" t="s">
        <v>90</v>
      </c>
      <c r="C49">
        <v>1</v>
      </c>
      <c r="D49" s="28">
        <v>1500</v>
      </c>
      <c r="E49" t="s">
        <v>12</v>
      </c>
      <c r="F49">
        <v>0</v>
      </c>
      <c r="G49">
        <v>0.9</v>
      </c>
    </row>
    <row r="50" spans="1:7">
      <c r="A50" s="1">
        <v>71</v>
      </c>
      <c r="B50" t="s">
        <v>90</v>
      </c>
      <c r="C50">
        <v>6</v>
      </c>
      <c r="D50" s="28">
        <v>2000</v>
      </c>
      <c r="E50" t="s">
        <v>12</v>
      </c>
      <c r="F50">
        <v>0</v>
      </c>
      <c r="G50">
        <v>0.9</v>
      </c>
    </row>
    <row r="51" spans="1:7">
      <c r="A51" s="1">
        <v>76</v>
      </c>
      <c r="B51" s="3" t="s">
        <v>29</v>
      </c>
      <c r="C51">
        <v>15</v>
      </c>
      <c r="D51" s="4">
        <v>400</v>
      </c>
      <c r="E51" t="s">
        <v>12</v>
      </c>
      <c r="F51">
        <v>0</v>
      </c>
      <c r="G51">
        <v>0</v>
      </c>
    </row>
    <row r="52" spans="1:7">
      <c r="A52" s="1"/>
      <c r="D52" s="28"/>
    </row>
    <row r="53" spans="1:7">
      <c r="A53" s="1"/>
      <c r="D53" s="28"/>
    </row>
    <row r="54" spans="1:7" ht="12" customHeight="1">
      <c r="A54" s="1"/>
      <c r="D54" s="28"/>
    </row>
    <row r="55" spans="1:7">
      <c r="A55" s="1"/>
      <c r="D55" s="28"/>
    </row>
    <row r="58" spans="1:7">
      <c r="A58" s="1">
        <v>78</v>
      </c>
      <c r="B58" t="s">
        <v>74</v>
      </c>
      <c r="C58">
        <v>10</v>
      </c>
      <c r="D58" s="28">
        <v>4000</v>
      </c>
      <c r="E58" t="s">
        <v>12</v>
      </c>
      <c r="F58">
        <v>0</v>
      </c>
      <c r="G58">
        <v>0.9</v>
      </c>
    </row>
    <row r="59" spans="1:7">
      <c r="A59" s="1">
        <v>79</v>
      </c>
      <c r="B59" t="s">
        <v>74</v>
      </c>
      <c r="C59">
        <v>14</v>
      </c>
      <c r="D59" s="28">
        <v>4000</v>
      </c>
      <c r="E59" t="s">
        <v>12</v>
      </c>
      <c r="F59">
        <v>0</v>
      </c>
      <c r="G59">
        <v>0.9</v>
      </c>
    </row>
    <row r="60" spans="1:7">
      <c r="A60" s="1">
        <v>80</v>
      </c>
      <c r="B60" t="s">
        <v>74</v>
      </c>
      <c r="C60">
        <v>18</v>
      </c>
      <c r="D60" s="28">
        <v>4000</v>
      </c>
      <c r="E60" t="s">
        <v>12</v>
      </c>
      <c r="F60">
        <v>0</v>
      </c>
      <c r="G60">
        <v>0.9</v>
      </c>
    </row>
    <row r="61" spans="1:7">
      <c r="A61" s="1">
        <v>54</v>
      </c>
      <c r="B61" t="s">
        <v>22</v>
      </c>
      <c r="C61">
        <v>1</v>
      </c>
      <c r="D61" s="28">
        <v>0.5</v>
      </c>
      <c r="E61" t="s">
        <v>12</v>
      </c>
      <c r="F61">
        <v>0</v>
      </c>
      <c r="G61">
        <v>0</v>
      </c>
    </row>
  </sheetData>
  <autoFilter ref="A1:G51" xr:uid="{38262F14-A446-4EBC-A910-A89BBAE801AB}">
    <sortState xmlns:xlrd2="http://schemas.microsoft.com/office/spreadsheetml/2017/richdata2" ref="A2:G51">
      <sortCondition ref="A1:A51"/>
    </sortState>
  </autoFilter>
  <pageMargins left="0.7" right="0.7" top="0.75" bottom="0.75" header="0.3" footer="0.3"/>
  <pageSetup orientation="portrait" horizontalDpi="1200" verticalDpi="12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88372-FD70-4A88-9C48-DBF8E6D97E61}">
  <dimension ref="A1:M19"/>
  <sheetViews>
    <sheetView topLeftCell="A4" zoomScale="115" zoomScaleNormal="115" workbookViewId="0">
      <selection activeCell="I28" sqref="I28"/>
    </sheetView>
  </sheetViews>
  <sheetFormatPr defaultRowHeight="15"/>
  <cols>
    <col min="2" max="2" width="23.140625" customWidth="1"/>
    <col min="6" max="6" width="22.42578125" customWidth="1"/>
  </cols>
  <sheetData>
    <row r="1" spans="1:13">
      <c r="A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/>
      <c r="M1" s="5"/>
    </row>
    <row r="2" spans="1:13">
      <c r="A2" s="1">
        <v>6</v>
      </c>
      <c r="B2" s="18" t="s">
        <v>38</v>
      </c>
      <c r="C2">
        <v>1</v>
      </c>
      <c r="D2">
        <v>27000</v>
      </c>
      <c r="E2" t="s">
        <v>12</v>
      </c>
      <c r="F2" t="s">
        <v>13</v>
      </c>
      <c r="G2">
        <v>0</v>
      </c>
      <c r="H2">
        <v>0</v>
      </c>
    </row>
    <row r="3" spans="1:13">
      <c r="A3" s="1">
        <v>7</v>
      </c>
      <c r="B3" s="18" t="s">
        <v>38</v>
      </c>
      <c r="C3">
        <v>10</v>
      </c>
      <c r="D3">
        <v>27000</v>
      </c>
      <c r="E3" t="s">
        <v>12</v>
      </c>
      <c r="F3" t="s">
        <v>13</v>
      </c>
      <c r="G3">
        <v>0</v>
      </c>
      <c r="H3">
        <v>0</v>
      </c>
    </row>
    <row r="4" spans="1:13">
      <c r="A4" s="1">
        <v>8</v>
      </c>
      <c r="B4" t="s">
        <v>39</v>
      </c>
      <c r="C4">
        <v>2</v>
      </c>
      <c r="D4">
        <v>13500</v>
      </c>
      <c r="E4" t="s">
        <v>12</v>
      </c>
      <c r="F4" t="s">
        <v>13</v>
      </c>
      <c r="G4">
        <v>0</v>
      </c>
      <c r="H4">
        <v>0</v>
      </c>
    </row>
    <row r="5" spans="1:13">
      <c r="A5" s="1">
        <v>9</v>
      </c>
      <c r="B5" t="s">
        <v>39</v>
      </c>
      <c r="C5">
        <v>13</v>
      </c>
      <c r="D5">
        <v>13500</v>
      </c>
      <c r="E5" t="s">
        <v>12</v>
      </c>
      <c r="F5" t="s">
        <v>13</v>
      </c>
      <c r="G5">
        <v>0</v>
      </c>
      <c r="H5">
        <v>0</v>
      </c>
    </row>
    <row r="6" spans="1:13">
      <c r="A6" s="1">
        <v>10</v>
      </c>
      <c r="B6" t="s">
        <v>39</v>
      </c>
      <c r="C6">
        <v>1</v>
      </c>
      <c r="D6">
        <v>13500</v>
      </c>
      <c r="E6" t="s">
        <v>12</v>
      </c>
      <c r="F6" t="s">
        <v>13</v>
      </c>
      <c r="G6">
        <v>0</v>
      </c>
      <c r="H6">
        <v>0</v>
      </c>
    </row>
    <row r="7" spans="1:13">
      <c r="A7" s="1">
        <v>11</v>
      </c>
      <c r="B7" s="18" t="s">
        <v>84</v>
      </c>
      <c r="C7">
        <v>25</v>
      </c>
      <c r="D7">
        <v>4500</v>
      </c>
      <c r="E7" t="s">
        <v>12</v>
      </c>
      <c r="F7" t="s">
        <v>13</v>
      </c>
      <c r="G7">
        <v>0</v>
      </c>
      <c r="H7">
        <v>0</v>
      </c>
    </row>
    <row r="8" spans="1:13">
      <c r="A8" s="1">
        <v>12</v>
      </c>
      <c r="B8" s="18" t="s">
        <v>84</v>
      </c>
      <c r="C8">
        <v>23</v>
      </c>
      <c r="D8">
        <v>4500</v>
      </c>
      <c r="E8" t="s">
        <v>12</v>
      </c>
      <c r="F8" t="s">
        <v>13</v>
      </c>
      <c r="G8">
        <v>0</v>
      </c>
      <c r="H8">
        <v>0</v>
      </c>
    </row>
    <row r="9" spans="1:13">
      <c r="A9" s="1">
        <v>13</v>
      </c>
      <c r="B9" s="18" t="s">
        <v>84</v>
      </c>
      <c r="C9">
        <v>20</v>
      </c>
      <c r="D9">
        <v>4500</v>
      </c>
      <c r="E9" t="s">
        <v>12</v>
      </c>
      <c r="F9" t="s">
        <v>13</v>
      </c>
      <c r="G9">
        <v>0</v>
      </c>
      <c r="H9">
        <v>0</v>
      </c>
    </row>
    <row r="10" spans="1:13">
      <c r="A10" s="1">
        <v>14</v>
      </c>
      <c r="B10" s="18" t="s">
        <v>84</v>
      </c>
      <c r="C10">
        <v>18</v>
      </c>
      <c r="D10">
        <v>4500</v>
      </c>
      <c r="E10" t="s">
        <v>12</v>
      </c>
      <c r="F10" t="s">
        <v>13</v>
      </c>
      <c r="G10">
        <v>0</v>
      </c>
      <c r="H10">
        <v>0</v>
      </c>
    </row>
    <row r="11" spans="1:13">
      <c r="A11" s="1">
        <v>15</v>
      </c>
      <c r="B11" s="18" t="s">
        <v>84</v>
      </c>
      <c r="C11">
        <v>15</v>
      </c>
      <c r="D11">
        <v>4500</v>
      </c>
      <c r="E11" t="s">
        <v>12</v>
      </c>
      <c r="F11" t="s">
        <v>13</v>
      </c>
      <c r="G11">
        <v>0</v>
      </c>
      <c r="H11">
        <v>0</v>
      </c>
    </row>
    <row r="12" spans="1:13">
      <c r="A12" s="1">
        <v>16</v>
      </c>
      <c r="B12" s="18" t="s">
        <v>84</v>
      </c>
      <c r="C12">
        <v>13</v>
      </c>
      <c r="D12">
        <v>4500</v>
      </c>
      <c r="E12" t="s">
        <v>12</v>
      </c>
      <c r="F12" t="s">
        <v>13</v>
      </c>
      <c r="G12">
        <v>0</v>
      </c>
      <c r="H12">
        <v>0</v>
      </c>
    </row>
    <row r="13" spans="1:13">
      <c r="A13" s="1">
        <v>17</v>
      </c>
      <c r="B13" s="18" t="s">
        <v>84</v>
      </c>
      <c r="C13">
        <v>10</v>
      </c>
      <c r="D13">
        <v>4500</v>
      </c>
      <c r="E13" t="s">
        <v>12</v>
      </c>
      <c r="F13" t="s">
        <v>13</v>
      </c>
      <c r="G13">
        <v>0</v>
      </c>
      <c r="H13">
        <v>0</v>
      </c>
    </row>
    <row r="14" spans="1:13">
      <c r="A14" s="1">
        <v>18</v>
      </c>
      <c r="B14" s="18" t="s">
        <v>84</v>
      </c>
      <c r="C14">
        <v>8</v>
      </c>
      <c r="D14">
        <v>4500</v>
      </c>
      <c r="E14" t="s">
        <v>12</v>
      </c>
      <c r="F14" t="s">
        <v>13</v>
      </c>
      <c r="G14">
        <v>0</v>
      </c>
      <c r="H14">
        <v>0</v>
      </c>
    </row>
    <row r="15" spans="1:13">
      <c r="A15" s="1">
        <v>19</v>
      </c>
      <c r="B15" t="s">
        <v>40</v>
      </c>
      <c r="C15">
        <v>1</v>
      </c>
      <c r="D15">
        <v>12000</v>
      </c>
      <c r="E15" t="s">
        <v>12</v>
      </c>
      <c r="F15" t="s">
        <v>13</v>
      </c>
      <c r="G15">
        <v>0</v>
      </c>
      <c r="H15">
        <v>0</v>
      </c>
    </row>
    <row r="16" spans="1:13">
      <c r="A16" s="1">
        <v>20</v>
      </c>
      <c r="B16" s="18" t="s">
        <v>90</v>
      </c>
      <c r="C16">
        <v>5</v>
      </c>
      <c r="D16">
        <v>10000</v>
      </c>
      <c r="E16" t="s">
        <v>12</v>
      </c>
      <c r="F16" t="s">
        <v>13</v>
      </c>
      <c r="G16">
        <v>0</v>
      </c>
      <c r="H16">
        <v>0</v>
      </c>
    </row>
    <row r="17" spans="1:8">
      <c r="A17" s="1">
        <v>21</v>
      </c>
      <c r="B17" s="18" t="s">
        <v>90</v>
      </c>
      <c r="C17">
        <v>10</v>
      </c>
      <c r="D17">
        <v>10000</v>
      </c>
      <c r="E17" t="s">
        <v>12</v>
      </c>
      <c r="F17" t="s">
        <v>13</v>
      </c>
      <c r="G17">
        <v>0</v>
      </c>
      <c r="H17">
        <v>0</v>
      </c>
    </row>
    <row r="18" spans="1:8">
      <c r="A18" s="1"/>
      <c r="B18" s="18"/>
    </row>
    <row r="19" spans="1:8">
      <c r="A19" s="1"/>
      <c r="B19" s="18"/>
    </row>
  </sheetData>
  <autoFilter ref="A1:H1" xr:uid="{91B88372-FD70-4A88-9C48-DBF8E6D97E61}">
    <sortState xmlns:xlrd2="http://schemas.microsoft.com/office/spreadsheetml/2017/richdata2" ref="A2:H31">
      <sortCondition ref="A1"/>
    </sortState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2B207-E7EC-4D05-8789-9E26B69EE711}">
  <sheetPr>
    <tabColor rgb="FFFFFF00"/>
  </sheetPr>
  <dimension ref="A1:P63"/>
  <sheetViews>
    <sheetView showRuler="0" zoomScale="70" zoomScaleNormal="70" workbookViewId="0">
      <selection activeCell="B2" sqref="B2:G2"/>
    </sheetView>
  </sheetViews>
  <sheetFormatPr defaultRowHeight="15"/>
  <cols>
    <col min="2" max="2" width="35.85546875" customWidth="1"/>
    <col min="7" max="7" width="13.85546875" customWidth="1"/>
    <col min="10" max="10" width="28.85546875" bestFit="1" customWidth="1"/>
    <col min="11" max="11" width="14.42578125" bestFit="1" customWidth="1"/>
    <col min="15" max="15" width="18.5703125" bestFit="1" customWidth="1"/>
    <col min="16" max="16" width="20.28515625" bestFit="1" customWidth="1"/>
    <col min="17" max="17" width="20.85546875" bestFit="1" customWidth="1"/>
  </cols>
  <sheetData>
    <row r="1" spans="1:16">
      <c r="A1" t="s">
        <v>17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8</v>
      </c>
      <c r="G1" s="1" t="s">
        <v>9</v>
      </c>
    </row>
    <row r="2" spans="1:16">
      <c r="A2" s="1">
        <v>19</v>
      </c>
      <c r="B2" s="3" t="s">
        <v>29</v>
      </c>
      <c r="C2">
        <v>4</v>
      </c>
      <c r="D2" s="4">
        <v>1000</v>
      </c>
      <c r="E2" t="s">
        <v>12</v>
      </c>
      <c r="F2">
        <v>0</v>
      </c>
      <c r="G2">
        <v>0</v>
      </c>
    </row>
    <row r="3" spans="1:16">
      <c r="A3" s="1">
        <v>20</v>
      </c>
      <c r="B3" s="3" t="s">
        <v>29</v>
      </c>
      <c r="C3">
        <v>4</v>
      </c>
      <c r="D3" s="4">
        <v>1000</v>
      </c>
      <c r="E3" t="s">
        <v>12</v>
      </c>
      <c r="F3">
        <v>0</v>
      </c>
      <c r="G3">
        <v>0</v>
      </c>
      <c r="O3" s="2" t="s">
        <v>20</v>
      </c>
      <c r="P3" t="s">
        <v>21</v>
      </c>
    </row>
    <row r="4" spans="1:16">
      <c r="A4" s="1">
        <v>21</v>
      </c>
      <c r="B4" s="3" t="s">
        <v>29</v>
      </c>
      <c r="C4">
        <v>4</v>
      </c>
      <c r="D4" s="4">
        <v>1000</v>
      </c>
      <c r="E4" t="s">
        <v>12</v>
      </c>
      <c r="F4">
        <v>0</v>
      </c>
      <c r="G4">
        <v>0</v>
      </c>
      <c r="O4" s="3" t="s">
        <v>35</v>
      </c>
      <c r="P4">
        <v>0.5</v>
      </c>
    </row>
    <row r="5" spans="1:16">
      <c r="A5" s="1">
        <v>22</v>
      </c>
      <c r="B5" s="3" t="s">
        <v>29</v>
      </c>
      <c r="C5">
        <v>4</v>
      </c>
      <c r="D5" s="4">
        <v>700</v>
      </c>
      <c r="E5" t="s">
        <v>12</v>
      </c>
      <c r="F5">
        <v>0</v>
      </c>
      <c r="G5">
        <v>0</v>
      </c>
      <c r="O5" s="3" t="s">
        <v>91</v>
      </c>
      <c r="P5">
        <v>16900</v>
      </c>
    </row>
    <row r="6" spans="1:16">
      <c r="A6" s="1">
        <v>23</v>
      </c>
      <c r="B6" t="s">
        <v>40</v>
      </c>
      <c r="C6">
        <v>20</v>
      </c>
      <c r="D6" s="4">
        <v>2400</v>
      </c>
      <c r="E6" t="s">
        <v>12</v>
      </c>
      <c r="F6">
        <v>0</v>
      </c>
      <c r="G6">
        <v>0</v>
      </c>
      <c r="O6" s="3" t="s">
        <v>90</v>
      </c>
      <c r="P6">
        <v>0.5</v>
      </c>
    </row>
    <row r="7" spans="1:16">
      <c r="A7" s="1">
        <v>24</v>
      </c>
      <c r="B7" t="s">
        <v>40</v>
      </c>
      <c r="C7">
        <v>16</v>
      </c>
      <c r="D7" s="4">
        <v>2400</v>
      </c>
      <c r="E7" t="s">
        <v>12</v>
      </c>
      <c r="F7">
        <v>0</v>
      </c>
      <c r="G7">
        <v>0</v>
      </c>
      <c r="I7" s="23"/>
      <c r="O7" s="3" t="s">
        <v>29</v>
      </c>
      <c r="P7">
        <v>3700</v>
      </c>
    </row>
    <row r="8" spans="1:16" ht="16.149999999999999" customHeight="1">
      <c r="A8" s="1">
        <v>25</v>
      </c>
      <c r="B8" t="s">
        <v>40</v>
      </c>
      <c r="C8">
        <v>12</v>
      </c>
      <c r="D8" s="4">
        <v>2400</v>
      </c>
      <c r="E8" t="s">
        <v>12</v>
      </c>
      <c r="F8">
        <v>0</v>
      </c>
      <c r="G8">
        <v>0</v>
      </c>
      <c r="I8" s="23"/>
      <c r="K8" s="4"/>
      <c r="O8" s="3" t="s">
        <v>11</v>
      </c>
      <c r="P8">
        <v>2700</v>
      </c>
    </row>
    <row r="9" spans="1:16" ht="16.149999999999999" customHeight="1">
      <c r="A9" s="1">
        <v>26</v>
      </c>
      <c r="B9" t="s">
        <v>40</v>
      </c>
      <c r="C9">
        <v>7</v>
      </c>
      <c r="D9" s="4">
        <v>2400</v>
      </c>
      <c r="E9" t="s">
        <v>12</v>
      </c>
      <c r="F9">
        <v>0</v>
      </c>
      <c r="G9">
        <v>0</v>
      </c>
      <c r="I9" s="23"/>
      <c r="K9" s="4"/>
      <c r="O9" s="3" t="s">
        <v>38</v>
      </c>
      <c r="P9">
        <v>60000</v>
      </c>
    </row>
    <row r="10" spans="1:16" ht="16.149999999999999" customHeight="1">
      <c r="A10" s="1">
        <v>27</v>
      </c>
      <c r="B10" t="s">
        <v>40</v>
      </c>
      <c r="C10">
        <v>2</v>
      </c>
      <c r="D10" s="4">
        <v>2400</v>
      </c>
      <c r="E10" t="s">
        <v>12</v>
      </c>
      <c r="F10">
        <v>0</v>
      </c>
      <c r="G10">
        <v>0</v>
      </c>
      <c r="I10" s="23"/>
      <c r="K10" s="4"/>
      <c r="O10" s="3" t="s">
        <v>39</v>
      </c>
      <c r="P10">
        <v>37000</v>
      </c>
    </row>
    <row r="11" spans="1:16" ht="16.149999999999999" customHeight="1">
      <c r="A11" s="1">
        <v>28</v>
      </c>
      <c r="B11" s="18" t="s">
        <v>38</v>
      </c>
      <c r="C11">
        <v>24</v>
      </c>
      <c r="D11" s="4">
        <v>1000</v>
      </c>
      <c r="E11" t="s">
        <v>12</v>
      </c>
      <c r="F11">
        <v>0</v>
      </c>
      <c r="G11">
        <v>0</v>
      </c>
      <c r="I11" s="23"/>
      <c r="K11" s="4"/>
      <c r="O11" s="3" t="s">
        <v>40</v>
      </c>
      <c r="P11">
        <v>12000</v>
      </c>
    </row>
    <row r="12" spans="1:16" ht="16.149999999999999" customHeight="1">
      <c r="A12" s="1">
        <v>29</v>
      </c>
      <c r="B12" s="18" t="s">
        <v>38</v>
      </c>
      <c r="C12">
        <v>23</v>
      </c>
      <c r="D12" s="4">
        <v>2500</v>
      </c>
      <c r="E12" t="s">
        <v>12</v>
      </c>
      <c r="F12">
        <v>0</v>
      </c>
      <c r="G12">
        <v>0</v>
      </c>
      <c r="I12" s="23"/>
      <c r="K12" s="4"/>
      <c r="O12" s="3" t="s">
        <v>67</v>
      </c>
    </row>
    <row r="13" spans="1:16" ht="16.149999999999999" customHeight="1">
      <c r="A13" s="1">
        <v>30</v>
      </c>
      <c r="B13" s="18" t="s">
        <v>38</v>
      </c>
      <c r="C13">
        <v>21</v>
      </c>
      <c r="D13" s="4">
        <v>2500</v>
      </c>
      <c r="E13" t="s">
        <v>12</v>
      </c>
      <c r="F13">
        <v>0</v>
      </c>
      <c r="G13">
        <v>0</v>
      </c>
      <c r="I13" s="23"/>
      <c r="K13" s="4"/>
      <c r="O13" s="3" t="s">
        <v>32</v>
      </c>
      <c r="P13">
        <v>132301</v>
      </c>
    </row>
    <row r="14" spans="1:16" ht="16.149999999999999" customHeight="1">
      <c r="A14" s="1">
        <v>31</v>
      </c>
      <c r="B14" s="18" t="s">
        <v>38</v>
      </c>
      <c r="C14">
        <v>19</v>
      </c>
      <c r="D14" s="4">
        <v>2500</v>
      </c>
      <c r="E14" t="s">
        <v>12</v>
      </c>
      <c r="F14">
        <v>0</v>
      </c>
      <c r="G14">
        <v>0</v>
      </c>
      <c r="I14" s="23"/>
      <c r="K14" s="4"/>
    </row>
    <row r="15" spans="1:16" ht="16.149999999999999" customHeight="1">
      <c r="A15" s="1">
        <v>32</v>
      </c>
      <c r="B15" s="18" t="s">
        <v>38</v>
      </c>
      <c r="C15">
        <v>18</v>
      </c>
      <c r="D15" s="4">
        <v>2500</v>
      </c>
      <c r="E15" t="s">
        <v>12</v>
      </c>
      <c r="F15">
        <v>0</v>
      </c>
      <c r="G15">
        <v>0</v>
      </c>
      <c r="I15" s="23"/>
      <c r="K15" s="4"/>
    </row>
    <row r="16" spans="1:16">
      <c r="A16" s="1">
        <v>33</v>
      </c>
      <c r="B16" s="18" t="s">
        <v>38</v>
      </c>
      <c r="C16">
        <v>17</v>
      </c>
      <c r="D16" s="4">
        <v>2500</v>
      </c>
      <c r="E16" t="s">
        <v>12</v>
      </c>
      <c r="F16">
        <v>0</v>
      </c>
      <c r="G16">
        <v>0</v>
      </c>
      <c r="I16" s="23"/>
      <c r="K16" s="4"/>
    </row>
    <row r="17" spans="1:14" ht="13.9" customHeight="1">
      <c r="A17" s="1">
        <v>34</v>
      </c>
      <c r="B17" s="18" t="s">
        <v>38</v>
      </c>
      <c r="C17">
        <v>16</v>
      </c>
      <c r="D17" s="4">
        <v>2500</v>
      </c>
      <c r="E17" t="s">
        <v>12</v>
      </c>
      <c r="F17">
        <v>0</v>
      </c>
      <c r="G17">
        <v>0</v>
      </c>
      <c r="I17" s="23"/>
      <c r="J17" t="s">
        <v>92</v>
      </c>
      <c r="K17" s="4"/>
    </row>
    <row r="18" spans="1:14">
      <c r="A18" s="1">
        <v>35</v>
      </c>
      <c r="B18" s="18" t="s">
        <v>38</v>
      </c>
      <c r="C18">
        <v>15</v>
      </c>
      <c r="D18" s="4">
        <v>2500</v>
      </c>
      <c r="E18" t="s">
        <v>12</v>
      </c>
      <c r="F18">
        <v>0</v>
      </c>
      <c r="G18">
        <v>0</v>
      </c>
      <c r="I18" s="23"/>
      <c r="J18" t="s">
        <v>93</v>
      </c>
      <c r="L18" s="3"/>
      <c r="N18" s="4"/>
    </row>
    <row r="19" spans="1:14">
      <c r="A19" s="1">
        <v>36</v>
      </c>
      <c r="B19" s="18" t="s">
        <v>38</v>
      </c>
      <c r="C19">
        <v>14</v>
      </c>
      <c r="D19" s="4">
        <v>2500</v>
      </c>
      <c r="E19" t="s">
        <v>12</v>
      </c>
      <c r="F19">
        <v>0</v>
      </c>
      <c r="G19">
        <v>0</v>
      </c>
      <c r="I19" s="23"/>
      <c r="J19" t="s">
        <v>94</v>
      </c>
      <c r="L19" s="3"/>
      <c r="N19" s="4"/>
    </row>
    <row r="20" spans="1:14">
      <c r="A20" s="1">
        <v>37</v>
      </c>
      <c r="B20" s="18" t="s">
        <v>38</v>
      </c>
      <c r="C20">
        <v>13</v>
      </c>
      <c r="D20" s="4">
        <v>3000</v>
      </c>
      <c r="E20" t="s">
        <v>12</v>
      </c>
      <c r="F20">
        <v>0</v>
      </c>
      <c r="G20">
        <v>0</v>
      </c>
      <c r="I20" s="23"/>
      <c r="L20" s="3"/>
      <c r="N20" s="4"/>
    </row>
    <row r="21" spans="1:14">
      <c r="A21" s="1">
        <v>38</v>
      </c>
      <c r="B21" s="18" t="s">
        <v>38</v>
      </c>
      <c r="C21">
        <v>12</v>
      </c>
      <c r="D21" s="4">
        <v>3000</v>
      </c>
      <c r="E21" t="s">
        <v>12</v>
      </c>
      <c r="F21">
        <v>0</v>
      </c>
      <c r="G21">
        <v>0</v>
      </c>
      <c r="I21" s="23"/>
      <c r="L21" s="3"/>
      <c r="N21" s="4"/>
    </row>
    <row r="22" spans="1:14">
      <c r="A22" s="1">
        <v>39</v>
      </c>
      <c r="B22" s="18" t="s">
        <v>38</v>
      </c>
      <c r="C22">
        <v>11</v>
      </c>
      <c r="D22" s="4">
        <v>3000</v>
      </c>
      <c r="E22" t="s">
        <v>12</v>
      </c>
      <c r="F22">
        <v>0</v>
      </c>
      <c r="G22">
        <v>0</v>
      </c>
      <c r="I22" s="23"/>
    </row>
    <row r="23" spans="1:14">
      <c r="A23" s="1">
        <v>40</v>
      </c>
      <c r="B23" s="18" t="s">
        <v>38</v>
      </c>
      <c r="C23">
        <v>10</v>
      </c>
      <c r="D23" s="4">
        <v>3000</v>
      </c>
      <c r="E23" t="s">
        <v>12</v>
      </c>
      <c r="F23">
        <v>0</v>
      </c>
      <c r="G23">
        <v>0</v>
      </c>
      <c r="I23" s="23"/>
    </row>
    <row r="24" spans="1:14">
      <c r="A24" s="1">
        <v>41</v>
      </c>
      <c r="B24" s="18" t="s">
        <v>38</v>
      </c>
      <c r="C24">
        <v>9</v>
      </c>
      <c r="D24" s="4">
        <v>3000</v>
      </c>
      <c r="E24" t="s">
        <v>12</v>
      </c>
      <c r="F24">
        <v>0</v>
      </c>
      <c r="G24">
        <v>0</v>
      </c>
    </row>
    <row r="25" spans="1:14">
      <c r="A25" s="1">
        <v>42</v>
      </c>
      <c r="B25" s="18" t="s">
        <v>38</v>
      </c>
      <c r="C25">
        <v>8</v>
      </c>
      <c r="D25" s="4">
        <v>3000</v>
      </c>
      <c r="E25" t="s">
        <v>12</v>
      </c>
      <c r="F25">
        <v>0</v>
      </c>
      <c r="G25">
        <v>0</v>
      </c>
    </row>
    <row r="26" spans="1:14">
      <c r="A26" s="1">
        <v>43</v>
      </c>
      <c r="B26" s="18" t="s">
        <v>38</v>
      </c>
      <c r="C26">
        <v>7</v>
      </c>
      <c r="D26" s="4">
        <v>3000</v>
      </c>
      <c r="E26" t="s">
        <v>12</v>
      </c>
      <c r="F26">
        <v>0</v>
      </c>
      <c r="G26">
        <v>0</v>
      </c>
    </row>
    <row r="27" spans="1:14">
      <c r="A27" s="1">
        <v>44</v>
      </c>
      <c r="B27" s="18" t="s">
        <v>38</v>
      </c>
      <c r="C27">
        <v>6</v>
      </c>
      <c r="D27" s="4">
        <v>3000</v>
      </c>
      <c r="E27" t="s">
        <v>12</v>
      </c>
      <c r="F27">
        <v>0</v>
      </c>
      <c r="G27">
        <v>0</v>
      </c>
    </row>
    <row r="28" spans="1:14">
      <c r="A28" s="1">
        <v>45</v>
      </c>
      <c r="B28" s="18" t="s">
        <v>38</v>
      </c>
      <c r="C28">
        <v>5</v>
      </c>
      <c r="D28" s="4">
        <v>3000</v>
      </c>
      <c r="E28" t="s">
        <v>12</v>
      </c>
      <c r="F28">
        <v>0</v>
      </c>
      <c r="G28">
        <v>0</v>
      </c>
    </row>
    <row r="29" spans="1:14">
      <c r="A29" s="1">
        <v>46</v>
      </c>
      <c r="B29" s="18" t="s">
        <v>38</v>
      </c>
      <c r="C29">
        <v>4</v>
      </c>
      <c r="D29" s="4">
        <v>3000</v>
      </c>
      <c r="E29" t="s">
        <v>12</v>
      </c>
      <c r="F29">
        <v>0</v>
      </c>
      <c r="G29">
        <v>0</v>
      </c>
    </row>
    <row r="30" spans="1:14">
      <c r="A30" s="1">
        <v>47</v>
      </c>
      <c r="B30" s="18" t="s">
        <v>38</v>
      </c>
      <c r="C30">
        <v>3</v>
      </c>
      <c r="D30" s="4">
        <v>3000</v>
      </c>
      <c r="E30" t="s">
        <v>12</v>
      </c>
      <c r="F30">
        <v>0</v>
      </c>
      <c r="G30">
        <v>0</v>
      </c>
    </row>
    <row r="31" spans="1:14">
      <c r="A31" s="1">
        <v>48</v>
      </c>
      <c r="B31" s="18" t="s">
        <v>38</v>
      </c>
      <c r="C31">
        <v>2</v>
      </c>
      <c r="D31" s="4">
        <v>3000</v>
      </c>
      <c r="E31" t="s">
        <v>12</v>
      </c>
      <c r="F31">
        <v>0</v>
      </c>
      <c r="G31">
        <v>0</v>
      </c>
    </row>
    <row r="32" spans="1:14">
      <c r="A32" s="1">
        <v>49</v>
      </c>
      <c r="B32" s="18" t="s">
        <v>38</v>
      </c>
      <c r="C32">
        <v>1</v>
      </c>
      <c r="D32" s="4">
        <v>3000</v>
      </c>
      <c r="E32" t="s">
        <v>12</v>
      </c>
      <c r="F32">
        <v>0</v>
      </c>
      <c r="G32">
        <v>0</v>
      </c>
    </row>
    <row r="33" spans="1:9">
      <c r="A33" s="1">
        <v>50</v>
      </c>
      <c r="B33" t="s">
        <v>39</v>
      </c>
      <c r="C33">
        <v>24</v>
      </c>
      <c r="D33" s="27">
        <v>3000</v>
      </c>
      <c r="E33" t="s">
        <v>12</v>
      </c>
      <c r="F33">
        <v>0</v>
      </c>
      <c r="G33">
        <v>0</v>
      </c>
      <c r="I33" s="23"/>
    </row>
    <row r="34" spans="1:9">
      <c r="A34" s="1">
        <v>51</v>
      </c>
      <c r="B34" t="s">
        <v>39</v>
      </c>
      <c r="C34">
        <v>22</v>
      </c>
      <c r="D34" s="27">
        <v>3000</v>
      </c>
      <c r="E34" t="s">
        <v>12</v>
      </c>
      <c r="F34">
        <v>0</v>
      </c>
      <c r="G34">
        <v>0</v>
      </c>
    </row>
    <row r="35" spans="1:9">
      <c r="A35" s="1">
        <v>52</v>
      </c>
      <c r="B35" t="s">
        <v>39</v>
      </c>
      <c r="C35">
        <v>20</v>
      </c>
      <c r="D35" s="27">
        <v>3000</v>
      </c>
      <c r="E35" t="s">
        <v>12</v>
      </c>
      <c r="F35">
        <v>0</v>
      </c>
      <c r="G35">
        <v>0</v>
      </c>
      <c r="I35" s="23"/>
    </row>
    <row r="36" spans="1:9">
      <c r="A36" s="1">
        <v>53</v>
      </c>
      <c r="B36" t="s">
        <v>39</v>
      </c>
      <c r="C36">
        <v>18</v>
      </c>
      <c r="D36" s="27">
        <v>3000</v>
      </c>
      <c r="E36" t="s">
        <v>12</v>
      </c>
      <c r="F36">
        <v>0</v>
      </c>
      <c r="G36">
        <v>0</v>
      </c>
      <c r="I36" s="23"/>
    </row>
    <row r="37" spans="1:9">
      <c r="A37" s="1">
        <v>54</v>
      </c>
      <c r="B37" t="s">
        <v>39</v>
      </c>
      <c r="C37">
        <v>16</v>
      </c>
      <c r="D37" s="27">
        <v>3000</v>
      </c>
      <c r="E37" t="s">
        <v>12</v>
      </c>
      <c r="F37">
        <v>0</v>
      </c>
      <c r="G37">
        <v>0</v>
      </c>
      <c r="I37" s="23"/>
    </row>
    <row r="38" spans="1:9">
      <c r="A38" s="1">
        <v>55</v>
      </c>
      <c r="B38" t="s">
        <v>39</v>
      </c>
      <c r="C38">
        <v>14</v>
      </c>
      <c r="D38" s="27">
        <v>3000</v>
      </c>
      <c r="E38" t="s">
        <v>12</v>
      </c>
      <c r="F38">
        <v>0</v>
      </c>
      <c r="G38">
        <v>0</v>
      </c>
      <c r="I38" s="23"/>
    </row>
    <row r="39" spans="1:9">
      <c r="A39" s="1">
        <v>56</v>
      </c>
      <c r="B39" t="s">
        <v>39</v>
      </c>
      <c r="C39">
        <v>10</v>
      </c>
      <c r="D39" s="27">
        <v>3000</v>
      </c>
      <c r="E39" t="s">
        <v>12</v>
      </c>
      <c r="F39">
        <v>0</v>
      </c>
      <c r="G39">
        <v>0</v>
      </c>
      <c r="I39" s="23"/>
    </row>
    <row r="40" spans="1:9">
      <c r="A40" s="1">
        <v>57</v>
      </c>
      <c r="B40" t="s">
        <v>39</v>
      </c>
      <c r="C40">
        <v>8</v>
      </c>
      <c r="D40" s="27">
        <v>3000</v>
      </c>
      <c r="E40" t="s">
        <v>12</v>
      </c>
      <c r="F40">
        <v>0</v>
      </c>
      <c r="G40">
        <v>0</v>
      </c>
      <c r="I40" s="23"/>
    </row>
    <row r="41" spans="1:9">
      <c r="A41" s="1">
        <v>58</v>
      </c>
      <c r="B41" t="s">
        <v>39</v>
      </c>
      <c r="C41">
        <v>6</v>
      </c>
      <c r="D41" s="27">
        <v>4000</v>
      </c>
      <c r="E41" t="s">
        <v>12</v>
      </c>
      <c r="F41">
        <v>0</v>
      </c>
      <c r="G41">
        <v>0</v>
      </c>
      <c r="I41" s="23"/>
    </row>
    <row r="42" spans="1:9">
      <c r="A42" s="1">
        <v>59</v>
      </c>
      <c r="B42" t="s">
        <v>39</v>
      </c>
      <c r="C42">
        <v>4</v>
      </c>
      <c r="D42" s="27">
        <v>3000</v>
      </c>
      <c r="E42" t="s">
        <v>12</v>
      </c>
      <c r="F42">
        <v>0</v>
      </c>
      <c r="G42">
        <v>0</v>
      </c>
    </row>
    <row r="43" spans="1:9">
      <c r="A43" s="1">
        <v>60</v>
      </c>
      <c r="B43" t="s">
        <v>39</v>
      </c>
      <c r="C43">
        <v>3</v>
      </c>
      <c r="D43" s="27">
        <v>3000</v>
      </c>
      <c r="E43" t="s">
        <v>12</v>
      </c>
      <c r="F43">
        <v>0</v>
      </c>
      <c r="G43">
        <v>0</v>
      </c>
    </row>
    <row r="44" spans="1:9">
      <c r="A44" s="1">
        <v>61</v>
      </c>
      <c r="B44" t="s">
        <v>39</v>
      </c>
      <c r="C44">
        <v>2</v>
      </c>
      <c r="D44" s="27">
        <v>3000</v>
      </c>
      <c r="E44" t="s">
        <v>12</v>
      </c>
      <c r="F44">
        <v>0</v>
      </c>
      <c r="G44">
        <v>0</v>
      </c>
    </row>
    <row r="45" spans="1:9">
      <c r="A45" s="1">
        <v>62</v>
      </c>
      <c r="B45" s="18" t="s">
        <v>91</v>
      </c>
      <c r="C45">
        <v>28</v>
      </c>
      <c r="D45" s="28">
        <v>1300</v>
      </c>
      <c r="E45" t="s">
        <v>12</v>
      </c>
      <c r="F45">
        <v>0</v>
      </c>
      <c r="G45">
        <v>0</v>
      </c>
    </row>
    <row r="46" spans="1:9">
      <c r="A46" s="1">
        <v>63</v>
      </c>
      <c r="B46" s="18" t="s">
        <v>91</v>
      </c>
      <c r="C46">
        <v>26</v>
      </c>
      <c r="D46" s="28">
        <v>1300</v>
      </c>
      <c r="E46" t="s">
        <v>12</v>
      </c>
      <c r="F46">
        <v>0</v>
      </c>
      <c r="G46">
        <v>0</v>
      </c>
    </row>
    <row r="47" spans="1:9">
      <c r="A47" s="1">
        <v>64</v>
      </c>
      <c r="B47" s="18" t="s">
        <v>91</v>
      </c>
      <c r="C47">
        <v>24</v>
      </c>
      <c r="D47" s="28">
        <v>1300</v>
      </c>
      <c r="E47" t="s">
        <v>12</v>
      </c>
      <c r="F47">
        <v>0</v>
      </c>
      <c r="G47">
        <v>0</v>
      </c>
    </row>
    <row r="48" spans="1:9">
      <c r="A48" s="1">
        <v>65</v>
      </c>
      <c r="B48" s="18" t="s">
        <v>91</v>
      </c>
      <c r="C48">
        <v>22</v>
      </c>
      <c r="D48" s="28">
        <v>1300</v>
      </c>
      <c r="E48" t="s">
        <v>12</v>
      </c>
      <c r="F48">
        <v>0</v>
      </c>
      <c r="G48">
        <v>0</v>
      </c>
    </row>
    <row r="49" spans="1:7">
      <c r="A49" s="1">
        <v>66</v>
      </c>
      <c r="B49" s="18" t="s">
        <v>91</v>
      </c>
      <c r="C49">
        <v>20</v>
      </c>
      <c r="D49" s="28">
        <v>1300</v>
      </c>
      <c r="E49" t="s">
        <v>12</v>
      </c>
      <c r="F49">
        <v>0</v>
      </c>
      <c r="G49">
        <v>0</v>
      </c>
    </row>
    <row r="50" spans="1:7">
      <c r="A50" s="1">
        <v>67</v>
      </c>
      <c r="B50" s="18" t="s">
        <v>91</v>
      </c>
      <c r="C50">
        <v>18</v>
      </c>
      <c r="D50" s="28">
        <v>1300</v>
      </c>
      <c r="E50" t="s">
        <v>12</v>
      </c>
      <c r="F50">
        <v>0</v>
      </c>
      <c r="G50">
        <v>0</v>
      </c>
    </row>
    <row r="51" spans="1:7">
      <c r="A51" s="1">
        <v>68</v>
      </c>
      <c r="B51" s="18" t="s">
        <v>91</v>
      </c>
      <c r="C51">
        <v>16</v>
      </c>
      <c r="D51" s="28">
        <v>1300</v>
      </c>
      <c r="E51" t="s">
        <v>12</v>
      </c>
      <c r="F51">
        <v>0</v>
      </c>
      <c r="G51">
        <v>0</v>
      </c>
    </row>
    <row r="52" spans="1:7">
      <c r="A52" s="1">
        <v>69</v>
      </c>
      <c r="B52" s="18" t="s">
        <v>91</v>
      </c>
      <c r="C52">
        <v>14</v>
      </c>
      <c r="D52" s="28">
        <v>1300</v>
      </c>
      <c r="E52" t="s">
        <v>12</v>
      </c>
      <c r="F52">
        <v>0</v>
      </c>
      <c r="G52">
        <v>0</v>
      </c>
    </row>
    <row r="53" spans="1:7">
      <c r="A53" s="1">
        <v>70</v>
      </c>
      <c r="B53" s="18" t="s">
        <v>91</v>
      </c>
      <c r="C53">
        <v>12</v>
      </c>
      <c r="D53" s="28">
        <v>1300</v>
      </c>
      <c r="E53" t="s">
        <v>12</v>
      </c>
      <c r="F53">
        <v>0</v>
      </c>
      <c r="G53">
        <v>0</v>
      </c>
    </row>
    <row r="54" spans="1:7">
      <c r="A54" s="1">
        <v>71</v>
      </c>
      <c r="B54" s="18" t="s">
        <v>91</v>
      </c>
      <c r="C54">
        <v>10</v>
      </c>
      <c r="D54" s="28">
        <v>1300</v>
      </c>
      <c r="E54" t="s">
        <v>12</v>
      </c>
      <c r="F54">
        <v>0</v>
      </c>
      <c r="G54">
        <v>0</v>
      </c>
    </row>
    <row r="55" spans="1:7">
      <c r="A55" s="1">
        <v>72</v>
      </c>
      <c r="B55" s="18" t="s">
        <v>91</v>
      </c>
      <c r="C55">
        <v>8</v>
      </c>
      <c r="D55" s="28">
        <v>1300</v>
      </c>
      <c r="E55" t="s">
        <v>12</v>
      </c>
      <c r="F55">
        <v>0</v>
      </c>
      <c r="G55">
        <v>0</v>
      </c>
    </row>
    <row r="56" spans="1:7">
      <c r="A56" s="1">
        <v>73</v>
      </c>
      <c r="B56" s="18" t="s">
        <v>91</v>
      </c>
      <c r="C56">
        <v>6</v>
      </c>
      <c r="D56" s="28">
        <v>1300</v>
      </c>
      <c r="E56" t="s">
        <v>12</v>
      </c>
      <c r="F56">
        <v>0</v>
      </c>
      <c r="G56">
        <v>0</v>
      </c>
    </row>
    <row r="57" spans="1:7">
      <c r="A57" s="1">
        <v>74</v>
      </c>
      <c r="B57" s="18" t="s">
        <v>91</v>
      </c>
      <c r="C57">
        <v>4</v>
      </c>
      <c r="D57" s="28">
        <v>1300</v>
      </c>
      <c r="E57" t="s">
        <v>12</v>
      </c>
      <c r="F57">
        <v>0</v>
      </c>
      <c r="G57">
        <v>0</v>
      </c>
    </row>
    <row r="58" spans="1:7">
      <c r="A58" s="1">
        <v>75</v>
      </c>
      <c r="B58" t="s">
        <v>11</v>
      </c>
      <c r="C58">
        <v>20</v>
      </c>
      <c r="D58" s="28">
        <v>900</v>
      </c>
      <c r="E58" t="s">
        <v>12</v>
      </c>
      <c r="F58">
        <v>0</v>
      </c>
      <c r="G58">
        <v>0</v>
      </c>
    </row>
    <row r="59" spans="1:7">
      <c r="A59" s="1">
        <v>76</v>
      </c>
      <c r="B59" t="s">
        <v>11</v>
      </c>
      <c r="C59">
        <v>15</v>
      </c>
      <c r="D59" s="28">
        <v>900</v>
      </c>
      <c r="E59" t="s">
        <v>12</v>
      </c>
      <c r="F59">
        <v>0</v>
      </c>
      <c r="G59">
        <v>0</v>
      </c>
    </row>
    <row r="60" spans="1:7">
      <c r="A60" s="1">
        <v>77</v>
      </c>
      <c r="B60" t="s">
        <v>11</v>
      </c>
      <c r="C60">
        <v>10</v>
      </c>
      <c r="D60" s="28">
        <v>900</v>
      </c>
      <c r="E60" t="s">
        <v>12</v>
      </c>
      <c r="F60">
        <v>0</v>
      </c>
      <c r="G60">
        <v>0</v>
      </c>
    </row>
    <row r="62" spans="1:7">
      <c r="A62" s="1">
        <v>75</v>
      </c>
      <c r="B62" s="18" t="s">
        <v>90</v>
      </c>
      <c r="C62">
        <v>1</v>
      </c>
      <c r="D62" s="28">
        <v>0.5</v>
      </c>
      <c r="E62" t="s">
        <v>12</v>
      </c>
      <c r="F62">
        <v>0</v>
      </c>
      <c r="G62">
        <v>0.9</v>
      </c>
    </row>
    <row r="63" spans="1:7">
      <c r="A63" s="1">
        <v>76</v>
      </c>
      <c r="B63" t="s">
        <v>35</v>
      </c>
      <c r="C63">
        <v>1</v>
      </c>
      <c r="D63" s="28">
        <v>0.5</v>
      </c>
      <c r="E63" t="s">
        <v>12</v>
      </c>
      <c r="F63">
        <v>0</v>
      </c>
      <c r="G63">
        <v>0</v>
      </c>
    </row>
  </sheetData>
  <pageMargins left="0.7" right="0.7" top="0.75" bottom="0.75" header="0.3" footer="0.3"/>
  <pageSetup orientation="portrait" horizontalDpi="1200" verticalDpi="12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C36D9-AAB2-484A-A610-206E9EAD9091}">
  <sheetPr>
    <tabColor rgb="FFFFFF00"/>
  </sheetPr>
  <dimension ref="A1:N67"/>
  <sheetViews>
    <sheetView showRuler="0" topLeftCell="A42" zoomScale="98" zoomScaleNormal="98" workbookViewId="0">
      <selection activeCell="B66" sqref="B66"/>
    </sheetView>
  </sheetViews>
  <sheetFormatPr defaultRowHeight="15"/>
  <cols>
    <col min="2" max="2" width="35.85546875" customWidth="1"/>
    <col min="7" max="7" width="13.85546875" customWidth="1"/>
    <col min="10" max="10" width="28.85546875" bestFit="1" customWidth="1"/>
    <col min="11" max="11" width="16.5703125" bestFit="1" customWidth="1"/>
    <col min="12" max="12" width="15.140625" bestFit="1" customWidth="1"/>
    <col min="15" max="15" width="19" bestFit="1" customWidth="1"/>
    <col min="16" max="16" width="19.28515625" bestFit="1" customWidth="1"/>
    <col min="17" max="17" width="20.85546875" bestFit="1" customWidth="1"/>
  </cols>
  <sheetData>
    <row r="1" spans="1:12">
      <c r="A1" t="s">
        <v>17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8</v>
      </c>
      <c r="G1" s="1" t="s">
        <v>9</v>
      </c>
    </row>
    <row r="2" spans="1:12">
      <c r="A2" s="1">
        <v>23</v>
      </c>
      <c r="B2" t="s">
        <v>40</v>
      </c>
      <c r="C2">
        <v>20</v>
      </c>
      <c r="D2" s="4">
        <v>2400</v>
      </c>
      <c r="E2" t="s">
        <v>12</v>
      </c>
      <c r="F2">
        <v>0</v>
      </c>
      <c r="G2">
        <v>0</v>
      </c>
      <c r="J2" t="s">
        <v>95</v>
      </c>
    </row>
    <row r="3" spans="1:12">
      <c r="A3" s="1">
        <v>24</v>
      </c>
      <c r="B3" t="s">
        <v>40</v>
      </c>
      <c r="C3">
        <v>16</v>
      </c>
      <c r="D3" s="4">
        <v>2400</v>
      </c>
      <c r="E3" t="s">
        <v>12</v>
      </c>
      <c r="F3">
        <v>0</v>
      </c>
      <c r="G3">
        <v>0</v>
      </c>
      <c r="J3" t="s">
        <v>96</v>
      </c>
    </row>
    <row r="4" spans="1:12">
      <c r="A4" s="1">
        <v>25</v>
      </c>
      <c r="B4" t="s">
        <v>40</v>
      </c>
      <c r="C4">
        <v>12</v>
      </c>
      <c r="D4" s="4">
        <v>2400</v>
      </c>
      <c r="E4" t="s">
        <v>12</v>
      </c>
      <c r="F4">
        <v>0</v>
      </c>
      <c r="G4">
        <v>0</v>
      </c>
      <c r="K4" s="2" t="s">
        <v>20</v>
      </c>
      <c r="L4" t="s">
        <v>21</v>
      </c>
    </row>
    <row r="5" spans="1:12">
      <c r="A5" s="1">
        <v>26</v>
      </c>
      <c r="B5" t="s">
        <v>40</v>
      </c>
      <c r="C5">
        <v>7</v>
      </c>
      <c r="D5" s="4">
        <v>2400</v>
      </c>
      <c r="E5" t="s">
        <v>12</v>
      </c>
      <c r="F5">
        <v>0</v>
      </c>
      <c r="G5">
        <v>0</v>
      </c>
      <c r="K5" s="3" t="s">
        <v>91</v>
      </c>
      <c r="L5">
        <v>13000</v>
      </c>
    </row>
    <row r="6" spans="1:12">
      <c r="A6" s="1">
        <v>27</v>
      </c>
      <c r="B6" t="s">
        <v>40</v>
      </c>
      <c r="C6">
        <v>2</v>
      </c>
      <c r="D6" s="4">
        <v>2400</v>
      </c>
      <c r="E6" t="s">
        <v>12</v>
      </c>
      <c r="F6">
        <v>0</v>
      </c>
      <c r="G6">
        <v>0</v>
      </c>
      <c r="K6" s="3" t="s">
        <v>29</v>
      </c>
      <c r="L6">
        <v>3700</v>
      </c>
    </row>
    <row r="7" spans="1:12">
      <c r="A7" s="1">
        <v>28</v>
      </c>
      <c r="B7" s="18" t="s">
        <v>38</v>
      </c>
      <c r="C7">
        <v>24</v>
      </c>
      <c r="D7" s="4">
        <v>1000</v>
      </c>
      <c r="E7" t="s">
        <v>12</v>
      </c>
      <c r="F7">
        <v>0</v>
      </c>
      <c r="G7">
        <v>0</v>
      </c>
      <c r="I7" s="23"/>
      <c r="K7" s="3" t="s">
        <v>11</v>
      </c>
      <c r="L7">
        <v>2700</v>
      </c>
    </row>
    <row r="8" spans="1:12" ht="16.149999999999999" customHeight="1">
      <c r="A8" s="1">
        <v>29</v>
      </c>
      <c r="B8" s="18" t="s">
        <v>38</v>
      </c>
      <c r="C8">
        <v>23</v>
      </c>
      <c r="D8" s="4">
        <v>2500</v>
      </c>
      <c r="E8" t="s">
        <v>12</v>
      </c>
      <c r="F8">
        <v>0</v>
      </c>
      <c r="G8">
        <v>0</v>
      </c>
      <c r="I8" s="23"/>
      <c r="K8" s="3" t="s">
        <v>38</v>
      </c>
      <c r="L8">
        <v>60000</v>
      </c>
    </row>
    <row r="9" spans="1:12" ht="16.149999999999999" customHeight="1">
      <c r="A9" s="1">
        <v>30</v>
      </c>
      <c r="B9" s="18" t="s">
        <v>38</v>
      </c>
      <c r="C9" s="19">
        <v>21</v>
      </c>
      <c r="D9" s="4">
        <v>2500</v>
      </c>
      <c r="E9" s="19" t="s">
        <v>12</v>
      </c>
      <c r="F9" s="19">
        <v>0</v>
      </c>
      <c r="G9" s="19">
        <v>0</v>
      </c>
      <c r="I9" s="23"/>
      <c r="K9" s="3" t="s">
        <v>39</v>
      </c>
      <c r="L9">
        <v>37000</v>
      </c>
    </row>
    <row r="10" spans="1:12" ht="16.149999999999999" customHeight="1">
      <c r="A10" s="1">
        <v>31</v>
      </c>
      <c r="B10" s="18" t="s">
        <v>38</v>
      </c>
      <c r="C10">
        <v>19</v>
      </c>
      <c r="D10" s="4">
        <v>2500</v>
      </c>
      <c r="E10" t="s">
        <v>12</v>
      </c>
      <c r="F10">
        <v>0</v>
      </c>
      <c r="G10">
        <v>0</v>
      </c>
      <c r="I10" s="23"/>
      <c r="K10" s="3" t="s">
        <v>40</v>
      </c>
      <c r="L10">
        <v>12000</v>
      </c>
    </row>
    <row r="11" spans="1:12" ht="16.149999999999999" customHeight="1">
      <c r="A11" s="1">
        <v>32</v>
      </c>
      <c r="B11" s="18" t="s">
        <v>38</v>
      </c>
      <c r="C11">
        <v>18</v>
      </c>
      <c r="D11" s="4">
        <v>2500</v>
      </c>
      <c r="E11" t="s">
        <v>12</v>
      </c>
      <c r="F11">
        <v>0</v>
      </c>
      <c r="G11">
        <v>0</v>
      </c>
      <c r="I11" s="23"/>
      <c r="K11" s="3" t="s">
        <v>32</v>
      </c>
      <c r="L11">
        <v>128400</v>
      </c>
    </row>
    <row r="12" spans="1:12" ht="16.149999999999999" customHeight="1">
      <c r="A12" s="1">
        <v>33</v>
      </c>
      <c r="B12" s="18" t="s">
        <v>38</v>
      </c>
      <c r="C12">
        <v>17</v>
      </c>
      <c r="D12" s="4">
        <v>2500</v>
      </c>
      <c r="E12" t="s">
        <v>12</v>
      </c>
      <c r="F12">
        <v>0</v>
      </c>
      <c r="G12">
        <v>0</v>
      </c>
      <c r="I12" s="23"/>
    </row>
    <row r="13" spans="1:12" ht="16.149999999999999" customHeight="1">
      <c r="A13" s="1">
        <v>34</v>
      </c>
      <c r="B13" s="18" t="s">
        <v>38</v>
      </c>
      <c r="C13">
        <v>16</v>
      </c>
      <c r="D13" s="4">
        <v>2500</v>
      </c>
      <c r="E13" t="s">
        <v>12</v>
      </c>
      <c r="F13">
        <v>0</v>
      </c>
      <c r="G13">
        <v>0</v>
      </c>
      <c r="I13" s="23"/>
    </row>
    <row r="14" spans="1:12" ht="16.149999999999999" customHeight="1">
      <c r="A14" s="1">
        <v>35</v>
      </c>
      <c r="B14" s="18" t="s">
        <v>38</v>
      </c>
      <c r="C14">
        <v>15</v>
      </c>
      <c r="D14" s="4">
        <v>2500</v>
      </c>
      <c r="E14" t="s">
        <v>12</v>
      </c>
      <c r="F14">
        <v>0</v>
      </c>
      <c r="G14">
        <v>0</v>
      </c>
      <c r="I14" s="23"/>
    </row>
    <row r="15" spans="1:12" ht="16.149999999999999" customHeight="1">
      <c r="A15" s="1">
        <v>36</v>
      </c>
      <c r="B15" s="18" t="s">
        <v>38</v>
      </c>
      <c r="C15">
        <v>14</v>
      </c>
      <c r="D15" s="4">
        <v>2500</v>
      </c>
      <c r="E15" t="s">
        <v>12</v>
      </c>
      <c r="F15">
        <v>0</v>
      </c>
      <c r="G15">
        <v>0</v>
      </c>
      <c r="I15" s="23"/>
      <c r="K15" s="3"/>
    </row>
    <row r="16" spans="1:12">
      <c r="A16" s="1">
        <v>37</v>
      </c>
      <c r="B16" s="18" t="s">
        <v>38</v>
      </c>
      <c r="C16">
        <v>13</v>
      </c>
      <c r="D16" s="4">
        <v>3000</v>
      </c>
      <c r="E16" t="s">
        <v>12</v>
      </c>
      <c r="F16">
        <v>0</v>
      </c>
      <c r="G16">
        <v>0</v>
      </c>
      <c r="I16" s="23"/>
      <c r="K16" s="3"/>
    </row>
    <row r="17" spans="1:14" ht="13.9" customHeight="1">
      <c r="A17" s="1">
        <v>38</v>
      </c>
      <c r="B17" s="18" t="s">
        <v>38</v>
      </c>
      <c r="C17">
        <v>12</v>
      </c>
      <c r="D17" s="4">
        <v>3000</v>
      </c>
      <c r="E17" t="s">
        <v>12</v>
      </c>
      <c r="F17">
        <v>0</v>
      </c>
      <c r="G17">
        <v>0</v>
      </c>
      <c r="I17" s="23"/>
      <c r="K17" s="3"/>
    </row>
    <row r="18" spans="1:14">
      <c r="A18" s="1">
        <v>39</v>
      </c>
      <c r="B18" s="18" t="s">
        <v>38</v>
      </c>
      <c r="C18">
        <v>11</v>
      </c>
      <c r="D18" s="4">
        <v>3000</v>
      </c>
      <c r="E18" t="s">
        <v>12</v>
      </c>
      <c r="F18">
        <v>0</v>
      </c>
      <c r="G18">
        <v>0</v>
      </c>
      <c r="I18" s="23"/>
      <c r="K18" s="3"/>
      <c r="N18" s="4"/>
    </row>
    <row r="19" spans="1:14">
      <c r="A19" s="1">
        <v>40</v>
      </c>
      <c r="B19" s="18" t="s">
        <v>38</v>
      </c>
      <c r="C19">
        <v>10</v>
      </c>
      <c r="D19" s="4">
        <v>3000</v>
      </c>
      <c r="E19" t="s">
        <v>12</v>
      </c>
      <c r="F19">
        <v>0</v>
      </c>
      <c r="G19">
        <v>0</v>
      </c>
      <c r="I19" s="23"/>
      <c r="K19" s="3"/>
      <c r="N19" s="4"/>
    </row>
    <row r="20" spans="1:14">
      <c r="A20" s="1">
        <v>41</v>
      </c>
      <c r="B20" s="18" t="s">
        <v>38</v>
      </c>
      <c r="C20">
        <v>9</v>
      </c>
      <c r="D20" s="4">
        <v>3000</v>
      </c>
      <c r="E20" t="s">
        <v>12</v>
      </c>
      <c r="F20">
        <v>0</v>
      </c>
      <c r="G20">
        <v>0</v>
      </c>
      <c r="I20" s="23"/>
      <c r="K20" s="3"/>
      <c r="N20" s="4"/>
    </row>
    <row r="21" spans="1:14">
      <c r="A21" s="1">
        <v>42</v>
      </c>
      <c r="B21" s="18" t="s">
        <v>38</v>
      </c>
      <c r="C21">
        <v>8</v>
      </c>
      <c r="D21" s="4">
        <v>3000</v>
      </c>
      <c r="E21" t="s">
        <v>12</v>
      </c>
      <c r="F21">
        <v>0</v>
      </c>
      <c r="G21">
        <v>0</v>
      </c>
      <c r="I21" s="23"/>
      <c r="K21" s="3"/>
      <c r="N21" s="4"/>
    </row>
    <row r="22" spans="1:14">
      <c r="A22" s="1">
        <v>43</v>
      </c>
      <c r="B22" s="18" t="s">
        <v>38</v>
      </c>
      <c r="C22">
        <v>7</v>
      </c>
      <c r="D22" s="4">
        <v>3000</v>
      </c>
      <c r="E22" t="s">
        <v>12</v>
      </c>
      <c r="F22">
        <v>0</v>
      </c>
      <c r="G22">
        <v>0</v>
      </c>
      <c r="I22" s="23"/>
    </row>
    <row r="23" spans="1:14">
      <c r="A23" s="1">
        <v>44</v>
      </c>
      <c r="B23" s="18" t="s">
        <v>38</v>
      </c>
      <c r="C23">
        <v>6</v>
      </c>
      <c r="D23" s="4">
        <v>3000</v>
      </c>
      <c r="E23" t="s">
        <v>12</v>
      </c>
      <c r="F23">
        <v>0</v>
      </c>
      <c r="G23">
        <v>0</v>
      </c>
      <c r="I23" s="23"/>
    </row>
    <row r="24" spans="1:14">
      <c r="A24" s="1">
        <v>45</v>
      </c>
      <c r="B24" s="18" t="s">
        <v>38</v>
      </c>
      <c r="C24">
        <v>5</v>
      </c>
      <c r="D24" s="4">
        <v>3000</v>
      </c>
      <c r="E24" t="s">
        <v>12</v>
      </c>
      <c r="F24">
        <v>0</v>
      </c>
      <c r="G24">
        <v>0</v>
      </c>
    </row>
    <row r="25" spans="1:14">
      <c r="A25" s="1">
        <v>46</v>
      </c>
      <c r="B25" s="18" t="s">
        <v>38</v>
      </c>
      <c r="C25">
        <v>4</v>
      </c>
      <c r="D25" s="4">
        <v>3000</v>
      </c>
      <c r="E25" t="s">
        <v>12</v>
      </c>
      <c r="F25">
        <v>0</v>
      </c>
      <c r="G25">
        <v>0</v>
      </c>
    </row>
    <row r="26" spans="1:14">
      <c r="A26" s="1">
        <v>47</v>
      </c>
      <c r="B26" s="18" t="s">
        <v>38</v>
      </c>
      <c r="C26">
        <v>3</v>
      </c>
      <c r="D26" s="4">
        <v>3000</v>
      </c>
      <c r="E26" t="s">
        <v>12</v>
      </c>
      <c r="F26">
        <v>0</v>
      </c>
      <c r="G26">
        <v>0</v>
      </c>
    </row>
    <row r="27" spans="1:14">
      <c r="A27" s="1">
        <v>48</v>
      </c>
      <c r="B27" s="18" t="s">
        <v>38</v>
      </c>
      <c r="C27">
        <v>2</v>
      </c>
      <c r="D27" s="4">
        <v>3000</v>
      </c>
      <c r="E27" t="s">
        <v>12</v>
      </c>
      <c r="F27">
        <v>0</v>
      </c>
      <c r="G27">
        <v>0</v>
      </c>
    </row>
    <row r="28" spans="1:14">
      <c r="A28" s="1">
        <v>49</v>
      </c>
      <c r="B28" s="18" t="s">
        <v>38</v>
      </c>
      <c r="C28" s="19">
        <v>1</v>
      </c>
      <c r="D28" s="4">
        <v>3000</v>
      </c>
      <c r="E28" s="19" t="s">
        <v>12</v>
      </c>
      <c r="F28" s="19">
        <v>0</v>
      </c>
      <c r="G28" s="19">
        <v>0</v>
      </c>
    </row>
    <row r="29" spans="1:14">
      <c r="A29" s="1">
        <v>50</v>
      </c>
      <c r="B29" t="s">
        <v>39</v>
      </c>
      <c r="C29">
        <v>24</v>
      </c>
      <c r="D29" s="27">
        <v>3000</v>
      </c>
      <c r="E29" t="s">
        <v>12</v>
      </c>
      <c r="F29">
        <v>0</v>
      </c>
      <c r="G29">
        <v>0</v>
      </c>
    </row>
    <row r="30" spans="1:14">
      <c r="A30" s="1">
        <v>51</v>
      </c>
      <c r="B30" t="s">
        <v>39</v>
      </c>
      <c r="C30">
        <v>22</v>
      </c>
      <c r="D30" s="27">
        <v>3000</v>
      </c>
      <c r="E30" t="s">
        <v>12</v>
      </c>
      <c r="F30">
        <v>0</v>
      </c>
      <c r="G30">
        <v>0</v>
      </c>
    </row>
    <row r="31" spans="1:14">
      <c r="A31" s="1">
        <v>52</v>
      </c>
      <c r="B31" t="s">
        <v>39</v>
      </c>
      <c r="C31">
        <v>20</v>
      </c>
      <c r="D31" s="27">
        <v>3000</v>
      </c>
      <c r="E31" t="s">
        <v>12</v>
      </c>
      <c r="F31">
        <v>0</v>
      </c>
      <c r="G31">
        <v>0</v>
      </c>
    </row>
    <row r="32" spans="1:14">
      <c r="A32" s="1">
        <v>53</v>
      </c>
      <c r="B32" t="s">
        <v>39</v>
      </c>
      <c r="C32">
        <v>18</v>
      </c>
      <c r="D32" s="27">
        <v>3000</v>
      </c>
      <c r="E32" t="s">
        <v>12</v>
      </c>
      <c r="F32">
        <v>0</v>
      </c>
      <c r="G32">
        <v>0</v>
      </c>
    </row>
    <row r="33" spans="1:9">
      <c r="A33" s="1">
        <v>54</v>
      </c>
      <c r="B33" t="s">
        <v>39</v>
      </c>
      <c r="C33">
        <v>16</v>
      </c>
      <c r="D33" s="27">
        <v>3000</v>
      </c>
      <c r="E33" t="s">
        <v>12</v>
      </c>
      <c r="F33">
        <v>0</v>
      </c>
      <c r="G33">
        <v>0</v>
      </c>
      <c r="I33" s="23"/>
    </row>
    <row r="34" spans="1:9">
      <c r="A34" s="1">
        <v>55</v>
      </c>
      <c r="B34" t="s">
        <v>39</v>
      </c>
      <c r="C34">
        <v>14</v>
      </c>
      <c r="D34" s="27">
        <v>3000</v>
      </c>
      <c r="E34" t="s">
        <v>12</v>
      </c>
      <c r="F34">
        <v>0</v>
      </c>
      <c r="G34">
        <v>0</v>
      </c>
    </row>
    <row r="35" spans="1:9">
      <c r="A35" s="1">
        <v>56</v>
      </c>
      <c r="B35" t="s">
        <v>39</v>
      </c>
      <c r="C35">
        <v>10</v>
      </c>
      <c r="D35" s="27">
        <v>3000</v>
      </c>
      <c r="E35" t="s">
        <v>12</v>
      </c>
      <c r="F35">
        <v>0</v>
      </c>
      <c r="G35">
        <v>0</v>
      </c>
      <c r="I35" s="23"/>
    </row>
    <row r="36" spans="1:9">
      <c r="A36" s="1">
        <v>57</v>
      </c>
      <c r="B36" t="s">
        <v>39</v>
      </c>
      <c r="C36">
        <v>8</v>
      </c>
      <c r="D36" s="30">
        <v>3000</v>
      </c>
      <c r="E36" s="19" t="s">
        <v>12</v>
      </c>
      <c r="F36" s="19">
        <v>0</v>
      </c>
      <c r="G36" s="19">
        <v>0</v>
      </c>
      <c r="I36" s="23"/>
    </row>
    <row r="37" spans="1:9">
      <c r="A37" s="1">
        <v>58</v>
      </c>
      <c r="B37" t="s">
        <v>39</v>
      </c>
      <c r="C37" s="19">
        <v>6</v>
      </c>
      <c r="D37" s="30">
        <v>4000</v>
      </c>
      <c r="E37" s="19" t="s">
        <v>12</v>
      </c>
      <c r="F37" s="19">
        <v>0</v>
      </c>
      <c r="G37" s="19">
        <v>0</v>
      </c>
      <c r="I37" s="23"/>
    </row>
    <row r="38" spans="1:9">
      <c r="A38" s="1">
        <v>59</v>
      </c>
      <c r="B38" t="s">
        <v>39</v>
      </c>
      <c r="C38" s="19">
        <v>4</v>
      </c>
      <c r="D38" s="30">
        <v>3000</v>
      </c>
      <c r="E38" s="19" t="s">
        <v>12</v>
      </c>
      <c r="F38" s="19">
        <v>0</v>
      </c>
      <c r="G38" s="19">
        <v>0</v>
      </c>
      <c r="I38" s="23"/>
    </row>
    <row r="39" spans="1:9">
      <c r="A39" s="1">
        <v>60</v>
      </c>
      <c r="B39" t="s">
        <v>39</v>
      </c>
      <c r="C39" s="19">
        <v>3</v>
      </c>
      <c r="D39" s="30">
        <v>3000</v>
      </c>
      <c r="E39" s="19" t="s">
        <v>12</v>
      </c>
      <c r="F39" s="19">
        <v>0</v>
      </c>
      <c r="G39" s="19">
        <v>0</v>
      </c>
      <c r="I39" s="23"/>
    </row>
    <row r="40" spans="1:9">
      <c r="A40" s="1">
        <v>61</v>
      </c>
      <c r="B40" t="s">
        <v>39</v>
      </c>
      <c r="C40">
        <v>2</v>
      </c>
      <c r="D40" s="27">
        <v>3000</v>
      </c>
      <c r="E40" t="s">
        <v>12</v>
      </c>
      <c r="F40">
        <v>0</v>
      </c>
      <c r="G40">
        <v>0</v>
      </c>
      <c r="I40" s="23"/>
    </row>
    <row r="41" spans="1:9">
      <c r="A41" s="1">
        <v>62</v>
      </c>
      <c r="B41" s="18" t="s">
        <v>91</v>
      </c>
      <c r="C41">
        <v>28</v>
      </c>
      <c r="D41" s="28">
        <v>1000</v>
      </c>
      <c r="E41" t="s">
        <v>12</v>
      </c>
      <c r="F41">
        <v>0</v>
      </c>
      <c r="G41">
        <v>0</v>
      </c>
      <c r="I41" s="23"/>
    </row>
    <row r="42" spans="1:9">
      <c r="A42" s="1">
        <v>63</v>
      </c>
      <c r="B42" s="18" t="s">
        <v>91</v>
      </c>
      <c r="C42">
        <v>26</v>
      </c>
      <c r="D42" s="28">
        <v>1000</v>
      </c>
      <c r="E42" t="s">
        <v>12</v>
      </c>
      <c r="F42">
        <v>0</v>
      </c>
      <c r="G42">
        <v>0</v>
      </c>
    </row>
    <row r="43" spans="1:9">
      <c r="A43" s="1">
        <v>64</v>
      </c>
      <c r="B43" s="18" t="s">
        <v>91</v>
      </c>
      <c r="C43">
        <v>24</v>
      </c>
      <c r="D43" s="28">
        <v>1000</v>
      </c>
      <c r="E43" t="s">
        <v>12</v>
      </c>
      <c r="F43">
        <v>0</v>
      </c>
      <c r="G43">
        <v>0</v>
      </c>
    </row>
    <row r="44" spans="1:9">
      <c r="A44" s="1">
        <v>65</v>
      </c>
      <c r="B44" s="18" t="s">
        <v>91</v>
      </c>
      <c r="C44">
        <v>22</v>
      </c>
      <c r="D44" s="28">
        <v>1000</v>
      </c>
      <c r="E44" t="s">
        <v>12</v>
      </c>
      <c r="F44">
        <v>0</v>
      </c>
      <c r="G44">
        <v>0</v>
      </c>
    </row>
    <row r="45" spans="1:9">
      <c r="A45" s="1">
        <v>66</v>
      </c>
      <c r="B45" s="18" t="s">
        <v>91</v>
      </c>
      <c r="C45">
        <v>20</v>
      </c>
      <c r="D45" s="28">
        <v>1000</v>
      </c>
      <c r="E45" t="s">
        <v>12</v>
      </c>
      <c r="F45">
        <v>0</v>
      </c>
      <c r="G45">
        <v>0</v>
      </c>
    </row>
    <row r="46" spans="1:9">
      <c r="A46" s="1">
        <v>67</v>
      </c>
      <c r="B46" s="18" t="s">
        <v>91</v>
      </c>
      <c r="C46">
        <v>18</v>
      </c>
      <c r="D46" s="28">
        <v>1000</v>
      </c>
      <c r="E46" t="s">
        <v>12</v>
      </c>
      <c r="F46">
        <v>0</v>
      </c>
      <c r="G46">
        <v>0</v>
      </c>
    </row>
    <row r="47" spans="1:9">
      <c r="A47" s="1">
        <v>68</v>
      </c>
      <c r="B47" s="18" t="s">
        <v>91</v>
      </c>
      <c r="C47">
        <v>16</v>
      </c>
      <c r="D47" s="28">
        <v>1000</v>
      </c>
      <c r="E47" t="s">
        <v>12</v>
      </c>
      <c r="F47">
        <v>0</v>
      </c>
      <c r="G47">
        <v>0</v>
      </c>
    </row>
    <row r="48" spans="1:9">
      <c r="A48" s="1">
        <v>69</v>
      </c>
      <c r="B48" s="18" t="s">
        <v>91</v>
      </c>
      <c r="C48">
        <v>14</v>
      </c>
      <c r="D48" s="28">
        <v>1000</v>
      </c>
      <c r="E48" t="s">
        <v>12</v>
      </c>
      <c r="F48">
        <v>0</v>
      </c>
      <c r="G48">
        <v>0</v>
      </c>
    </row>
    <row r="49" spans="1:7">
      <c r="A49" s="1">
        <v>70</v>
      </c>
      <c r="B49" s="18" t="s">
        <v>91</v>
      </c>
      <c r="C49">
        <v>12</v>
      </c>
      <c r="D49" s="28">
        <v>1000</v>
      </c>
      <c r="E49" t="s">
        <v>12</v>
      </c>
      <c r="F49">
        <v>0</v>
      </c>
      <c r="G49">
        <v>0</v>
      </c>
    </row>
    <row r="50" spans="1:7">
      <c r="A50" s="1">
        <v>71</v>
      </c>
      <c r="B50" s="18" t="s">
        <v>91</v>
      </c>
      <c r="C50">
        <v>10</v>
      </c>
      <c r="D50" s="28">
        <v>1000</v>
      </c>
      <c r="E50" t="s">
        <v>12</v>
      </c>
      <c r="F50">
        <v>0</v>
      </c>
      <c r="G50">
        <v>0</v>
      </c>
    </row>
    <row r="51" spans="1:7">
      <c r="A51" s="1">
        <v>72</v>
      </c>
      <c r="B51" s="18" t="s">
        <v>91</v>
      </c>
      <c r="C51">
        <v>8</v>
      </c>
      <c r="D51" s="28">
        <v>1000</v>
      </c>
      <c r="E51" t="s">
        <v>12</v>
      </c>
      <c r="F51">
        <v>0</v>
      </c>
      <c r="G51">
        <v>0</v>
      </c>
    </row>
    <row r="52" spans="1:7">
      <c r="A52" s="1">
        <v>73</v>
      </c>
      <c r="B52" s="18" t="s">
        <v>91</v>
      </c>
      <c r="C52">
        <v>6</v>
      </c>
      <c r="D52" s="28">
        <v>1000</v>
      </c>
      <c r="E52" t="s">
        <v>12</v>
      </c>
      <c r="F52">
        <v>0</v>
      </c>
      <c r="G52">
        <v>0</v>
      </c>
    </row>
    <row r="53" spans="1:7">
      <c r="A53" s="1">
        <v>74</v>
      </c>
      <c r="B53" s="18" t="s">
        <v>91</v>
      </c>
      <c r="C53">
        <v>4</v>
      </c>
      <c r="D53" s="28">
        <v>1000</v>
      </c>
      <c r="E53" t="s">
        <v>12</v>
      </c>
      <c r="F53">
        <v>0</v>
      </c>
      <c r="G53">
        <v>0</v>
      </c>
    </row>
    <row r="59" spans="1:7">
      <c r="A59" s="1">
        <v>75</v>
      </c>
      <c r="B59" t="s">
        <v>11</v>
      </c>
      <c r="C59">
        <v>20</v>
      </c>
      <c r="D59" s="28">
        <v>900</v>
      </c>
      <c r="E59" t="s">
        <v>12</v>
      </c>
      <c r="F59">
        <v>0</v>
      </c>
      <c r="G59">
        <v>0</v>
      </c>
    </row>
    <row r="60" spans="1:7">
      <c r="A60" s="1">
        <v>76</v>
      </c>
      <c r="B60" t="s">
        <v>11</v>
      </c>
      <c r="C60">
        <v>15</v>
      </c>
      <c r="D60" s="28">
        <v>900</v>
      </c>
      <c r="E60" t="s">
        <v>12</v>
      </c>
      <c r="F60">
        <v>0</v>
      </c>
      <c r="G60">
        <v>0</v>
      </c>
    </row>
    <row r="61" spans="1:7">
      <c r="A61" s="1">
        <v>77</v>
      </c>
      <c r="B61" t="s">
        <v>11</v>
      </c>
      <c r="C61">
        <v>10</v>
      </c>
      <c r="D61" s="28">
        <v>900</v>
      </c>
      <c r="E61" t="s">
        <v>12</v>
      </c>
      <c r="F61">
        <v>0</v>
      </c>
      <c r="G61">
        <v>0</v>
      </c>
    </row>
    <row r="62" spans="1:7">
      <c r="A62" s="1">
        <v>19</v>
      </c>
      <c r="B62" s="3" t="s">
        <v>29</v>
      </c>
      <c r="C62">
        <v>4</v>
      </c>
      <c r="D62" s="4">
        <v>1000</v>
      </c>
      <c r="E62" t="s">
        <v>12</v>
      </c>
      <c r="F62">
        <v>0</v>
      </c>
      <c r="G62">
        <v>0</v>
      </c>
    </row>
    <row r="63" spans="1:7">
      <c r="A63" s="1">
        <v>20</v>
      </c>
      <c r="B63" s="3" t="s">
        <v>29</v>
      </c>
      <c r="C63">
        <v>4</v>
      </c>
      <c r="D63" s="4">
        <v>1000</v>
      </c>
      <c r="E63" t="s">
        <v>12</v>
      </c>
      <c r="F63">
        <v>0</v>
      </c>
      <c r="G63">
        <v>0</v>
      </c>
    </row>
    <row r="64" spans="1:7">
      <c r="A64" s="1">
        <v>21</v>
      </c>
      <c r="B64" s="3" t="s">
        <v>29</v>
      </c>
      <c r="C64">
        <v>4</v>
      </c>
      <c r="D64" s="4">
        <v>1000</v>
      </c>
      <c r="E64" t="s">
        <v>12</v>
      </c>
      <c r="F64">
        <v>0</v>
      </c>
      <c r="G64">
        <v>0</v>
      </c>
    </row>
    <row r="65" spans="1:7">
      <c r="A65" s="1">
        <v>22</v>
      </c>
      <c r="B65" s="3" t="s">
        <v>29</v>
      </c>
      <c r="C65">
        <v>4</v>
      </c>
      <c r="D65" s="4">
        <v>700</v>
      </c>
      <c r="E65" t="s">
        <v>12</v>
      </c>
      <c r="F65">
        <v>0</v>
      </c>
      <c r="G65">
        <v>0</v>
      </c>
    </row>
    <row r="66" spans="1:7">
      <c r="A66" s="1">
        <v>75</v>
      </c>
      <c r="B66" s="18" t="s">
        <v>90</v>
      </c>
      <c r="C66">
        <v>1</v>
      </c>
      <c r="D66" s="28">
        <v>0.5</v>
      </c>
      <c r="E66" t="s">
        <v>12</v>
      </c>
      <c r="F66">
        <v>0</v>
      </c>
      <c r="G66">
        <v>0.9</v>
      </c>
    </row>
    <row r="67" spans="1:7">
      <c r="A67" s="1">
        <v>76</v>
      </c>
      <c r="B67" t="s">
        <v>35</v>
      </c>
      <c r="C67">
        <v>1</v>
      </c>
      <c r="D67" s="28">
        <v>0.5</v>
      </c>
      <c r="E67" t="s">
        <v>12</v>
      </c>
      <c r="F67">
        <v>0</v>
      </c>
      <c r="G67">
        <v>0</v>
      </c>
    </row>
  </sheetData>
  <pageMargins left="0.7" right="0.7" top="0.75" bottom="0.75" header="0.3" footer="0.3"/>
  <pageSetup orientation="portrait" horizontalDpi="1200" verticalDpi="1200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76941-6CB9-425B-B187-B06A7EEE7BC6}">
  <sheetPr>
    <tabColor rgb="FF92D050"/>
  </sheetPr>
  <dimension ref="A1:N60"/>
  <sheetViews>
    <sheetView showRuler="0" zoomScale="85" zoomScaleNormal="85" workbookViewId="0">
      <selection activeCell="L43" sqref="L43"/>
    </sheetView>
  </sheetViews>
  <sheetFormatPr defaultRowHeight="15"/>
  <cols>
    <col min="2" max="2" width="35.85546875" customWidth="1"/>
    <col min="7" max="7" width="13.85546875" customWidth="1"/>
    <col min="10" max="10" width="28.85546875" bestFit="1" customWidth="1"/>
    <col min="11" max="11" width="14.42578125" bestFit="1" customWidth="1"/>
    <col min="13" max="13" width="31.5703125" bestFit="1" customWidth="1"/>
    <col min="14" max="14" width="15.140625" bestFit="1" customWidth="1"/>
    <col min="15" max="15" width="19" bestFit="1" customWidth="1"/>
    <col min="16" max="16" width="19.28515625" bestFit="1" customWidth="1"/>
    <col min="17" max="17" width="20.85546875" bestFit="1" customWidth="1"/>
  </cols>
  <sheetData>
    <row r="1" spans="1:14">
      <c r="A1" t="s">
        <v>17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8</v>
      </c>
      <c r="G1" s="1" t="s">
        <v>9</v>
      </c>
    </row>
    <row r="2" spans="1:14">
      <c r="A2" s="1">
        <v>19</v>
      </c>
      <c r="B2" s="3" t="s">
        <v>29</v>
      </c>
      <c r="C2">
        <v>20</v>
      </c>
      <c r="D2" s="4">
        <v>1500</v>
      </c>
      <c r="E2" t="s">
        <v>12</v>
      </c>
      <c r="F2">
        <v>0</v>
      </c>
      <c r="G2">
        <v>0</v>
      </c>
      <c r="M2" s="2" t="s">
        <v>20</v>
      </c>
      <c r="N2" t="s">
        <v>21</v>
      </c>
    </row>
    <row r="3" spans="1:14">
      <c r="A3" s="1">
        <v>20</v>
      </c>
      <c r="B3" s="3" t="s">
        <v>29</v>
      </c>
      <c r="C3">
        <v>15</v>
      </c>
      <c r="D3" s="4">
        <v>1500</v>
      </c>
      <c r="E3" t="s">
        <v>12</v>
      </c>
      <c r="F3">
        <v>0</v>
      </c>
      <c r="G3">
        <v>0</v>
      </c>
      <c r="M3" s="3" t="s">
        <v>22</v>
      </c>
      <c r="N3">
        <v>0.5</v>
      </c>
    </row>
    <row r="4" spans="1:14">
      <c r="A4" s="1">
        <v>21</v>
      </c>
      <c r="B4" s="3" t="s">
        <v>29</v>
      </c>
      <c r="C4">
        <v>30</v>
      </c>
      <c r="D4" s="4">
        <v>1500</v>
      </c>
      <c r="E4" t="s">
        <v>12</v>
      </c>
      <c r="F4">
        <v>0</v>
      </c>
      <c r="G4">
        <v>0</v>
      </c>
      <c r="M4" s="3" t="s">
        <v>91</v>
      </c>
      <c r="N4">
        <v>13000</v>
      </c>
    </row>
    <row r="5" spans="1:14">
      <c r="A5" s="1">
        <v>22</v>
      </c>
      <c r="B5" s="3" t="s">
        <v>29</v>
      </c>
      <c r="C5">
        <v>40</v>
      </c>
      <c r="D5" s="4">
        <v>1164</v>
      </c>
      <c r="E5" t="s">
        <v>12</v>
      </c>
      <c r="F5">
        <v>0</v>
      </c>
      <c r="G5">
        <v>0</v>
      </c>
      <c r="M5" s="3" t="s">
        <v>74</v>
      </c>
      <c r="N5">
        <v>0.5</v>
      </c>
    </row>
    <row r="6" spans="1:14">
      <c r="A6" s="1">
        <v>23</v>
      </c>
      <c r="B6" s="3" t="s">
        <v>40</v>
      </c>
      <c r="C6">
        <v>20</v>
      </c>
      <c r="D6" s="4">
        <v>2400</v>
      </c>
      <c r="E6" t="s">
        <v>12</v>
      </c>
      <c r="F6">
        <v>0</v>
      </c>
      <c r="G6">
        <v>0</v>
      </c>
      <c r="M6" s="3" t="s">
        <v>29</v>
      </c>
      <c r="N6">
        <v>5664</v>
      </c>
    </row>
    <row r="7" spans="1:14">
      <c r="A7" s="1">
        <v>24</v>
      </c>
      <c r="B7" s="3" t="s">
        <v>40</v>
      </c>
      <c r="C7">
        <v>16</v>
      </c>
      <c r="D7" s="4">
        <v>2400</v>
      </c>
      <c r="E7" t="s">
        <v>12</v>
      </c>
      <c r="F7">
        <v>0</v>
      </c>
      <c r="G7">
        <v>0</v>
      </c>
      <c r="I7" s="23"/>
      <c r="M7" s="3" t="s">
        <v>38</v>
      </c>
      <c r="N7">
        <v>68850</v>
      </c>
    </row>
    <row r="8" spans="1:14" ht="16.149999999999999" customHeight="1">
      <c r="A8" s="1">
        <v>25</v>
      </c>
      <c r="B8" s="3" t="s">
        <v>40</v>
      </c>
      <c r="C8">
        <v>12</v>
      </c>
      <c r="D8" s="4">
        <v>2400</v>
      </c>
      <c r="E8" t="s">
        <v>12</v>
      </c>
      <c r="F8">
        <v>0</v>
      </c>
      <c r="G8">
        <v>0</v>
      </c>
      <c r="I8" s="23"/>
      <c r="K8" s="4"/>
      <c r="M8" s="3" t="s">
        <v>39</v>
      </c>
      <c r="N8">
        <v>37000</v>
      </c>
    </row>
    <row r="9" spans="1:14" ht="16.149999999999999" customHeight="1">
      <c r="A9" s="1">
        <v>26</v>
      </c>
      <c r="B9" s="3" t="s">
        <v>40</v>
      </c>
      <c r="C9">
        <v>7</v>
      </c>
      <c r="D9" s="4">
        <v>2400</v>
      </c>
      <c r="E9" t="s">
        <v>12</v>
      </c>
      <c r="F9">
        <v>0</v>
      </c>
      <c r="G9">
        <v>0</v>
      </c>
      <c r="I9" s="23"/>
      <c r="J9" s="3"/>
      <c r="K9" s="4"/>
      <c r="M9" s="3" t="s">
        <v>40</v>
      </c>
      <c r="N9">
        <v>12000</v>
      </c>
    </row>
    <row r="10" spans="1:14" ht="16.149999999999999" customHeight="1">
      <c r="A10" s="1">
        <v>27</v>
      </c>
      <c r="B10" s="3" t="s">
        <v>40</v>
      </c>
      <c r="C10">
        <v>2</v>
      </c>
      <c r="D10" s="4">
        <v>2400</v>
      </c>
      <c r="E10" t="s">
        <v>12</v>
      </c>
      <c r="F10">
        <v>0</v>
      </c>
      <c r="G10">
        <v>0</v>
      </c>
      <c r="I10" s="23"/>
      <c r="J10" s="3"/>
      <c r="K10" s="4"/>
      <c r="M10" s="3" t="s">
        <v>67</v>
      </c>
    </row>
    <row r="11" spans="1:14" ht="16.149999999999999" customHeight="1">
      <c r="A11" s="1">
        <v>28</v>
      </c>
      <c r="B11" s="3" t="s">
        <v>38</v>
      </c>
      <c r="C11">
        <v>24</v>
      </c>
      <c r="D11" s="4">
        <v>1000</v>
      </c>
      <c r="E11" t="s">
        <v>12</v>
      </c>
      <c r="F11">
        <v>0</v>
      </c>
      <c r="G11">
        <v>0</v>
      </c>
      <c r="I11" s="23"/>
      <c r="J11" s="3"/>
      <c r="K11" s="4"/>
      <c r="M11" s="3" t="s">
        <v>32</v>
      </c>
      <c r="N11">
        <v>136515</v>
      </c>
    </row>
    <row r="12" spans="1:14" ht="16.149999999999999" customHeight="1">
      <c r="A12" s="1">
        <v>29</v>
      </c>
      <c r="B12" s="3" t="s">
        <v>38</v>
      </c>
      <c r="C12">
        <v>23</v>
      </c>
      <c r="D12" s="4">
        <v>2500</v>
      </c>
      <c r="E12" t="s">
        <v>12</v>
      </c>
      <c r="F12">
        <v>0</v>
      </c>
      <c r="G12">
        <v>0</v>
      </c>
      <c r="I12" s="23"/>
      <c r="K12" s="4"/>
    </row>
    <row r="13" spans="1:14" ht="16.149999999999999" customHeight="1">
      <c r="A13" s="1">
        <v>30</v>
      </c>
      <c r="B13" s="3" t="s">
        <v>38</v>
      </c>
      <c r="C13" s="19">
        <v>21</v>
      </c>
      <c r="D13" s="31">
        <v>3000</v>
      </c>
      <c r="E13" s="19" t="s">
        <v>12</v>
      </c>
      <c r="F13" s="19">
        <v>0</v>
      </c>
      <c r="G13" s="19">
        <v>0</v>
      </c>
      <c r="I13" s="23"/>
      <c r="K13" s="4"/>
    </row>
    <row r="14" spans="1:14" ht="16.149999999999999" customHeight="1">
      <c r="A14" s="1">
        <v>31</v>
      </c>
      <c r="B14" s="3" t="s">
        <v>38</v>
      </c>
      <c r="C14">
        <v>19</v>
      </c>
      <c r="D14" s="4">
        <v>3000</v>
      </c>
      <c r="E14" t="s">
        <v>12</v>
      </c>
      <c r="F14">
        <v>0</v>
      </c>
      <c r="G14">
        <v>0</v>
      </c>
      <c r="I14" s="23"/>
      <c r="K14" s="4"/>
    </row>
    <row r="15" spans="1:14" ht="16.149999999999999" customHeight="1">
      <c r="A15" s="1">
        <v>32</v>
      </c>
      <c r="B15" s="3" t="s">
        <v>38</v>
      </c>
      <c r="C15">
        <v>18</v>
      </c>
      <c r="D15" s="4">
        <v>3000</v>
      </c>
      <c r="E15" t="s">
        <v>12</v>
      </c>
      <c r="F15">
        <v>0</v>
      </c>
      <c r="G15">
        <v>0</v>
      </c>
      <c r="I15" s="23"/>
      <c r="J15" t="s">
        <v>97</v>
      </c>
      <c r="K15" s="4"/>
    </row>
    <row r="16" spans="1:14">
      <c r="A16" s="1">
        <v>33</v>
      </c>
      <c r="B16" s="3" t="s">
        <v>38</v>
      </c>
      <c r="C16">
        <v>17</v>
      </c>
      <c r="D16" s="4">
        <v>3000</v>
      </c>
      <c r="E16" t="s">
        <v>12</v>
      </c>
      <c r="F16">
        <v>0</v>
      </c>
      <c r="G16">
        <v>0</v>
      </c>
      <c r="I16" s="23"/>
      <c r="K16" s="4"/>
    </row>
    <row r="17" spans="1:14" ht="13.9" customHeight="1">
      <c r="A17" s="1">
        <v>34</v>
      </c>
      <c r="B17" s="3" t="s">
        <v>38</v>
      </c>
      <c r="C17">
        <v>16</v>
      </c>
      <c r="D17" s="4">
        <v>3000</v>
      </c>
      <c r="E17" t="s">
        <v>12</v>
      </c>
      <c r="F17">
        <v>0</v>
      </c>
      <c r="G17">
        <v>0</v>
      </c>
      <c r="I17" s="23"/>
      <c r="K17" s="4"/>
    </row>
    <row r="18" spans="1:14">
      <c r="A18" s="1">
        <v>35</v>
      </c>
      <c r="B18" s="3" t="s">
        <v>38</v>
      </c>
      <c r="C18">
        <v>15</v>
      </c>
      <c r="D18" s="4">
        <v>3000</v>
      </c>
      <c r="E18" t="s">
        <v>12</v>
      </c>
      <c r="F18">
        <v>0</v>
      </c>
      <c r="G18">
        <v>0</v>
      </c>
      <c r="I18" s="23"/>
      <c r="J18" t="s">
        <v>98</v>
      </c>
      <c r="L18" s="3"/>
    </row>
    <row r="19" spans="1:14">
      <c r="A19" s="1">
        <v>36</v>
      </c>
      <c r="B19" s="3" t="s">
        <v>38</v>
      </c>
      <c r="C19">
        <v>14</v>
      </c>
      <c r="D19" s="4">
        <v>3000</v>
      </c>
      <c r="E19" t="s">
        <v>12</v>
      </c>
      <c r="F19">
        <v>0</v>
      </c>
      <c r="G19">
        <v>0</v>
      </c>
      <c r="I19" s="23"/>
      <c r="L19" s="3"/>
    </row>
    <row r="20" spans="1:14">
      <c r="A20" s="1">
        <v>37</v>
      </c>
      <c r="B20" s="3" t="s">
        <v>38</v>
      </c>
      <c r="C20">
        <v>13</v>
      </c>
      <c r="D20" s="4">
        <v>3000</v>
      </c>
      <c r="E20" t="s">
        <v>12</v>
      </c>
      <c r="F20">
        <v>0</v>
      </c>
      <c r="G20">
        <v>0</v>
      </c>
      <c r="I20" s="23"/>
      <c r="L20" s="3"/>
      <c r="N20" s="4"/>
    </row>
    <row r="21" spans="1:14">
      <c r="A21" s="1">
        <v>38</v>
      </c>
      <c r="B21" s="3" t="s">
        <v>38</v>
      </c>
      <c r="C21">
        <v>12</v>
      </c>
      <c r="D21" s="4">
        <v>3000</v>
      </c>
      <c r="E21" t="s">
        <v>12</v>
      </c>
      <c r="F21">
        <v>0</v>
      </c>
      <c r="G21">
        <v>0</v>
      </c>
      <c r="I21" s="23"/>
      <c r="J21" t="s">
        <v>76</v>
      </c>
      <c r="L21" s="3"/>
      <c r="N21" s="4"/>
    </row>
    <row r="22" spans="1:14">
      <c r="A22" s="1">
        <v>39</v>
      </c>
      <c r="B22" s="3" t="s">
        <v>38</v>
      </c>
      <c r="C22">
        <v>11</v>
      </c>
      <c r="D22" s="4">
        <v>3500</v>
      </c>
      <c r="E22" t="s">
        <v>12</v>
      </c>
      <c r="F22">
        <v>0</v>
      </c>
      <c r="G22">
        <v>0</v>
      </c>
      <c r="I22" s="23"/>
      <c r="J22" t="s">
        <v>99</v>
      </c>
    </row>
    <row r="23" spans="1:14">
      <c r="A23" s="1">
        <v>40</v>
      </c>
      <c r="B23" s="3" t="s">
        <v>38</v>
      </c>
      <c r="C23">
        <v>10</v>
      </c>
      <c r="D23" s="4">
        <v>3500</v>
      </c>
      <c r="E23" t="s">
        <v>12</v>
      </c>
      <c r="F23">
        <v>0</v>
      </c>
      <c r="G23">
        <v>0</v>
      </c>
      <c r="I23" s="23"/>
    </row>
    <row r="24" spans="1:14">
      <c r="A24" s="1">
        <v>41</v>
      </c>
      <c r="B24" s="3" t="s">
        <v>38</v>
      </c>
      <c r="C24">
        <v>9</v>
      </c>
      <c r="D24" s="4">
        <v>3500</v>
      </c>
      <c r="E24" t="s">
        <v>12</v>
      </c>
      <c r="F24">
        <v>0</v>
      </c>
      <c r="G24">
        <v>0</v>
      </c>
      <c r="J24" t="s">
        <v>78</v>
      </c>
    </row>
    <row r="25" spans="1:14">
      <c r="A25" s="1">
        <v>42</v>
      </c>
      <c r="B25" s="3" t="s">
        <v>38</v>
      </c>
      <c r="C25">
        <v>8</v>
      </c>
      <c r="D25" s="4">
        <v>3500</v>
      </c>
      <c r="E25" t="s">
        <v>12</v>
      </c>
      <c r="F25">
        <v>0</v>
      </c>
      <c r="G25">
        <v>0</v>
      </c>
    </row>
    <row r="26" spans="1:14">
      <c r="A26" s="1">
        <v>43</v>
      </c>
      <c r="B26" s="3" t="s">
        <v>38</v>
      </c>
      <c r="C26">
        <v>7</v>
      </c>
      <c r="D26" s="4">
        <v>3500</v>
      </c>
      <c r="E26" t="s">
        <v>12</v>
      </c>
      <c r="F26">
        <v>0</v>
      </c>
      <c r="G26">
        <v>0</v>
      </c>
    </row>
    <row r="27" spans="1:14">
      <c r="A27" s="1">
        <v>44</v>
      </c>
      <c r="B27" s="3" t="s">
        <v>38</v>
      </c>
      <c r="C27">
        <v>6</v>
      </c>
      <c r="D27" s="4">
        <v>3500</v>
      </c>
      <c r="E27" t="s">
        <v>12</v>
      </c>
      <c r="F27">
        <v>0</v>
      </c>
      <c r="G27">
        <v>0</v>
      </c>
    </row>
    <row r="28" spans="1:14">
      <c r="A28" s="1">
        <v>45</v>
      </c>
      <c r="B28" s="3" t="s">
        <v>38</v>
      </c>
      <c r="C28">
        <v>5</v>
      </c>
      <c r="D28" s="4">
        <v>3500</v>
      </c>
      <c r="E28" t="s">
        <v>12</v>
      </c>
      <c r="F28">
        <v>0</v>
      </c>
      <c r="G28">
        <v>0</v>
      </c>
    </row>
    <row r="29" spans="1:14">
      <c r="A29" s="1">
        <v>46</v>
      </c>
      <c r="B29" s="3" t="s">
        <v>38</v>
      </c>
      <c r="C29">
        <v>4</v>
      </c>
      <c r="D29" s="4">
        <v>3500</v>
      </c>
      <c r="E29" t="s">
        <v>12</v>
      </c>
      <c r="F29">
        <v>0</v>
      </c>
      <c r="G29">
        <v>0</v>
      </c>
    </row>
    <row r="30" spans="1:14">
      <c r="A30" s="1">
        <v>47</v>
      </c>
      <c r="B30" s="3" t="s">
        <v>38</v>
      </c>
      <c r="C30">
        <v>3</v>
      </c>
      <c r="D30" s="4">
        <v>3500</v>
      </c>
      <c r="E30" t="s">
        <v>12</v>
      </c>
      <c r="F30">
        <v>0</v>
      </c>
      <c r="G30">
        <v>0</v>
      </c>
    </row>
    <row r="31" spans="1:14">
      <c r="A31" s="1">
        <v>48</v>
      </c>
      <c r="B31" s="3" t="s">
        <v>38</v>
      </c>
      <c r="C31">
        <v>2</v>
      </c>
      <c r="D31" s="4">
        <v>3850</v>
      </c>
      <c r="E31" t="s">
        <v>12</v>
      </c>
      <c r="F31">
        <v>0</v>
      </c>
      <c r="G31">
        <v>0</v>
      </c>
    </row>
    <row r="32" spans="1:14">
      <c r="A32" s="1">
        <v>49</v>
      </c>
      <c r="B32" s="3" t="s">
        <v>38</v>
      </c>
      <c r="C32" s="19">
        <v>1</v>
      </c>
      <c r="D32" s="30">
        <v>3000</v>
      </c>
      <c r="E32" s="19" t="s">
        <v>12</v>
      </c>
      <c r="F32" s="19">
        <v>0</v>
      </c>
      <c r="G32" s="19">
        <v>0</v>
      </c>
    </row>
    <row r="33" spans="1:9">
      <c r="A33" s="1">
        <v>50</v>
      </c>
      <c r="B33" s="3" t="s">
        <v>39</v>
      </c>
      <c r="C33">
        <v>24</v>
      </c>
      <c r="D33" s="27">
        <v>3000</v>
      </c>
      <c r="E33" t="s">
        <v>12</v>
      </c>
      <c r="F33">
        <v>0</v>
      </c>
      <c r="G33">
        <v>0</v>
      </c>
      <c r="I33" s="23"/>
    </row>
    <row r="34" spans="1:9">
      <c r="A34" s="1">
        <v>51</v>
      </c>
      <c r="B34" s="3" t="s">
        <v>39</v>
      </c>
      <c r="C34">
        <v>22</v>
      </c>
      <c r="D34" s="27">
        <v>3000</v>
      </c>
      <c r="E34" t="s">
        <v>12</v>
      </c>
      <c r="F34">
        <v>0</v>
      </c>
      <c r="G34">
        <v>0</v>
      </c>
    </row>
    <row r="35" spans="1:9">
      <c r="A35" s="1">
        <v>52</v>
      </c>
      <c r="B35" s="3" t="s">
        <v>39</v>
      </c>
      <c r="C35">
        <v>20</v>
      </c>
      <c r="D35" s="27">
        <v>3000</v>
      </c>
      <c r="E35" t="s">
        <v>12</v>
      </c>
      <c r="F35">
        <v>0</v>
      </c>
      <c r="G35">
        <v>0</v>
      </c>
      <c r="I35" s="23"/>
    </row>
    <row r="36" spans="1:9">
      <c r="A36" s="1">
        <v>53</v>
      </c>
      <c r="B36" s="3" t="s">
        <v>39</v>
      </c>
      <c r="C36">
        <v>18</v>
      </c>
      <c r="D36" s="27">
        <v>3000</v>
      </c>
      <c r="E36" t="s">
        <v>12</v>
      </c>
      <c r="F36">
        <v>0</v>
      </c>
      <c r="G36">
        <v>0</v>
      </c>
      <c r="I36" s="23"/>
    </row>
    <row r="37" spans="1:9">
      <c r="A37" s="1">
        <v>54</v>
      </c>
      <c r="B37" s="3" t="s">
        <v>39</v>
      </c>
      <c r="C37">
        <v>16</v>
      </c>
      <c r="D37" s="27">
        <v>3000</v>
      </c>
      <c r="E37" t="s">
        <v>12</v>
      </c>
      <c r="F37">
        <v>0</v>
      </c>
      <c r="G37">
        <v>0</v>
      </c>
      <c r="I37" s="23"/>
    </row>
    <row r="38" spans="1:9">
      <c r="A38" s="1">
        <v>55</v>
      </c>
      <c r="B38" s="3" t="s">
        <v>39</v>
      </c>
      <c r="C38">
        <v>14</v>
      </c>
      <c r="D38" s="27">
        <v>3000</v>
      </c>
      <c r="E38" t="s">
        <v>12</v>
      </c>
      <c r="F38">
        <v>0</v>
      </c>
      <c r="G38">
        <v>0</v>
      </c>
      <c r="I38" s="23"/>
    </row>
    <row r="39" spans="1:9">
      <c r="A39" s="1">
        <v>56</v>
      </c>
      <c r="B39" s="3" t="s">
        <v>39</v>
      </c>
      <c r="C39">
        <v>10</v>
      </c>
      <c r="D39" s="27">
        <v>3000</v>
      </c>
      <c r="E39" t="s">
        <v>12</v>
      </c>
      <c r="F39">
        <v>0</v>
      </c>
      <c r="G39">
        <v>0</v>
      </c>
      <c r="I39" s="23"/>
    </row>
    <row r="40" spans="1:9">
      <c r="A40" s="1">
        <v>57</v>
      </c>
      <c r="B40" s="3" t="s">
        <v>39</v>
      </c>
      <c r="C40">
        <v>8</v>
      </c>
      <c r="D40" s="30">
        <v>3000</v>
      </c>
      <c r="E40" s="19" t="s">
        <v>12</v>
      </c>
      <c r="F40" s="19">
        <v>0</v>
      </c>
      <c r="G40" s="19">
        <v>0</v>
      </c>
      <c r="I40" s="23"/>
    </row>
    <row r="41" spans="1:9">
      <c r="A41" s="1">
        <v>58</v>
      </c>
      <c r="B41" s="3" t="s">
        <v>39</v>
      </c>
      <c r="C41" s="19">
        <v>6</v>
      </c>
      <c r="D41" s="30">
        <v>4000</v>
      </c>
      <c r="E41" s="19" t="s">
        <v>12</v>
      </c>
      <c r="F41" s="19">
        <v>0</v>
      </c>
      <c r="G41" s="19">
        <v>0</v>
      </c>
      <c r="I41" s="23"/>
    </row>
    <row r="42" spans="1:9">
      <c r="A42" s="1">
        <v>59</v>
      </c>
      <c r="B42" s="3" t="s">
        <v>39</v>
      </c>
      <c r="C42" s="19">
        <v>4</v>
      </c>
      <c r="D42" s="30">
        <v>3000</v>
      </c>
      <c r="E42" s="19" t="s">
        <v>12</v>
      </c>
      <c r="F42" s="19">
        <v>0</v>
      </c>
      <c r="G42" s="19">
        <v>0</v>
      </c>
    </row>
    <row r="43" spans="1:9">
      <c r="A43" s="1">
        <v>60</v>
      </c>
      <c r="B43" s="3" t="s">
        <v>39</v>
      </c>
      <c r="C43" s="19">
        <v>3</v>
      </c>
      <c r="D43" s="30">
        <v>3000</v>
      </c>
      <c r="E43" s="19" t="s">
        <v>12</v>
      </c>
      <c r="F43" s="19">
        <v>0</v>
      </c>
      <c r="G43" s="19">
        <v>0</v>
      </c>
    </row>
    <row r="44" spans="1:9">
      <c r="A44" s="1">
        <v>61</v>
      </c>
      <c r="B44" s="3" t="s">
        <v>39</v>
      </c>
      <c r="C44">
        <v>2</v>
      </c>
      <c r="D44" s="27">
        <v>3000</v>
      </c>
      <c r="E44" t="s">
        <v>12</v>
      </c>
      <c r="F44">
        <v>0</v>
      </c>
      <c r="G44">
        <v>0</v>
      </c>
    </row>
    <row r="45" spans="1:9">
      <c r="A45" s="1">
        <v>62</v>
      </c>
      <c r="B45" s="3" t="s">
        <v>91</v>
      </c>
      <c r="C45">
        <v>28</v>
      </c>
      <c r="D45" s="28">
        <v>1000</v>
      </c>
      <c r="E45" t="s">
        <v>12</v>
      </c>
      <c r="F45">
        <v>0</v>
      </c>
      <c r="G45">
        <v>0</v>
      </c>
    </row>
    <row r="46" spans="1:9">
      <c r="A46" s="1">
        <v>63</v>
      </c>
      <c r="B46" s="3" t="s">
        <v>91</v>
      </c>
      <c r="C46">
        <v>26</v>
      </c>
      <c r="D46" s="28">
        <v>1000</v>
      </c>
      <c r="E46" t="s">
        <v>12</v>
      </c>
      <c r="F46">
        <v>0</v>
      </c>
      <c r="G46">
        <v>0</v>
      </c>
    </row>
    <row r="47" spans="1:9">
      <c r="A47" s="1">
        <v>64</v>
      </c>
      <c r="B47" s="3" t="s">
        <v>91</v>
      </c>
      <c r="C47">
        <v>24</v>
      </c>
      <c r="D47" s="28">
        <v>1000</v>
      </c>
      <c r="E47" t="s">
        <v>12</v>
      </c>
      <c r="F47">
        <v>0</v>
      </c>
      <c r="G47">
        <v>0</v>
      </c>
    </row>
    <row r="48" spans="1:9">
      <c r="A48" s="1">
        <v>65</v>
      </c>
      <c r="B48" s="3" t="s">
        <v>91</v>
      </c>
      <c r="C48">
        <v>22</v>
      </c>
      <c r="D48" s="28">
        <v>1000</v>
      </c>
      <c r="E48" t="s">
        <v>12</v>
      </c>
      <c r="F48">
        <v>0</v>
      </c>
      <c r="G48">
        <v>0</v>
      </c>
    </row>
    <row r="49" spans="1:7">
      <c r="A49" s="1">
        <v>66</v>
      </c>
      <c r="B49" s="3" t="s">
        <v>91</v>
      </c>
      <c r="C49">
        <v>20</v>
      </c>
      <c r="D49" s="28">
        <v>1000</v>
      </c>
      <c r="E49" t="s">
        <v>12</v>
      </c>
      <c r="F49">
        <v>0</v>
      </c>
      <c r="G49">
        <v>0</v>
      </c>
    </row>
    <row r="50" spans="1:7">
      <c r="A50" s="1">
        <v>67</v>
      </c>
      <c r="B50" s="3" t="s">
        <v>91</v>
      </c>
      <c r="C50">
        <v>18</v>
      </c>
      <c r="D50" s="28">
        <v>1000</v>
      </c>
      <c r="E50" t="s">
        <v>12</v>
      </c>
      <c r="F50">
        <v>0</v>
      </c>
      <c r="G50">
        <v>0</v>
      </c>
    </row>
    <row r="51" spans="1:7">
      <c r="A51" s="1">
        <v>68</v>
      </c>
      <c r="B51" s="3" t="s">
        <v>91</v>
      </c>
      <c r="C51">
        <v>16</v>
      </c>
      <c r="D51" s="28">
        <v>1000</v>
      </c>
      <c r="E51" t="s">
        <v>12</v>
      </c>
      <c r="F51">
        <v>0</v>
      </c>
      <c r="G51">
        <v>0</v>
      </c>
    </row>
    <row r="52" spans="1:7">
      <c r="A52" s="1">
        <v>69</v>
      </c>
      <c r="B52" s="3" t="s">
        <v>91</v>
      </c>
      <c r="C52">
        <v>14</v>
      </c>
      <c r="D52" s="28">
        <v>1000</v>
      </c>
      <c r="E52" t="s">
        <v>12</v>
      </c>
      <c r="F52">
        <v>0</v>
      </c>
      <c r="G52">
        <v>0</v>
      </c>
    </row>
    <row r="53" spans="1:7">
      <c r="A53" s="1">
        <v>70</v>
      </c>
      <c r="B53" s="3" t="s">
        <v>91</v>
      </c>
      <c r="C53">
        <v>12</v>
      </c>
      <c r="D53" s="28">
        <v>1000</v>
      </c>
      <c r="E53" t="s">
        <v>12</v>
      </c>
      <c r="F53">
        <v>0</v>
      </c>
      <c r="G53">
        <v>0</v>
      </c>
    </row>
    <row r="54" spans="1:7">
      <c r="A54" s="1">
        <v>71</v>
      </c>
      <c r="B54" s="3" t="s">
        <v>91</v>
      </c>
      <c r="C54">
        <v>10</v>
      </c>
      <c r="D54" s="28">
        <v>1000</v>
      </c>
      <c r="E54" t="s">
        <v>12</v>
      </c>
      <c r="F54">
        <v>0</v>
      </c>
      <c r="G54">
        <v>0</v>
      </c>
    </row>
    <row r="55" spans="1:7">
      <c r="A55" s="1">
        <v>72</v>
      </c>
      <c r="B55" s="3" t="s">
        <v>91</v>
      </c>
      <c r="C55">
        <v>8</v>
      </c>
      <c r="D55" s="28">
        <v>1000</v>
      </c>
      <c r="E55" t="s">
        <v>12</v>
      </c>
      <c r="F55">
        <v>0</v>
      </c>
      <c r="G55">
        <v>0</v>
      </c>
    </row>
    <row r="56" spans="1:7">
      <c r="A56" s="1">
        <v>73</v>
      </c>
      <c r="B56" s="3" t="s">
        <v>91</v>
      </c>
      <c r="C56">
        <v>6</v>
      </c>
      <c r="D56" s="28">
        <v>1000</v>
      </c>
      <c r="E56" t="s">
        <v>12</v>
      </c>
      <c r="F56">
        <v>0</v>
      </c>
      <c r="G56">
        <v>0</v>
      </c>
    </row>
    <row r="57" spans="1:7">
      <c r="A57" s="1">
        <v>74</v>
      </c>
      <c r="B57" s="3" t="s">
        <v>91</v>
      </c>
      <c r="C57">
        <v>4</v>
      </c>
      <c r="D57" s="28">
        <v>1000</v>
      </c>
      <c r="E57" t="s">
        <v>12</v>
      </c>
      <c r="F57">
        <v>0</v>
      </c>
      <c r="G57">
        <v>0</v>
      </c>
    </row>
    <row r="59" spans="1:7">
      <c r="A59" s="1">
        <v>53</v>
      </c>
      <c r="B59" t="s">
        <v>74</v>
      </c>
      <c r="C59">
        <v>1</v>
      </c>
      <c r="D59" s="28">
        <v>0.5</v>
      </c>
      <c r="E59" t="s">
        <v>12</v>
      </c>
      <c r="F59">
        <v>0</v>
      </c>
      <c r="G59">
        <v>0.9</v>
      </c>
    </row>
    <row r="60" spans="1:7">
      <c r="A60" s="1">
        <v>54</v>
      </c>
      <c r="B60" t="s">
        <v>22</v>
      </c>
      <c r="C60">
        <v>1</v>
      </c>
      <c r="D60" s="28">
        <v>0.5</v>
      </c>
      <c r="E60" t="s">
        <v>12</v>
      </c>
      <c r="F60">
        <v>0</v>
      </c>
      <c r="G60">
        <v>0</v>
      </c>
    </row>
  </sheetData>
  <pageMargins left="0.7" right="0.7" top="0.75" bottom="0.75" header="0.3" footer="0.3"/>
  <pageSetup orientation="portrait" horizontalDpi="1200" verticalDpi="1200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71EED-B6C7-4F44-860D-1AE180707620}">
  <sheetPr>
    <tabColor rgb="FF00B050"/>
  </sheetPr>
  <dimension ref="A1:N35"/>
  <sheetViews>
    <sheetView showRuler="0" zoomScaleNormal="100" workbookViewId="0">
      <selection activeCell="J33" sqref="J33"/>
    </sheetView>
  </sheetViews>
  <sheetFormatPr defaultRowHeight="15"/>
  <cols>
    <col min="2" max="2" width="29.85546875" customWidth="1"/>
    <col min="7" max="7" width="13.85546875" customWidth="1"/>
    <col min="10" max="10" width="28.85546875" bestFit="1" customWidth="1"/>
    <col min="11" max="11" width="14.42578125" bestFit="1" customWidth="1"/>
  </cols>
  <sheetData>
    <row r="1" spans="1:14">
      <c r="A1" t="s">
        <v>17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8</v>
      </c>
      <c r="G1" s="1" t="s">
        <v>9</v>
      </c>
    </row>
    <row r="2" spans="1:14">
      <c r="A2" s="1">
        <v>21</v>
      </c>
      <c r="B2" s="3" t="s">
        <v>31</v>
      </c>
      <c r="C2">
        <v>20</v>
      </c>
      <c r="D2" s="4">
        <v>4000</v>
      </c>
      <c r="E2" t="s">
        <v>12</v>
      </c>
      <c r="F2">
        <v>0</v>
      </c>
      <c r="G2">
        <v>0</v>
      </c>
      <c r="I2" s="23"/>
      <c r="J2" t="s">
        <v>76</v>
      </c>
    </row>
    <row r="3" spans="1:14">
      <c r="A3" s="1">
        <v>22</v>
      </c>
      <c r="B3" s="3" t="s">
        <v>31</v>
      </c>
      <c r="C3">
        <v>16</v>
      </c>
      <c r="D3" s="4">
        <v>4000</v>
      </c>
      <c r="E3" t="s">
        <v>12</v>
      </c>
      <c r="F3">
        <v>0</v>
      </c>
      <c r="G3">
        <v>0</v>
      </c>
      <c r="I3" s="23"/>
      <c r="J3" t="s">
        <v>100</v>
      </c>
    </row>
    <row r="4" spans="1:14">
      <c r="A4" s="1">
        <v>23</v>
      </c>
      <c r="B4" s="3" t="s">
        <v>31</v>
      </c>
      <c r="C4">
        <v>11</v>
      </c>
      <c r="D4" s="4">
        <v>4000</v>
      </c>
      <c r="E4" t="s">
        <v>12</v>
      </c>
      <c r="F4">
        <v>0</v>
      </c>
      <c r="G4">
        <v>0</v>
      </c>
      <c r="I4" s="23"/>
    </row>
    <row r="5" spans="1:14" ht="16.149999999999999" customHeight="1">
      <c r="A5" s="1">
        <v>24</v>
      </c>
      <c r="B5" s="3" t="s">
        <v>30</v>
      </c>
      <c r="C5">
        <v>20</v>
      </c>
      <c r="D5" s="26">
        <v>6000</v>
      </c>
      <c r="E5" t="s">
        <v>12</v>
      </c>
      <c r="F5">
        <v>0</v>
      </c>
      <c r="G5">
        <v>0</v>
      </c>
      <c r="I5" s="23"/>
      <c r="K5" s="4"/>
    </row>
    <row r="6" spans="1:14" ht="16.149999999999999" customHeight="1">
      <c r="A6" s="1">
        <v>25</v>
      </c>
      <c r="B6" s="3" t="s">
        <v>30</v>
      </c>
      <c r="C6">
        <v>19</v>
      </c>
      <c r="D6" s="26">
        <v>6000</v>
      </c>
      <c r="E6" t="s">
        <v>12</v>
      </c>
      <c r="F6">
        <v>0</v>
      </c>
      <c r="G6">
        <v>0</v>
      </c>
      <c r="I6" s="23"/>
      <c r="K6" s="4"/>
    </row>
    <row r="7" spans="1:14" ht="16.149999999999999" customHeight="1">
      <c r="A7" s="1">
        <v>26</v>
      </c>
      <c r="B7" s="3" t="s">
        <v>30</v>
      </c>
      <c r="C7">
        <v>18</v>
      </c>
      <c r="D7" s="26">
        <v>6000</v>
      </c>
      <c r="E7" t="s">
        <v>12</v>
      </c>
      <c r="F7">
        <v>0</v>
      </c>
      <c r="G7">
        <v>0</v>
      </c>
      <c r="I7" s="23"/>
      <c r="K7" s="4"/>
    </row>
    <row r="8" spans="1:14" ht="16.149999999999999" customHeight="1">
      <c r="A8" s="1">
        <v>27</v>
      </c>
      <c r="B8" s="3" t="s">
        <v>30</v>
      </c>
      <c r="C8">
        <v>17</v>
      </c>
      <c r="D8" s="26">
        <v>6000</v>
      </c>
      <c r="E8" t="s">
        <v>12</v>
      </c>
      <c r="F8">
        <v>0</v>
      </c>
      <c r="G8">
        <v>0</v>
      </c>
      <c r="I8" s="23"/>
      <c r="K8" s="4"/>
    </row>
    <row r="9" spans="1:14">
      <c r="A9" s="1">
        <v>28</v>
      </c>
      <c r="B9" s="3" t="s">
        <v>30</v>
      </c>
      <c r="C9">
        <v>16</v>
      </c>
      <c r="D9" s="26">
        <v>6000</v>
      </c>
      <c r="E9" t="s">
        <v>12</v>
      </c>
      <c r="F9">
        <v>0</v>
      </c>
      <c r="G9">
        <v>0</v>
      </c>
      <c r="I9" s="23"/>
      <c r="K9" s="4"/>
    </row>
    <row r="10" spans="1:14" ht="13.9" customHeight="1">
      <c r="A10" s="1">
        <v>29</v>
      </c>
      <c r="B10" s="3" t="s">
        <v>30</v>
      </c>
      <c r="C10">
        <v>15</v>
      </c>
      <c r="D10" s="26">
        <v>6000</v>
      </c>
      <c r="E10" t="s">
        <v>12</v>
      </c>
      <c r="F10">
        <v>0</v>
      </c>
      <c r="G10">
        <v>0</v>
      </c>
      <c r="I10" s="23"/>
      <c r="K10" s="4"/>
    </row>
    <row r="11" spans="1:14">
      <c r="A11" s="1">
        <v>30</v>
      </c>
      <c r="B11" s="3" t="s">
        <v>30</v>
      </c>
      <c r="C11">
        <v>14</v>
      </c>
      <c r="D11" s="26">
        <v>6000</v>
      </c>
      <c r="E11" t="s">
        <v>12</v>
      </c>
      <c r="F11">
        <v>0</v>
      </c>
      <c r="G11">
        <v>0</v>
      </c>
      <c r="I11" s="23"/>
      <c r="L11" s="3"/>
      <c r="N11" s="4"/>
    </row>
    <row r="12" spans="1:14">
      <c r="A12" s="1">
        <v>31</v>
      </c>
      <c r="B12" s="3" t="s">
        <v>30</v>
      </c>
      <c r="C12">
        <v>13</v>
      </c>
      <c r="D12" s="26">
        <v>6000</v>
      </c>
      <c r="E12" t="s">
        <v>12</v>
      </c>
      <c r="F12">
        <v>0</v>
      </c>
      <c r="G12">
        <v>0</v>
      </c>
      <c r="I12" s="23"/>
      <c r="N12" s="4"/>
    </row>
    <row r="13" spans="1:14">
      <c r="A13" s="1">
        <v>32</v>
      </c>
      <c r="B13" s="3" t="s">
        <v>30</v>
      </c>
      <c r="C13">
        <v>12</v>
      </c>
      <c r="D13" s="26">
        <v>6000</v>
      </c>
      <c r="E13" t="s">
        <v>12</v>
      </c>
      <c r="F13">
        <v>0</v>
      </c>
      <c r="G13">
        <v>0</v>
      </c>
      <c r="I13" s="23"/>
      <c r="N13" s="4"/>
    </row>
    <row r="14" spans="1:14">
      <c r="A14" s="1">
        <v>33</v>
      </c>
      <c r="B14" s="3" t="s">
        <v>30</v>
      </c>
      <c r="C14">
        <v>11</v>
      </c>
      <c r="D14" s="26">
        <v>6000</v>
      </c>
      <c r="E14" t="s">
        <v>12</v>
      </c>
      <c r="F14">
        <v>0</v>
      </c>
      <c r="G14">
        <v>0</v>
      </c>
      <c r="I14" s="23"/>
      <c r="N14" s="4"/>
    </row>
    <row r="15" spans="1:14">
      <c r="A15" s="1">
        <v>33</v>
      </c>
      <c r="B15" s="3" t="s">
        <v>30</v>
      </c>
      <c r="C15">
        <v>11</v>
      </c>
      <c r="D15" s="26">
        <v>6000</v>
      </c>
      <c r="E15" t="s">
        <v>12</v>
      </c>
      <c r="F15">
        <v>0</v>
      </c>
      <c r="G15">
        <v>0</v>
      </c>
      <c r="I15" s="23"/>
      <c r="N15" s="4"/>
    </row>
    <row r="16" spans="1:14">
      <c r="A16" s="1">
        <v>34</v>
      </c>
      <c r="B16" s="3" t="s">
        <v>14</v>
      </c>
      <c r="C16">
        <v>25</v>
      </c>
      <c r="D16" s="4">
        <v>4200</v>
      </c>
      <c r="E16" t="s">
        <v>12</v>
      </c>
      <c r="F16">
        <v>0</v>
      </c>
      <c r="G16">
        <v>0</v>
      </c>
      <c r="I16" s="23"/>
    </row>
    <row r="17" spans="1:9">
      <c r="A17" s="1">
        <v>35</v>
      </c>
      <c r="B17" s="3" t="s">
        <v>14</v>
      </c>
      <c r="C17">
        <v>24</v>
      </c>
      <c r="D17" s="4">
        <v>4200</v>
      </c>
      <c r="E17" t="s">
        <v>12</v>
      </c>
      <c r="F17">
        <v>0</v>
      </c>
      <c r="G17">
        <v>0</v>
      </c>
      <c r="I17" s="23"/>
    </row>
    <row r="18" spans="1:9">
      <c r="A18" s="1">
        <v>36</v>
      </c>
      <c r="B18" s="3" t="s">
        <v>14</v>
      </c>
      <c r="C18">
        <v>23</v>
      </c>
      <c r="D18" s="4">
        <v>4200</v>
      </c>
      <c r="E18" t="s">
        <v>12</v>
      </c>
      <c r="F18">
        <v>0</v>
      </c>
      <c r="G18">
        <v>0</v>
      </c>
      <c r="I18" s="23"/>
    </row>
    <row r="19" spans="1:9">
      <c r="A19" s="1">
        <v>37</v>
      </c>
      <c r="B19" s="3" t="s">
        <v>14</v>
      </c>
      <c r="C19">
        <v>22</v>
      </c>
      <c r="D19" s="4">
        <v>4200</v>
      </c>
      <c r="E19" t="s">
        <v>12</v>
      </c>
      <c r="F19">
        <v>0</v>
      </c>
      <c r="G19">
        <v>0</v>
      </c>
      <c r="I19" s="23"/>
    </row>
    <row r="20" spans="1:9">
      <c r="A20" s="1">
        <v>38</v>
      </c>
      <c r="B20" s="3" t="s">
        <v>14</v>
      </c>
      <c r="C20">
        <v>21</v>
      </c>
      <c r="D20" s="4">
        <v>4200</v>
      </c>
      <c r="E20" t="s">
        <v>12</v>
      </c>
      <c r="F20">
        <v>0</v>
      </c>
      <c r="G20">
        <v>0</v>
      </c>
      <c r="I20" s="23"/>
    </row>
    <row r="21" spans="1:9">
      <c r="A21" s="1">
        <v>39</v>
      </c>
      <c r="B21" s="3" t="s">
        <v>14</v>
      </c>
      <c r="C21">
        <v>20</v>
      </c>
      <c r="D21" s="4">
        <v>4200</v>
      </c>
      <c r="E21" t="s">
        <v>12</v>
      </c>
      <c r="F21">
        <v>0</v>
      </c>
      <c r="G21">
        <v>0</v>
      </c>
      <c r="I21" s="23"/>
    </row>
    <row r="22" spans="1:9">
      <c r="A22" s="1">
        <v>40</v>
      </c>
      <c r="B22" s="3" t="s">
        <v>14</v>
      </c>
      <c r="C22">
        <v>19</v>
      </c>
      <c r="D22" s="4">
        <v>4200</v>
      </c>
      <c r="E22" t="s">
        <v>12</v>
      </c>
      <c r="F22">
        <v>0</v>
      </c>
      <c r="G22">
        <v>0</v>
      </c>
      <c r="I22" s="23"/>
    </row>
    <row r="23" spans="1:9">
      <c r="A23" s="1">
        <v>41</v>
      </c>
      <c r="B23" s="3" t="s">
        <v>14</v>
      </c>
      <c r="C23">
        <v>18</v>
      </c>
      <c r="D23" s="4">
        <v>4200</v>
      </c>
      <c r="E23" t="s">
        <v>12</v>
      </c>
      <c r="F23">
        <v>0</v>
      </c>
      <c r="G23">
        <v>0</v>
      </c>
      <c r="I23" s="23"/>
    </row>
    <row r="24" spans="1:9">
      <c r="A24" s="1">
        <v>42</v>
      </c>
      <c r="B24" s="3" t="s">
        <v>14</v>
      </c>
      <c r="C24">
        <v>17</v>
      </c>
      <c r="D24" s="4">
        <v>4200</v>
      </c>
      <c r="E24" t="s">
        <v>12</v>
      </c>
      <c r="F24">
        <v>0</v>
      </c>
      <c r="G24">
        <v>0</v>
      </c>
    </row>
    <row r="25" spans="1:9">
      <c r="A25" s="1">
        <v>43</v>
      </c>
      <c r="B25" s="3" t="s">
        <v>14</v>
      </c>
      <c r="C25">
        <v>16</v>
      </c>
      <c r="D25" s="4">
        <v>4200</v>
      </c>
      <c r="E25" t="s">
        <v>12</v>
      </c>
      <c r="F25">
        <v>0</v>
      </c>
      <c r="G25">
        <v>0</v>
      </c>
      <c r="I25" s="23"/>
    </row>
    <row r="26" spans="1:9">
      <c r="A26" s="1">
        <v>44</v>
      </c>
      <c r="B26" t="s">
        <v>74</v>
      </c>
      <c r="C26">
        <v>15</v>
      </c>
      <c r="D26" s="4">
        <v>1000</v>
      </c>
      <c r="E26" t="s">
        <v>12</v>
      </c>
      <c r="F26">
        <v>0.92</v>
      </c>
      <c r="G26">
        <v>0.92</v>
      </c>
      <c r="I26" s="23"/>
    </row>
    <row r="27" spans="1:9">
      <c r="A27" s="1">
        <v>45</v>
      </c>
      <c r="B27" t="s">
        <v>79</v>
      </c>
      <c r="C27">
        <v>25</v>
      </c>
      <c r="D27">
        <v>1500</v>
      </c>
      <c r="E27" t="s">
        <v>12</v>
      </c>
      <c r="F27">
        <v>0</v>
      </c>
      <c r="G27">
        <v>0</v>
      </c>
      <c r="I27" s="23"/>
    </row>
    <row r="28" spans="1:9">
      <c r="A28" s="1">
        <v>46</v>
      </c>
      <c r="B28" t="s">
        <v>79</v>
      </c>
      <c r="C28">
        <v>24</v>
      </c>
      <c r="D28">
        <v>1500</v>
      </c>
      <c r="E28" t="s">
        <v>12</v>
      </c>
      <c r="F28">
        <v>0</v>
      </c>
      <c r="G28">
        <v>0</v>
      </c>
      <c r="I28" s="23"/>
    </row>
    <row r="29" spans="1:9">
      <c r="A29" s="1">
        <v>47</v>
      </c>
      <c r="B29" t="s">
        <v>79</v>
      </c>
      <c r="C29">
        <v>23</v>
      </c>
      <c r="D29">
        <v>1500</v>
      </c>
      <c r="E29" t="s">
        <v>12</v>
      </c>
      <c r="F29">
        <v>0</v>
      </c>
      <c r="G29">
        <v>0</v>
      </c>
      <c r="I29" s="23"/>
    </row>
    <row r="30" spans="1:9">
      <c r="A30" s="1">
        <v>48</v>
      </c>
      <c r="B30" t="s">
        <v>79</v>
      </c>
      <c r="C30">
        <v>22</v>
      </c>
      <c r="D30">
        <v>1500</v>
      </c>
      <c r="E30" t="s">
        <v>12</v>
      </c>
      <c r="F30">
        <v>0</v>
      </c>
      <c r="G30">
        <v>0</v>
      </c>
      <c r="I30" s="23"/>
    </row>
    <row r="31" spans="1:9">
      <c r="A31" s="1">
        <v>49</v>
      </c>
      <c r="B31" t="s">
        <v>79</v>
      </c>
      <c r="C31">
        <v>21</v>
      </c>
      <c r="D31">
        <v>1500</v>
      </c>
      <c r="E31" t="s">
        <v>12</v>
      </c>
      <c r="F31">
        <v>0</v>
      </c>
      <c r="G31">
        <v>0</v>
      </c>
    </row>
    <row r="32" spans="1:9">
      <c r="A32" s="1">
        <v>54</v>
      </c>
      <c r="B32" t="s">
        <v>79</v>
      </c>
      <c r="C32">
        <v>1</v>
      </c>
      <c r="D32">
        <v>3000</v>
      </c>
      <c r="E32" t="s">
        <v>12</v>
      </c>
      <c r="F32">
        <v>0</v>
      </c>
      <c r="G32">
        <v>0</v>
      </c>
    </row>
    <row r="33" spans="1:7">
      <c r="A33" s="1">
        <v>55</v>
      </c>
      <c r="B33" t="s">
        <v>22</v>
      </c>
      <c r="C33">
        <v>1</v>
      </c>
      <c r="D33">
        <v>0.5</v>
      </c>
      <c r="E33" t="s">
        <v>12</v>
      </c>
      <c r="F33">
        <v>0</v>
      </c>
      <c r="G33">
        <v>0</v>
      </c>
    </row>
    <row r="34" spans="1:7">
      <c r="A34" s="1"/>
    </row>
    <row r="35" spans="1:7">
      <c r="A35" s="1"/>
    </row>
  </sheetData>
  <pageMargins left="0.7" right="0.7" top="0.75" bottom="0.75" header="0.3" footer="0.3"/>
  <pageSetup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2E6AE-0A69-4EFB-8C68-8C862108BAC1}">
  <sheetPr>
    <tabColor rgb="FFFF0000"/>
  </sheetPr>
  <dimension ref="A1:J67"/>
  <sheetViews>
    <sheetView zoomScaleNormal="100" workbookViewId="0">
      <selection activeCell="K32" sqref="K32"/>
    </sheetView>
  </sheetViews>
  <sheetFormatPr defaultRowHeight="15"/>
  <cols>
    <col min="2" max="2" width="30.28515625" customWidth="1"/>
    <col min="4" max="4" width="10.28515625" customWidth="1"/>
    <col min="7" max="7" width="12.42578125" customWidth="1"/>
    <col min="8" max="8" width="13" customWidth="1"/>
    <col min="9" max="9" width="15.42578125" customWidth="1"/>
  </cols>
  <sheetData>
    <row r="1" spans="1:10">
      <c r="A1" t="s">
        <v>17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8</v>
      </c>
      <c r="H1" s="1" t="s">
        <v>9</v>
      </c>
    </row>
    <row r="2" spans="1:10">
      <c r="A2" s="1">
        <v>20</v>
      </c>
      <c r="B2" t="s">
        <v>101</v>
      </c>
      <c r="C2">
        <v>1</v>
      </c>
      <c r="D2" s="21">
        <v>4300</v>
      </c>
      <c r="E2">
        <v>0.61</v>
      </c>
      <c r="F2" t="s">
        <v>12</v>
      </c>
      <c r="G2">
        <v>0</v>
      </c>
      <c r="H2">
        <v>0</v>
      </c>
      <c r="I2" s="4"/>
      <c r="J2" t="s">
        <v>102</v>
      </c>
    </row>
    <row r="3" spans="1:10">
      <c r="A3" s="1">
        <v>21</v>
      </c>
      <c r="B3" t="s">
        <v>101</v>
      </c>
      <c r="C3">
        <v>3</v>
      </c>
      <c r="D3" s="21">
        <v>4300</v>
      </c>
      <c r="E3">
        <v>0.60899999999999999</v>
      </c>
      <c r="F3" t="s">
        <v>12</v>
      </c>
      <c r="G3">
        <v>0</v>
      </c>
      <c r="H3">
        <v>0</v>
      </c>
      <c r="I3" s="4"/>
      <c r="J3" t="s">
        <v>103</v>
      </c>
    </row>
    <row r="4" spans="1:10">
      <c r="A4" s="1">
        <v>22</v>
      </c>
      <c r="B4" t="s">
        <v>101</v>
      </c>
      <c r="C4">
        <v>5</v>
      </c>
      <c r="D4" s="21">
        <v>4450</v>
      </c>
      <c r="E4">
        <v>0.60699999999999998</v>
      </c>
      <c r="F4" t="s">
        <v>12</v>
      </c>
      <c r="G4">
        <v>0</v>
      </c>
      <c r="H4">
        <v>0</v>
      </c>
      <c r="I4" s="4"/>
      <c r="J4" t="s">
        <v>104</v>
      </c>
    </row>
    <row r="5" spans="1:10">
      <c r="A5" s="1">
        <v>23</v>
      </c>
      <c r="B5" t="s">
        <v>101</v>
      </c>
      <c r="C5">
        <v>7</v>
      </c>
      <c r="D5" s="21">
        <v>4600</v>
      </c>
      <c r="E5">
        <v>0.60599999999999998</v>
      </c>
      <c r="F5" t="s">
        <v>12</v>
      </c>
      <c r="G5">
        <v>0</v>
      </c>
      <c r="H5">
        <v>0</v>
      </c>
      <c r="I5" s="4"/>
    </row>
    <row r="6" spans="1:10">
      <c r="A6" s="1">
        <v>24</v>
      </c>
      <c r="B6" t="s">
        <v>101</v>
      </c>
      <c r="C6">
        <v>9</v>
      </c>
      <c r="D6" s="21">
        <v>4750</v>
      </c>
      <c r="E6">
        <v>0.60499999999999998</v>
      </c>
      <c r="F6" t="s">
        <v>12</v>
      </c>
      <c r="G6">
        <v>0</v>
      </c>
      <c r="H6">
        <v>0</v>
      </c>
      <c r="I6" s="4"/>
    </row>
    <row r="7" spans="1:10">
      <c r="A7" s="1">
        <v>25</v>
      </c>
      <c r="B7" t="s">
        <v>101</v>
      </c>
      <c r="C7">
        <v>11</v>
      </c>
      <c r="D7" s="21">
        <v>4150</v>
      </c>
      <c r="E7">
        <v>0.60199999999999998</v>
      </c>
      <c r="F7" t="s">
        <v>12</v>
      </c>
      <c r="G7">
        <v>0</v>
      </c>
      <c r="H7">
        <v>0</v>
      </c>
      <c r="I7" s="4"/>
    </row>
    <row r="8" spans="1:10">
      <c r="A8" s="1">
        <v>26</v>
      </c>
      <c r="B8" t="s">
        <v>101</v>
      </c>
      <c r="C8">
        <v>13</v>
      </c>
      <c r="D8" s="21">
        <v>3300</v>
      </c>
      <c r="E8">
        <v>0.60499999999999998</v>
      </c>
      <c r="F8" t="s">
        <v>12</v>
      </c>
      <c r="G8">
        <v>0</v>
      </c>
      <c r="H8">
        <v>0</v>
      </c>
    </row>
    <row r="9" spans="1:10">
      <c r="A9" s="1">
        <v>27</v>
      </c>
      <c r="B9" t="s">
        <v>101</v>
      </c>
      <c r="C9">
        <v>15</v>
      </c>
      <c r="D9" s="21">
        <v>3000</v>
      </c>
      <c r="E9">
        <v>0.60199999999999998</v>
      </c>
      <c r="F9" t="s">
        <v>12</v>
      </c>
      <c r="G9">
        <v>0</v>
      </c>
      <c r="H9">
        <v>0</v>
      </c>
    </row>
    <row r="10" spans="1:10">
      <c r="A10" s="1">
        <v>28</v>
      </c>
      <c r="B10" t="s">
        <v>101</v>
      </c>
      <c r="C10">
        <v>17</v>
      </c>
      <c r="D10" s="21">
        <v>3000</v>
      </c>
      <c r="E10">
        <v>0.60099999999999998</v>
      </c>
      <c r="F10" t="s">
        <v>12</v>
      </c>
      <c r="G10">
        <v>0</v>
      </c>
      <c r="H10">
        <v>0</v>
      </c>
    </row>
    <row r="11" spans="1:10">
      <c r="A11" s="1">
        <v>29</v>
      </c>
      <c r="B11" t="s">
        <v>101</v>
      </c>
      <c r="C11">
        <v>19</v>
      </c>
      <c r="D11" s="21">
        <v>2000</v>
      </c>
      <c r="E11">
        <v>0.60099999999999998</v>
      </c>
      <c r="F11" t="s">
        <v>12</v>
      </c>
      <c r="G11">
        <v>0</v>
      </c>
      <c r="H11">
        <v>0</v>
      </c>
    </row>
    <row r="12" spans="1:10">
      <c r="A12" s="1">
        <v>30</v>
      </c>
      <c r="B12" t="s">
        <v>101</v>
      </c>
      <c r="C12">
        <v>21</v>
      </c>
      <c r="D12" s="21">
        <v>2000</v>
      </c>
      <c r="E12">
        <v>0.60099999999999998</v>
      </c>
      <c r="F12" t="s">
        <v>12</v>
      </c>
      <c r="G12">
        <v>0</v>
      </c>
      <c r="H12">
        <v>0</v>
      </c>
    </row>
    <row r="13" spans="1:10">
      <c r="A13" s="1">
        <v>31</v>
      </c>
      <c r="B13" s="22" t="s">
        <v>105</v>
      </c>
      <c r="C13">
        <v>10</v>
      </c>
      <c r="D13" s="21">
        <v>3000</v>
      </c>
      <c r="E13">
        <v>0.79</v>
      </c>
      <c r="F13" t="s">
        <v>12</v>
      </c>
      <c r="G13">
        <v>0</v>
      </c>
      <c r="H13">
        <v>0</v>
      </c>
    </row>
    <row r="14" spans="1:10">
      <c r="A14" s="1">
        <v>32</v>
      </c>
      <c r="B14" s="22" t="s">
        <v>105</v>
      </c>
      <c r="C14">
        <v>5</v>
      </c>
      <c r="D14" s="21">
        <v>3000</v>
      </c>
      <c r="E14">
        <v>0.8</v>
      </c>
      <c r="F14" t="s">
        <v>12</v>
      </c>
      <c r="G14">
        <v>0</v>
      </c>
      <c r="H14">
        <v>0</v>
      </c>
    </row>
    <row r="15" spans="1:10">
      <c r="A15" s="1">
        <v>33</v>
      </c>
      <c r="B15" s="18" t="s">
        <v>79</v>
      </c>
      <c r="C15">
        <v>0</v>
      </c>
      <c r="D15" s="21">
        <v>2000</v>
      </c>
      <c r="E15">
        <v>0.4</v>
      </c>
      <c r="F15" t="s">
        <v>12</v>
      </c>
      <c r="G15">
        <v>0</v>
      </c>
      <c r="H15">
        <v>0</v>
      </c>
    </row>
    <row r="16" spans="1:10">
      <c r="A16" s="1">
        <v>34</v>
      </c>
      <c r="B16" s="18" t="s">
        <v>79</v>
      </c>
      <c r="C16">
        <v>1</v>
      </c>
      <c r="D16" s="21">
        <v>1800</v>
      </c>
      <c r="E16">
        <v>0.4</v>
      </c>
      <c r="F16" t="s">
        <v>12</v>
      </c>
      <c r="G16">
        <v>0</v>
      </c>
      <c r="H16">
        <v>0</v>
      </c>
    </row>
    <row r="17" spans="1:8">
      <c r="A17" s="1">
        <v>35</v>
      </c>
      <c r="B17" s="18" t="s">
        <v>79</v>
      </c>
      <c r="C17">
        <v>3</v>
      </c>
      <c r="D17" s="21">
        <v>1800</v>
      </c>
      <c r="E17">
        <v>0.4</v>
      </c>
      <c r="F17" t="s">
        <v>12</v>
      </c>
      <c r="G17">
        <v>0</v>
      </c>
      <c r="H17">
        <v>0</v>
      </c>
    </row>
    <row r="18" spans="1:8">
      <c r="A18" s="1">
        <v>36</v>
      </c>
      <c r="B18" s="18" t="s">
        <v>79</v>
      </c>
      <c r="C18">
        <v>6</v>
      </c>
      <c r="D18" s="21">
        <v>1800</v>
      </c>
      <c r="E18">
        <v>0.40100000000000002</v>
      </c>
      <c r="F18" t="s">
        <v>12</v>
      </c>
      <c r="G18">
        <v>0</v>
      </c>
      <c r="H18">
        <v>0</v>
      </c>
    </row>
    <row r="19" spans="1:8">
      <c r="A19" s="1">
        <v>37</v>
      </c>
      <c r="B19" s="18" t="s">
        <v>79</v>
      </c>
      <c r="C19">
        <v>9</v>
      </c>
      <c r="D19" s="21">
        <v>1850</v>
      </c>
      <c r="E19">
        <v>0.40300000000000002</v>
      </c>
      <c r="F19" t="s">
        <v>12</v>
      </c>
      <c r="G19">
        <v>0</v>
      </c>
      <c r="H19">
        <v>0</v>
      </c>
    </row>
    <row r="20" spans="1:8">
      <c r="A20" s="1">
        <v>38</v>
      </c>
      <c r="B20" s="18" t="s">
        <v>79</v>
      </c>
      <c r="C20">
        <v>12</v>
      </c>
      <c r="D20" s="21">
        <v>1900</v>
      </c>
      <c r="E20">
        <v>0.40400000000000003</v>
      </c>
      <c r="F20" t="s">
        <v>12</v>
      </c>
      <c r="G20">
        <v>0</v>
      </c>
      <c r="H20">
        <v>0</v>
      </c>
    </row>
    <row r="21" spans="1:8">
      <c r="A21" s="1">
        <v>39</v>
      </c>
      <c r="B21" s="18" t="s">
        <v>79</v>
      </c>
      <c r="C21">
        <v>15</v>
      </c>
      <c r="D21" s="21">
        <v>1950</v>
      </c>
      <c r="E21">
        <v>0.40500000000000003</v>
      </c>
      <c r="F21" t="s">
        <v>12</v>
      </c>
      <c r="G21">
        <v>0</v>
      </c>
      <c r="H21">
        <v>0</v>
      </c>
    </row>
    <row r="22" spans="1:8">
      <c r="A22" s="1">
        <v>40</v>
      </c>
      <c r="B22" s="18" t="s">
        <v>79</v>
      </c>
      <c r="C22">
        <v>18</v>
      </c>
      <c r="D22" s="21">
        <v>1700</v>
      </c>
      <c r="E22">
        <v>0.40600000000000003</v>
      </c>
      <c r="F22" t="s">
        <v>12</v>
      </c>
      <c r="G22">
        <v>0</v>
      </c>
      <c r="H22">
        <v>0</v>
      </c>
    </row>
    <row r="23" spans="1:8">
      <c r="A23" s="1">
        <v>41</v>
      </c>
      <c r="B23" t="s">
        <v>74</v>
      </c>
      <c r="C23">
        <v>1</v>
      </c>
      <c r="D23">
        <v>2300</v>
      </c>
      <c r="E23">
        <v>0.9</v>
      </c>
      <c r="F23" t="s">
        <v>12</v>
      </c>
      <c r="G23">
        <v>0</v>
      </c>
      <c r="H23">
        <v>0.9</v>
      </c>
    </row>
    <row r="24" spans="1:8">
      <c r="A24" s="1">
        <v>42</v>
      </c>
      <c r="B24" t="s">
        <v>74</v>
      </c>
      <c r="C24">
        <v>3</v>
      </c>
      <c r="D24">
        <v>2200</v>
      </c>
      <c r="E24">
        <v>0.89</v>
      </c>
      <c r="F24" t="s">
        <v>12</v>
      </c>
      <c r="G24">
        <v>0</v>
      </c>
      <c r="H24">
        <v>0.9</v>
      </c>
    </row>
    <row r="25" spans="1:8">
      <c r="A25" s="1">
        <v>43</v>
      </c>
      <c r="B25" t="s">
        <v>74</v>
      </c>
      <c r="C25">
        <v>10</v>
      </c>
      <c r="D25">
        <v>2100</v>
      </c>
      <c r="E25">
        <v>0.88</v>
      </c>
      <c r="F25" t="s">
        <v>12</v>
      </c>
      <c r="G25">
        <v>0</v>
      </c>
      <c r="H25">
        <v>0.9</v>
      </c>
    </row>
    <row r="26" spans="1:8">
      <c r="A26" s="1">
        <v>44</v>
      </c>
      <c r="B26" t="s">
        <v>74</v>
      </c>
      <c r="C26">
        <v>15</v>
      </c>
      <c r="D26">
        <v>2000</v>
      </c>
      <c r="E26">
        <v>0.87</v>
      </c>
      <c r="F26" t="s">
        <v>12</v>
      </c>
      <c r="G26">
        <v>0</v>
      </c>
      <c r="H26">
        <v>0.9</v>
      </c>
    </row>
    <row r="27" spans="1:8">
      <c r="A27" s="1">
        <v>45</v>
      </c>
      <c r="B27" t="s">
        <v>14</v>
      </c>
      <c r="C27">
        <v>1</v>
      </c>
      <c r="D27">
        <v>6000</v>
      </c>
      <c r="E27">
        <v>1</v>
      </c>
      <c r="F27" t="s">
        <v>12</v>
      </c>
      <c r="G27">
        <v>0</v>
      </c>
      <c r="H27">
        <v>0</v>
      </c>
    </row>
    <row r="28" spans="1:8">
      <c r="A28" s="1">
        <v>46</v>
      </c>
      <c r="B28" t="s">
        <v>14</v>
      </c>
      <c r="C28">
        <v>2</v>
      </c>
      <c r="D28">
        <v>6000</v>
      </c>
      <c r="E28">
        <v>1</v>
      </c>
      <c r="F28" t="s">
        <v>12</v>
      </c>
      <c r="G28">
        <v>0</v>
      </c>
      <c r="H28">
        <v>0</v>
      </c>
    </row>
    <row r="29" spans="1:8">
      <c r="A29" s="1">
        <v>47</v>
      </c>
      <c r="B29" t="s">
        <v>14</v>
      </c>
      <c r="C29">
        <v>2</v>
      </c>
      <c r="D29">
        <v>6000</v>
      </c>
      <c r="E29">
        <v>1</v>
      </c>
      <c r="F29" t="s">
        <v>12</v>
      </c>
      <c r="G29">
        <v>0</v>
      </c>
      <c r="H29">
        <v>0</v>
      </c>
    </row>
    <row r="30" spans="1:8">
      <c r="A30" s="1">
        <v>48</v>
      </c>
      <c r="B30" t="s">
        <v>14</v>
      </c>
      <c r="C30">
        <v>4</v>
      </c>
      <c r="D30">
        <v>3000</v>
      </c>
      <c r="E30">
        <v>1</v>
      </c>
      <c r="F30" t="s">
        <v>12</v>
      </c>
      <c r="G30">
        <v>0</v>
      </c>
      <c r="H30">
        <v>0</v>
      </c>
    </row>
    <row r="31" spans="1:8">
      <c r="A31" s="1">
        <v>49</v>
      </c>
      <c r="B31" t="s">
        <v>14</v>
      </c>
      <c r="C31">
        <v>6</v>
      </c>
      <c r="D31">
        <v>4000</v>
      </c>
      <c r="E31">
        <v>1</v>
      </c>
      <c r="F31" t="s">
        <v>12</v>
      </c>
      <c r="G31">
        <v>0</v>
      </c>
      <c r="H31">
        <v>0</v>
      </c>
    </row>
    <row r="32" spans="1:8">
      <c r="A32" s="1">
        <v>50</v>
      </c>
      <c r="B32" t="s">
        <v>14</v>
      </c>
      <c r="C32">
        <v>8</v>
      </c>
      <c r="D32">
        <v>4000</v>
      </c>
      <c r="E32">
        <v>1</v>
      </c>
      <c r="F32" t="s">
        <v>12</v>
      </c>
      <c r="G32">
        <v>0</v>
      </c>
      <c r="H32">
        <v>0</v>
      </c>
    </row>
    <row r="33" spans="1:9">
      <c r="A33" s="1">
        <v>51</v>
      </c>
      <c r="B33" t="s">
        <v>14</v>
      </c>
      <c r="C33">
        <v>10</v>
      </c>
      <c r="D33">
        <v>4000</v>
      </c>
      <c r="E33">
        <v>1</v>
      </c>
      <c r="F33" t="s">
        <v>12</v>
      </c>
      <c r="G33">
        <v>0</v>
      </c>
      <c r="H33">
        <v>0</v>
      </c>
    </row>
    <row r="34" spans="1:9">
      <c r="A34" s="1">
        <v>52</v>
      </c>
      <c r="B34" t="s">
        <v>14</v>
      </c>
      <c r="C34">
        <v>12</v>
      </c>
      <c r="D34">
        <v>4000</v>
      </c>
      <c r="E34">
        <v>1</v>
      </c>
      <c r="F34" t="s">
        <v>12</v>
      </c>
      <c r="G34">
        <v>0</v>
      </c>
      <c r="H34">
        <v>0</v>
      </c>
    </row>
    <row r="35" spans="1:9">
      <c r="A35" s="1">
        <v>53</v>
      </c>
      <c r="B35" t="s">
        <v>14</v>
      </c>
      <c r="C35">
        <v>13</v>
      </c>
      <c r="D35">
        <v>4000</v>
      </c>
      <c r="E35">
        <v>1</v>
      </c>
      <c r="F35" t="s">
        <v>12</v>
      </c>
      <c r="G35">
        <v>0</v>
      </c>
      <c r="H35">
        <v>0</v>
      </c>
    </row>
    <row r="36" spans="1:9">
      <c r="A36" s="1">
        <v>54</v>
      </c>
      <c r="B36" t="s">
        <v>14</v>
      </c>
      <c r="C36">
        <v>14</v>
      </c>
      <c r="D36">
        <v>4000</v>
      </c>
      <c r="E36">
        <v>1</v>
      </c>
      <c r="F36" t="s">
        <v>12</v>
      </c>
      <c r="G36">
        <v>0</v>
      </c>
      <c r="H36">
        <v>0</v>
      </c>
    </row>
    <row r="37" spans="1:9">
      <c r="A37" s="1">
        <v>55</v>
      </c>
      <c r="B37" t="s">
        <v>14</v>
      </c>
      <c r="C37">
        <v>15</v>
      </c>
      <c r="D37">
        <v>4000</v>
      </c>
      <c r="E37">
        <v>1</v>
      </c>
      <c r="F37" t="s">
        <v>12</v>
      </c>
      <c r="G37">
        <v>0</v>
      </c>
      <c r="H37">
        <v>0</v>
      </c>
    </row>
    <row r="38" spans="1:9">
      <c r="A38" s="1">
        <v>56</v>
      </c>
      <c r="B38" t="s">
        <v>14</v>
      </c>
      <c r="C38">
        <v>16</v>
      </c>
      <c r="D38">
        <v>4000</v>
      </c>
      <c r="E38">
        <v>1</v>
      </c>
      <c r="F38" t="s">
        <v>12</v>
      </c>
      <c r="G38">
        <v>0</v>
      </c>
      <c r="H38">
        <v>0</v>
      </c>
    </row>
    <row r="39" spans="1:9">
      <c r="A39" s="1">
        <v>57</v>
      </c>
      <c r="B39" t="s">
        <v>14</v>
      </c>
      <c r="C39">
        <v>17</v>
      </c>
      <c r="D39">
        <v>4000</v>
      </c>
      <c r="E39">
        <v>1</v>
      </c>
      <c r="F39" t="s">
        <v>12</v>
      </c>
      <c r="G39">
        <v>0</v>
      </c>
      <c r="H39">
        <v>0</v>
      </c>
    </row>
    <row r="40" spans="1:9">
      <c r="A40" s="1">
        <v>58</v>
      </c>
      <c r="B40" t="s">
        <v>14</v>
      </c>
      <c r="C40">
        <v>18</v>
      </c>
      <c r="D40">
        <v>4000</v>
      </c>
      <c r="E40">
        <v>1</v>
      </c>
      <c r="F40" t="s">
        <v>12</v>
      </c>
      <c r="G40">
        <v>0</v>
      </c>
      <c r="H40">
        <v>0</v>
      </c>
    </row>
    <row r="41" spans="1:9">
      <c r="A41" s="1">
        <v>59</v>
      </c>
      <c r="B41" t="s">
        <v>14</v>
      </c>
      <c r="C41">
        <v>19</v>
      </c>
      <c r="D41">
        <v>4000</v>
      </c>
      <c r="E41">
        <v>1</v>
      </c>
      <c r="F41" t="s">
        <v>12</v>
      </c>
      <c r="G41">
        <v>0</v>
      </c>
      <c r="H41">
        <v>0</v>
      </c>
    </row>
    <row r="42" spans="1:9">
      <c r="A42" s="1">
        <v>60</v>
      </c>
      <c r="B42" t="s">
        <v>14</v>
      </c>
      <c r="C42">
        <v>20</v>
      </c>
      <c r="D42">
        <v>5000</v>
      </c>
      <c r="E42">
        <v>1</v>
      </c>
      <c r="F42" t="s">
        <v>12</v>
      </c>
      <c r="G42">
        <v>0</v>
      </c>
      <c r="H42">
        <v>0</v>
      </c>
    </row>
    <row r="43" spans="1:9">
      <c r="A43" s="1">
        <v>61</v>
      </c>
      <c r="B43" s="20" t="s">
        <v>31</v>
      </c>
      <c r="C43">
        <v>1</v>
      </c>
      <c r="D43" s="21">
        <v>4000</v>
      </c>
      <c r="E43" s="18">
        <v>1</v>
      </c>
      <c r="F43" s="18" t="s">
        <v>12</v>
      </c>
      <c r="G43" s="18">
        <v>0</v>
      </c>
      <c r="H43" s="18">
        <v>0</v>
      </c>
      <c r="I43" s="18"/>
    </row>
    <row r="44" spans="1:9">
      <c r="A44" s="1">
        <v>62</v>
      </c>
      <c r="B44" s="20" t="s">
        <v>31</v>
      </c>
      <c r="C44">
        <v>5</v>
      </c>
      <c r="D44" s="21">
        <v>4000</v>
      </c>
      <c r="E44" s="18">
        <v>1</v>
      </c>
      <c r="F44" s="18" t="s">
        <v>12</v>
      </c>
      <c r="G44" s="18">
        <v>0</v>
      </c>
      <c r="H44" s="18">
        <v>0</v>
      </c>
      <c r="I44" s="18"/>
    </row>
    <row r="45" spans="1:9">
      <c r="A45" s="1">
        <v>63</v>
      </c>
      <c r="B45" s="20" t="s">
        <v>31</v>
      </c>
      <c r="C45">
        <v>10</v>
      </c>
      <c r="D45" s="21">
        <v>4000</v>
      </c>
      <c r="E45" s="18">
        <v>1</v>
      </c>
      <c r="F45" s="18" t="s">
        <v>12</v>
      </c>
      <c r="G45" s="18">
        <v>0</v>
      </c>
      <c r="H45" s="18">
        <v>0</v>
      </c>
      <c r="I45" s="18"/>
    </row>
    <row r="46" spans="1:9">
      <c r="A46" s="1">
        <v>64</v>
      </c>
      <c r="B46" s="20" t="s">
        <v>31</v>
      </c>
      <c r="C46">
        <v>15</v>
      </c>
      <c r="D46" s="21">
        <v>4000</v>
      </c>
      <c r="E46" s="18">
        <v>1</v>
      </c>
      <c r="F46" s="18" t="s">
        <v>12</v>
      </c>
      <c r="G46" s="18">
        <v>0</v>
      </c>
      <c r="H46" s="18">
        <v>0</v>
      </c>
      <c r="I46" s="18"/>
    </row>
    <row r="47" spans="1:9">
      <c r="A47" s="1">
        <v>65</v>
      </c>
      <c r="B47" t="s">
        <v>30</v>
      </c>
      <c r="C47">
        <v>1</v>
      </c>
      <c r="D47" s="4">
        <v>6000</v>
      </c>
      <c r="E47">
        <v>1</v>
      </c>
      <c r="F47" t="s">
        <v>12</v>
      </c>
      <c r="G47">
        <v>0</v>
      </c>
      <c r="H47">
        <v>0</v>
      </c>
    </row>
    <row r="48" spans="1:9">
      <c r="A48" s="1">
        <v>66</v>
      </c>
      <c r="B48" t="s">
        <v>30</v>
      </c>
      <c r="C48">
        <v>2</v>
      </c>
      <c r="D48" s="4">
        <v>5000</v>
      </c>
      <c r="E48">
        <v>1</v>
      </c>
      <c r="F48" t="s">
        <v>12</v>
      </c>
      <c r="G48">
        <v>0</v>
      </c>
      <c r="H48">
        <v>0</v>
      </c>
    </row>
    <row r="49" spans="1:8">
      <c r="A49" s="1">
        <v>67</v>
      </c>
      <c r="B49" t="s">
        <v>30</v>
      </c>
      <c r="C49">
        <v>3</v>
      </c>
      <c r="D49">
        <v>6000</v>
      </c>
      <c r="E49">
        <v>1</v>
      </c>
      <c r="F49" t="s">
        <v>12</v>
      </c>
      <c r="G49">
        <v>0</v>
      </c>
      <c r="H49">
        <v>0</v>
      </c>
    </row>
    <row r="50" spans="1:8">
      <c r="A50" s="1">
        <v>68</v>
      </c>
      <c r="B50" t="s">
        <v>30</v>
      </c>
      <c r="C50">
        <v>4</v>
      </c>
      <c r="D50">
        <v>7000</v>
      </c>
      <c r="E50">
        <v>1</v>
      </c>
      <c r="F50" t="s">
        <v>12</v>
      </c>
      <c r="G50">
        <v>0</v>
      </c>
      <c r="H50">
        <v>0</v>
      </c>
    </row>
    <row r="51" spans="1:8">
      <c r="A51" s="1">
        <v>69</v>
      </c>
      <c r="B51" t="s">
        <v>30</v>
      </c>
      <c r="C51">
        <v>5</v>
      </c>
      <c r="D51">
        <v>7000</v>
      </c>
      <c r="E51">
        <v>1</v>
      </c>
      <c r="F51" t="s">
        <v>12</v>
      </c>
      <c r="G51">
        <v>0</v>
      </c>
      <c r="H51">
        <v>0</v>
      </c>
    </row>
    <row r="52" spans="1:8">
      <c r="A52" s="1">
        <v>70</v>
      </c>
      <c r="B52" t="s">
        <v>30</v>
      </c>
      <c r="C52">
        <v>6</v>
      </c>
      <c r="D52">
        <v>7000</v>
      </c>
      <c r="E52">
        <v>1</v>
      </c>
      <c r="F52" t="s">
        <v>12</v>
      </c>
      <c r="G52">
        <v>0</v>
      </c>
      <c r="H52">
        <v>0</v>
      </c>
    </row>
    <row r="53" spans="1:8">
      <c r="A53" s="1">
        <v>71</v>
      </c>
      <c r="B53" t="s">
        <v>30</v>
      </c>
      <c r="C53">
        <v>7</v>
      </c>
      <c r="D53">
        <v>4500</v>
      </c>
      <c r="E53">
        <v>1</v>
      </c>
      <c r="F53" t="s">
        <v>12</v>
      </c>
      <c r="G53">
        <v>0</v>
      </c>
      <c r="H53">
        <v>0</v>
      </c>
    </row>
    <row r="54" spans="1:8">
      <c r="A54" s="1">
        <v>72</v>
      </c>
      <c r="B54" t="s">
        <v>30</v>
      </c>
      <c r="C54">
        <v>8</v>
      </c>
      <c r="D54">
        <v>4500</v>
      </c>
      <c r="E54">
        <v>1</v>
      </c>
      <c r="F54" t="s">
        <v>12</v>
      </c>
      <c r="G54">
        <v>0</v>
      </c>
      <c r="H54">
        <v>0</v>
      </c>
    </row>
    <row r="55" spans="1:8">
      <c r="A55" s="1">
        <v>73</v>
      </c>
      <c r="B55" t="s">
        <v>30</v>
      </c>
      <c r="C55">
        <v>9</v>
      </c>
      <c r="D55">
        <v>4500</v>
      </c>
      <c r="E55">
        <v>1</v>
      </c>
      <c r="F55" t="s">
        <v>12</v>
      </c>
      <c r="G55">
        <v>0</v>
      </c>
      <c r="H55">
        <v>0</v>
      </c>
    </row>
    <row r="56" spans="1:8">
      <c r="A56" s="1">
        <v>74</v>
      </c>
      <c r="B56" t="s">
        <v>30</v>
      </c>
      <c r="C56">
        <v>10</v>
      </c>
      <c r="D56">
        <v>4500</v>
      </c>
      <c r="E56">
        <v>1</v>
      </c>
      <c r="F56" t="s">
        <v>12</v>
      </c>
      <c r="G56">
        <v>0</v>
      </c>
      <c r="H56">
        <v>0</v>
      </c>
    </row>
    <row r="57" spans="1:8">
      <c r="A57" s="1">
        <v>75</v>
      </c>
      <c r="B57" t="s">
        <v>30</v>
      </c>
      <c r="C57">
        <v>11</v>
      </c>
      <c r="D57">
        <v>4500</v>
      </c>
      <c r="E57">
        <v>1</v>
      </c>
      <c r="F57" t="s">
        <v>12</v>
      </c>
      <c r="G57">
        <v>0</v>
      </c>
      <c r="H57">
        <v>0</v>
      </c>
    </row>
    <row r="58" spans="1:8">
      <c r="A58" s="1">
        <v>76</v>
      </c>
      <c r="B58" t="s">
        <v>30</v>
      </c>
      <c r="C58">
        <v>12</v>
      </c>
      <c r="D58">
        <v>4500</v>
      </c>
      <c r="E58">
        <v>1</v>
      </c>
      <c r="F58" t="s">
        <v>12</v>
      </c>
      <c r="G58">
        <v>0</v>
      </c>
      <c r="H58">
        <v>0</v>
      </c>
    </row>
    <row r="59" spans="1:8">
      <c r="A59" s="1">
        <v>77</v>
      </c>
      <c r="B59" t="s">
        <v>30</v>
      </c>
      <c r="C59">
        <v>13</v>
      </c>
      <c r="D59">
        <v>4500</v>
      </c>
      <c r="E59">
        <v>1</v>
      </c>
      <c r="F59" t="s">
        <v>12</v>
      </c>
      <c r="G59">
        <v>0</v>
      </c>
      <c r="H59">
        <v>0</v>
      </c>
    </row>
    <row r="60" spans="1:8">
      <c r="A60" s="1">
        <v>78</v>
      </c>
      <c r="B60" t="s">
        <v>30</v>
      </c>
      <c r="C60">
        <v>14</v>
      </c>
      <c r="D60">
        <v>4500</v>
      </c>
      <c r="E60">
        <v>1</v>
      </c>
      <c r="F60" t="s">
        <v>12</v>
      </c>
      <c r="G60">
        <v>0</v>
      </c>
      <c r="H60">
        <v>0</v>
      </c>
    </row>
    <row r="61" spans="1:8">
      <c r="A61" s="1">
        <v>79</v>
      </c>
      <c r="B61" t="s">
        <v>30</v>
      </c>
      <c r="C61">
        <v>15</v>
      </c>
      <c r="D61">
        <v>4500</v>
      </c>
      <c r="E61">
        <v>1</v>
      </c>
      <c r="F61" t="s">
        <v>12</v>
      </c>
      <c r="G61">
        <v>0</v>
      </c>
      <c r="H61">
        <v>0</v>
      </c>
    </row>
    <row r="62" spans="1:8">
      <c r="A62" s="1">
        <v>80</v>
      </c>
      <c r="B62" t="s">
        <v>30</v>
      </c>
      <c r="C62">
        <v>16</v>
      </c>
      <c r="D62">
        <v>4500</v>
      </c>
      <c r="E62">
        <v>1</v>
      </c>
      <c r="F62" t="s">
        <v>12</v>
      </c>
      <c r="G62">
        <v>0</v>
      </c>
      <c r="H62">
        <v>0</v>
      </c>
    </row>
    <row r="63" spans="1:8">
      <c r="A63" s="1">
        <v>81</v>
      </c>
      <c r="B63" t="s">
        <v>30</v>
      </c>
      <c r="C63">
        <v>17</v>
      </c>
      <c r="D63">
        <v>4000</v>
      </c>
      <c r="E63">
        <v>1</v>
      </c>
      <c r="F63" t="s">
        <v>12</v>
      </c>
      <c r="G63">
        <v>0</v>
      </c>
      <c r="H63">
        <v>0</v>
      </c>
    </row>
    <row r="64" spans="1:8">
      <c r="A64" s="1">
        <v>82</v>
      </c>
      <c r="B64" t="s">
        <v>30</v>
      </c>
      <c r="C64">
        <v>18</v>
      </c>
      <c r="D64">
        <v>4000</v>
      </c>
      <c r="E64">
        <v>1</v>
      </c>
      <c r="F64" t="s">
        <v>12</v>
      </c>
      <c r="G64">
        <v>0</v>
      </c>
      <c r="H64">
        <v>0</v>
      </c>
    </row>
    <row r="65" spans="1:8">
      <c r="A65" s="1">
        <v>83</v>
      </c>
      <c r="B65" s="3" t="s">
        <v>22</v>
      </c>
      <c r="C65">
        <v>10</v>
      </c>
      <c r="D65" s="4">
        <v>3000</v>
      </c>
      <c r="E65">
        <v>0.42</v>
      </c>
      <c r="F65" t="s">
        <v>12</v>
      </c>
      <c r="G65">
        <v>0</v>
      </c>
      <c r="H65">
        <v>0</v>
      </c>
    </row>
    <row r="66" spans="1:8">
      <c r="A66" s="1">
        <v>84</v>
      </c>
      <c r="B66" s="3" t="s">
        <v>22</v>
      </c>
      <c r="C66">
        <v>5</v>
      </c>
      <c r="D66" s="4">
        <v>2900</v>
      </c>
      <c r="E66">
        <v>0.42</v>
      </c>
      <c r="F66" t="s">
        <v>12</v>
      </c>
      <c r="G66">
        <v>0</v>
      </c>
      <c r="H66">
        <v>0</v>
      </c>
    </row>
    <row r="67" spans="1:8">
      <c r="A67" s="1">
        <v>85</v>
      </c>
      <c r="B67" s="3" t="s">
        <v>22</v>
      </c>
      <c r="C67">
        <v>1</v>
      </c>
      <c r="D67" s="4">
        <v>3100</v>
      </c>
      <c r="E67">
        <v>0.42</v>
      </c>
      <c r="F67" t="s">
        <v>12</v>
      </c>
      <c r="G67">
        <v>0</v>
      </c>
      <c r="H67">
        <v>0</v>
      </c>
    </row>
  </sheetData>
  <autoFilter ref="A1:I1" xr:uid="{BCCA0DB4-82B5-4F45-9627-77778B586330}">
    <sortState xmlns:xlrd2="http://schemas.microsoft.com/office/spreadsheetml/2017/richdata2" ref="A2:I21">
      <sortCondition ref="A1"/>
    </sortState>
  </autoFilter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09830-ACCB-49F0-B751-AE24D0F6CF61}">
  <sheetPr>
    <tabColor rgb="FFFFC000"/>
  </sheetPr>
  <dimension ref="A1:L42"/>
  <sheetViews>
    <sheetView topLeftCell="A16" zoomScaleNormal="100" workbookViewId="0">
      <selection activeCell="C33" sqref="C33"/>
    </sheetView>
  </sheetViews>
  <sheetFormatPr defaultRowHeight="15"/>
  <cols>
    <col min="2" max="2" width="35.7109375" customWidth="1"/>
    <col min="7" max="7" width="14.85546875" customWidth="1"/>
    <col min="11" max="11" width="18.28515625" customWidth="1"/>
  </cols>
  <sheetData>
    <row r="1" spans="1:12">
      <c r="A1" t="s">
        <v>106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L1" s="1"/>
    </row>
    <row r="2" spans="1:12">
      <c r="A2" s="1">
        <v>25</v>
      </c>
      <c r="B2" t="s">
        <v>26</v>
      </c>
      <c r="C2">
        <v>7</v>
      </c>
      <c r="D2">
        <v>2000</v>
      </c>
      <c r="E2">
        <v>0.59</v>
      </c>
      <c r="F2" t="s">
        <v>12</v>
      </c>
      <c r="G2" t="s">
        <v>13</v>
      </c>
      <c r="H2">
        <v>0</v>
      </c>
      <c r="I2">
        <v>0</v>
      </c>
      <c r="J2">
        <v>0</v>
      </c>
    </row>
    <row r="3" spans="1:12">
      <c r="A3" s="1">
        <v>26</v>
      </c>
      <c r="B3" t="s">
        <v>31</v>
      </c>
      <c r="C3">
        <v>1</v>
      </c>
      <c r="D3">
        <v>425.90300000000002</v>
      </c>
      <c r="E3">
        <v>1</v>
      </c>
      <c r="F3" t="s">
        <v>12</v>
      </c>
      <c r="G3" t="s">
        <v>13</v>
      </c>
      <c r="H3">
        <v>0</v>
      </c>
      <c r="I3">
        <v>0</v>
      </c>
      <c r="J3">
        <v>0</v>
      </c>
    </row>
    <row r="4" spans="1:12">
      <c r="A4" s="1">
        <v>27</v>
      </c>
      <c r="B4" t="s">
        <v>11</v>
      </c>
      <c r="C4">
        <v>45</v>
      </c>
      <c r="D4">
        <v>460</v>
      </c>
      <c r="E4">
        <v>0.36299999999999999</v>
      </c>
      <c r="F4" t="s">
        <v>12</v>
      </c>
      <c r="G4" t="s">
        <v>13</v>
      </c>
      <c r="H4">
        <v>0</v>
      </c>
      <c r="I4">
        <v>0</v>
      </c>
      <c r="J4">
        <v>0</v>
      </c>
    </row>
    <row r="5" spans="1:12">
      <c r="A5" s="1">
        <v>28</v>
      </c>
      <c r="B5" t="s">
        <v>29</v>
      </c>
      <c r="C5">
        <v>13</v>
      </c>
      <c r="D5">
        <v>484</v>
      </c>
      <c r="E5">
        <v>0.34</v>
      </c>
      <c r="F5" t="s">
        <v>12</v>
      </c>
      <c r="G5" t="s">
        <v>13</v>
      </c>
      <c r="H5">
        <v>0</v>
      </c>
      <c r="I5">
        <v>0</v>
      </c>
      <c r="J5">
        <v>0</v>
      </c>
    </row>
    <row r="6" spans="1:12">
      <c r="A6" s="1">
        <v>29</v>
      </c>
      <c r="B6" t="s">
        <v>31</v>
      </c>
      <c r="C6">
        <v>2</v>
      </c>
      <c r="D6">
        <v>551.90700000000004</v>
      </c>
      <c r="E6">
        <v>1</v>
      </c>
      <c r="F6" t="s">
        <v>12</v>
      </c>
      <c r="G6" t="s">
        <v>13</v>
      </c>
      <c r="H6">
        <v>0</v>
      </c>
      <c r="I6">
        <v>0</v>
      </c>
      <c r="J6">
        <v>0</v>
      </c>
    </row>
    <row r="7" spans="1:12">
      <c r="A7" s="1">
        <v>30</v>
      </c>
      <c r="B7" t="s">
        <v>30</v>
      </c>
      <c r="C7">
        <v>3</v>
      </c>
      <c r="D7">
        <v>633.91399999999999</v>
      </c>
      <c r="E7">
        <v>1</v>
      </c>
      <c r="F7" t="s">
        <v>12</v>
      </c>
      <c r="G7" t="s">
        <v>13</v>
      </c>
      <c r="H7">
        <v>0</v>
      </c>
      <c r="I7">
        <v>0</v>
      </c>
      <c r="J7">
        <v>0</v>
      </c>
    </row>
    <row r="8" spans="1:12">
      <c r="A8" s="1">
        <v>31</v>
      </c>
      <c r="B8" t="s">
        <v>31</v>
      </c>
      <c r="C8">
        <v>11</v>
      </c>
      <c r="D8">
        <v>638.66199999999992</v>
      </c>
      <c r="E8">
        <v>1</v>
      </c>
      <c r="F8" t="s">
        <v>12</v>
      </c>
      <c r="G8" t="s">
        <v>13</v>
      </c>
      <c r="H8">
        <v>0</v>
      </c>
      <c r="I8">
        <v>0</v>
      </c>
      <c r="J8">
        <v>0</v>
      </c>
    </row>
    <row r="9" spans="1:12">
      <c r="A9" s="1">
        <v>32</v>
      </c>
      <c r="B9" t="s">
        <v>11</v>
      </c>
      <c r="C9">
        <v>33</v>
      </c>
      <c r="D9">
        <v>1000</v>
      </c>
      <c r="E9">
        <v>0.38765163297045102</v>
      </c>
      <c r="F9" t="s">
        <v>12</v>
      </c>
      <c r="G9" t="s">
        <v>13</v>
      </c>
      <c r="H9">
        <v>0</v>
      </c>
      <c r="I9">
        <v>0</v>
      </c>
      <c r="J9">
        <v>0</v>
      </c>
    </row>
    <row r="10" spans="1:12">
      <c r="A10" s="1">
        <v>33</v>
      </c>
      <c r="B10" t="s">
        <v>11</v>
      </c>
      <c r="C10">
        <v>33</v>
      </c>
      <c r="D10">
        <v>1000</v>
      </c>
      <c r="E10">
        <v>0.38765163297045102</v>
      </c>
      <c r="F10" t="s">
        <v>12</v>
      </c>
      <c r="G10" t="s">
        <v>13</v>
      </c>
      <c r="H10">
        <v>0</v>
      </c>
      <c r="I10">
        <v>0</v>
      </c>
      <c r="J10">
        <v>0</v>
      </c>
    </row>
    <row r="11" spans="1:12">
      <c r="A11" s="1">
        <v>34</v>
      </c>
      <c r="B11" t="s">
        <v>11</v>
      </c>
      <c r="C11">
        <v>33</v>
      </c>
      <c r="D11">
        <v>1000</v>
      </c>
      <c r="E11">
        <v>0.38765163297045102</v>
      </c>
      <c r="F11" t="s">
        <v>12</v>
      </c>
      <c r="G11" t="s">
        <v>13</v>
      </c>
      <c r="H11">
        <v>0</v>
      </c>
      <c r="I11">
        <v>0</v>
      </c>
      <c r="J11">
        <v>0</v>
      </c>
    </row>
    <row r="12" spans="1:12">
      <c r="A12" s="1">
        <v>35</v>
      </c>
      <c r="B12" t="s">
        <v>11</v>
      </c>
      <c r="C12">
        <v>33</v>
      </c>
      <c r="D12">
        <v>1000</v>
      </c>
      <c r="E12">
        <v>0.38765163297045102</v>
      </c>
      <c r="F12" t="s">
        <v>12</v>
      </c>
      <c r="G12" t="s">
        <v>13</v>
      </c>
      <c r="H12">
        <v>0</v>
      </c>
      <c r="I12">
        <v>0</v>
      </c>
      <c r="J12">
        <v>0</v>
      </c>
    </row>
    <row r="13" spans="1:12">
      <c r="A13" s="1">
        <v>36</v>
      </c>
      <c r="B13" t="s">
        <v>11</v>
      </c>
      <c r="C13">
        <v>33</v>
      </c>
      <c r="D13">
        <v>1000</v>
      </c>
      <c r="E13">
        <v>0.38765163297045102</v>
      </c>
      <c r="F13" t="s">
        <v>12</v>
      </c>
      <c r="G13" t="s">
        <v>13</v>
      </c>
      <c r="H13">
        <v>0</v>
      </c>
      <c r="I13">
        <v>0</v>
      </c>
      <c r="J13">
        <v>0</v>
      </c>
    </row>
    <row r="14" spans="1:12">
      <c r="A14" s="1">
        <v>37</v>
      </c>
      <c r="B14" t="s">
        <v>11</v>
      </c>
      <c r="C14">
        <v>33</v>
      </c>
      <c r="D14">
        <v>1000</v>
      </c>
      <c r="E14">
        <v>0.38765163297045102</v>
      </c>
      <c r="F14" t="s">
        <v>12</v>
      </c>
      <c r="G14" t="s">
        <v>13</v>
      </c>
      <c r="H14">
        <v>0</v>
      </c>
      <c r="I14">
        <v>0</v>
      </c>
      <c r="J14">
        <v>0</v>
      </c>
    </row>
    <row r="15" spans="1:12">
      <c r="A15" s="1">
        <v>38</v>
      </c>
      <c r="B15" t="s">
        <v>11</v>
      </c>
      <c r="C15">
        <v>33</v>
      </c>
      <c r="D15">
        <v>1000</v>
      </c>
      <c r="E15">
        <v>0.38765163297045102</v>
      </c>
      <c r="F15" t="s">
        <v>12</v>
      </c>
      <c r="G15" t="s">
        <v>13</v>
      </c>
      <c r="H15">
        <v>0</v>
      </c>
      <c r="I15">
        <v>0</v>
      </c>
      <c r="J15">
        <v>0</v>
      </c>
    </row>
    <row r="16" spans="1:12">
      <c r="A16" s="1">
        <v>39</v>
      </c>
      <c r="B16" t="s">
        <v>11</v>
      </c>
      <c r="C16">
        <v>33</v>
      </c>
      <c r="D16">
        <v>1000</v>
      </c>
      <c r="E16">
        <v>0.38765163297045102</v>
      </c>
      <c r="F16" t="s">
        <v>12</v>
      </c>
      <c r="G16" t="s">
        <v>13</v>
      </c>
      <c r="H16">
        <v>0</v>
      </c>
      <c r="I16">
        <v>0</v>
      </c>
      <c r="J16">
        <v>0</v>
      </c>
    </row>
    <row r="17" spans="1:10">
      <c r="A17" s="1">
        <v>40</v>
      </c>
      <c r="B17" t="s">
        <v>30</v>
      </c>
      <c r="C17">
        <v>6</v>
      </c>
      <c r="D17">
        <v>1648.7439999999999</v>
      </c>
      <c r="E17">
        <v>1</v>
      </c>
      <c r="F17" t="s">
        <v>12</v>
      </c>
      <c r="G17" t="s">
        <v>13</v>
      </c>
      <c r="H17">
        <v>0</v>
      </c>
      <c r="I17">
        <v>0</v>
      </c>
      <c r="J17">
        <v>0</v>
      </c>
    </row>
    <row r="18" spans="1:10">
      <c r="A18" s="1">
        <v>41</v>
      </c>
      <c r="B18" t="s">
        <v>31</v>
      </c>
      <c r="C18">
        <v>3</v>
      </c>
      <c r="D18">
        <v>1659.473</v>
      </c>
      <c r="E18">
        <v>1</v>
      </c>
      <c r="F18" t="s">
        <v>12</v>
      </c>
      <c r="G18" t="s">
        <v>13</v>
      </c>
      <c r="H18">
        <v>0</v>
      </c>
      <c r="I18">
        <v>0</v>
      </c>
      <c r="J18">
        <v>0</v>
      </c>
    </row>
    <row r="19" spans="1:10">
      <c r="A19" s="1">
        <v>42</v>
      </c>
      <c r="B19" t="s">
        <v>26</v>
      </c>
      <c r="C19">
        <v>6</v>
      </c>
      <c r="D19">
        <v>1872</v>
      </c>
      <c r="E19">
        <v>0.58498853211009172</v>
      </c>
      <c r="F19" t="s">
        <v>12</v>
      </c>
      <c r="G19" t="s">
        <v>13</v>
      </c>
      <c r="H19">
        <v>0</v>
      </c>
      <c r="I19">
        <v>0</v>
      </c>
      <c r="J19">
        <v>0</v>
      </c>
    </row>
    <row r="20" spans="1:10">
      <c r="A20" s="1">
        <v>43</v>
      </c>
      <c r="B20" t="s">
        <v>26</v>
      </c>
      <c r="C20">
        <v>3</v>
      </c>
      <c r="D20">
        <v>874</v>
      </c>
      <c r="E20">
        <v>0.57999999999999996</v>
      </c>
      <c r="F20" t="s">
        <v>12</v>
      </c>
      <c r="G20" t="s">
        <v>13</v>
      </c>
      <c r="H20">
        <v>0</v>
      </c>
      <c r="I20">
        <v>0</v>
      </c>
      <c r="J20">
        <v>0</v>
      </c>
    </row>
    <row r="21" spans="1:10">
      <c r="A21" s="1">
        <v>44</v>
      </c>
      <c r="B21" t="s">
        <v>30</v>
      </c>
      <c r="C21">
        <v>0</v>
      </c>
      <c r="D21">
        <v>2400.5369999999998</v>
      </c>
      <c r="E21">
        <v>1</v>
      </c>
      <c r="F21" t="s">
        <v>12</v>
      </c>
      <c r="G21" t="s">
        <v>13</v>
      </c>
      <c r="H21">
        <v>0</v>
      </c>
      <c r="I21">
        <v>0</v>
      </c>
      <c r="J21">
        <v>0</v>
      </c>
    </row>
    <row r="22" spans="1:10">
      <c r="A22" s="1">
        <v>45</v>
      </c>
      <c r="B22" t="s">
        <v>30</v>
      </c>
      <c r="C22">
        <v>1</v>
      </c>
      <c r="D22">
        <v>1527.3040000000001</v>
      </c>
      <c r="E22">
        <v>1</v>
      </c>
      <c r="F22" t="s">
        <v>12</v>
      </c>
      <c r="G22" t="s">
        <v>13</v>
      </c>
      <c r="H22">
        <v>0</v>
      </c>
      <c r="I22">
        <v>0</v>
      </c>
      <c r="J22">
        <v>0</v>
      </c>
    </row>
    <row r="23" spans="1:10">
      <c r="A23" s="1">
        <v>46</v>
      </c>
      <c r="B23" t="s">
        <v>31</v>
      </c>
      <c r="C23">
        <v>14</v>
      </c>
      <c r="D23">
        <v>1016.313</v>
      </c>
      <c r="E23">
        <v>1</v>
      </c>
      <c r="F23" t="s">
        <v>12</v>
      </c>
      <c r="G23" t="s">
        <v>13</v>
      </c>
      <c r="H23">
        <v>0</v>
      </c>
      <c r="I23">
        <v>0</v>
      </c>
      <c r="J23">
        <v>0</v>
      </c>
    </row>
    <row r="24" spans="1:10">
      <c r="A24" s="1">
        <v>47</v>
      </c>
      <c r="B24" t="s">
        <v>14</v>
      </c>
      <c r="C24">
        <v>0</v>
      </c>
      <c r="D24">
        <v>2000</v>
      </c>
      <c r="E24">
        <v>1</v>
      </c>
      <c r="F24" t="s">
        <v>12</v>
      </c>
      <c r="G24" t="s">
        <v>13</v>
      </c>
      <c r="H24">
        <v>0</v>
      </c>
      <c r="I24">
        <v>0</v>
      </c>
      <c r="J24">
        <v>0</v>
      </c>
    </row>
    <row r="25" spans="1:10">
      <c r="A25" s="1">
        <v>48</v>
      </c>
      <c r="B25" t="s">
        <v>14</v>
      </c>
      <c r="C25">
        <v>0</v>
      </c>
      <c r="D25">
        <v>1200</v>
      </c>
      <c r="E25">
        <v>1</v>
      </c>
      <c r="F25" t="s">
        <v>12</v>
      </c>
      <c r="G25" t="s">
        <v>13</v>
      </c>
      <c r="H25">
        <v>0</v>
      </c>
      <c r="I25">
        <v>0</v>
      </c>
      <c r="J25">
        <v>0</v>
      </c>
    </row>
    <row r="26" spans="1:10">
      <c r="A26" s="1">
        <v>49</v>
      </c>
      <c r="B26" t="s">
        <v>14</v>
      </c>
      <c r="C26">
        <v>0</v>
      </c>
      <c r="D26">
        <v>1200</v>
      </c>
      <c r="E26">
        <v>1</v>
      </c>
      <c r="F26" t="s">
        <v>12</v>
      </c>
      <c r="G26" t="s">
        <v>13</v>
      </c>
      <c r="H26">
        <v>0</v>
      </c>
      <c r="I26">
        <v>0</v>
      </c>
      <c r="J26">
        <v>0</v>
      </c>
    </row>
    <row r="27" spans="1:10">
      <c r="A27" s="1">
        <v>50</v>
      </c>
      <c r="B27" t="s">
        <v>14</v>
      </c>
      <c r="C27">
        <v>0</v>
      </c>
      <c r="D27">
        <v>1200</v>
      </c>
      <c r="E27">
        <v>1</v>
      </c>
      <c r="F27" t="s">
        <v>12</v>
      </c>
      <c r="G27" t="s">
        <v>13</v>
      </c>
      <c r="H27">
        <v>0</v>
      </c>
      <c r="I27">
        <v>0</v>
      </c>
      <c r="J27">
        <v>0</v>
      </c>
    </row>
    <row r="28" spans="1:10">
      <c r="A28" s="1">
        <v>51</v>
      </c>
      <c r="B28" t="s">
        <v>14</v>
      </c>
      <c r="C28">
        <v>0</v>
      </c>
      <c r="D28">
        <v>1200</v>
      </c>
      <c r="E28">
        <v>1</v>
      </c>
      <c r="F28" t="s">
        <v>12</v>
      </c>
      <c r="G28" t="s">
        <v>13</v>
      </c>
      <c r="H28">
        <v>0</v>
      </c>
      <c r="I28">
        <v>0</v>
      </c>
      <c r="J28">
        <v>0</v>
      </c>
    </row>
    <row r="29" spans="1:10">
      <c r="A29" s="1">
        <v>52</v>
      </c>
      <c r="B29" t="s">
        <v>14</v>
      </c>
      <c r="C29">
        <v>0</v>
      </c>
      <c r="D29">
        <v>1200</v>
      </c>
      <c r="E29">
        <v>1</v>
      </c>
      <c r="F29" t="s">
        <v>12</v>
      </c>
      <c r="G29" t="s">
        <v>13</v>
      </c>
      <c r="H29">
        <v>0</v>
      </c>
      <c r="I29">
        <v>0</v>
      </c>
      <c r="J29">
        <v>0</v>
      </c>
    </row>
    <row r="30" spans="1:10">
      <c r="A30" s="1">
        <v>53</v>
      </c>
      <c r="B30" t="s">
        <v>14</v>
      </c>
      <c r="C30">
        <v>0</v>
      </c>
      <c r="D30">
        <v>1200</v>
      </c>
      <c r="E30">
        <v>1</v>
      </c>
      <c r="F30" t="s">
        <v>12</v>
      </c>
      <c r="G30" t="s">
        <v>13</v>
      </c>
      <c r="H30">
        <v>0</v>
      </c>
      <c r="I30">
        <v>0</v>
      </c>
      <c r="J30">
        <v>0</v>
      </c>
    </row>
    <row r="31" spans="1:10">
      <c r="A31" s="1">
        <v>54</v>
      </c>
      <c r="B31" s="10" t="s">
        <v>74</v>
      </c>
      <c r="C31">
        <v>0</v>
      </c>
      <c r="D31">
        <v>2000</v>
      </c>
      <c r="E31">
        <v>1</v>
      </c>
      <c r="F31" t="s">
        <v>12</v>
      </c>
      <c r="G31" t="s">
        <v>13</v>
      </c>
      <c r="H31">
        <v>0</v>
      </c>
      <c r="I31">
        <v>0</v>
      </c>
      <c r="J31">
        <v>0</v>
      </c>
    </row>
    <row r="32" spans="1:10">
      <c r="A32" s="1">
        <v>55</v>
      </c>
      <c r="B32" s="10" t="s">
        <v>74</v>
      </c>
      <c r="C32">
        <v>0</v>
      </c>
      <c r="D32">
        <v>1800</v>
      </c>
      <c r="E32">
        <v>1</v>
      </c>
      <c r="F32" t="s">
        <v>12</v>
      </c>
      <c r="G32" t="s">
        <v>13</v>
      </c>
      <c r="H32">
        <v>0</v>
      </c>
      <c r="I32">
        <v>0</v>
      </c>
      <c r="J32">
        <v>0</v>
      </c>
    </row>
    <row r="33" spans="1:10">
      <c r="A33" s="1">
        <v>56</v>
      </c>
      <c r="B33" s="10" t="s">
        <v>74</v>
      </c>
      <c r="C33">
        <v>0</v>
      </c>
      <c r="D33">
        <v>1500</v>
      </c>
      <c r="E33">
        <v>1</v>
      </c>
      <c r="F33" t="s">
        <v>12</v>
      </c>
      <c r="G33" t="s">
        <v>13</v>
      </c>
      <c r="H33">
        <v>0</v>
      </c>
      <c r="I33">
        <v>0</v>
      </c>
      <c r="J33">
        <v>0</v>
      </c>
    </row>
    <row r="34" spans="1:10">
      <c r="A34" s="1">
        <v>57</v>
      </c>
      <c r="B34" s="10" t="s">
        <v>74</v>
      </c>
      <c r="C34">
        <v>0</v>
      </c>
      <c r="D34">
        <v>1000</v>
      </c>
      <c r="E34">
        <v>1</v>
      </c>
      <c r="F34" t="s">
        <v>12</v>
      </c>
      <c r="G34" t="s">
        <v>13</v>
      </c>
      <c r="H34">
        <v>0</v>
      </c>
      <c r="I34">
        <v>0</v>
      </c>
      <c r="J34">
        <v>0</v>
      </c>
    </row>
    <row r="35" spans="1:10">
      <c r="A35" s="1">
        <v>58</v>
      </c>
      <c r="B35" s="10" t="s">
        <v>74</v>
      </c>
      <c r="C35">
        <v>-1</v>
      </c>
      <c r="D35">
        <v>2000</v>
      </c>
      <c r="E35">
        <v>1</v>
      </c>
      <c r="F35" t="s">
        <v>12</v>
      </c>
      <c r="G35" t="s">
        <v>13</v>
      </c>
      <c r="H35">
        <v>0</v>
      </c>
      <c r="I35">
        <v>0</v>
      </c>
      <c r="J35">
        <v>0</v>
      </c>
    </row>
    <row r="36" spans="1:10">
      <c r="A36" s="1">
        <v>59</v>
      </c>
      <c r="B36" s="10" t="s">
        <v>74</v>
      </c>
      <c r="C36">
        <v>-1</v>
      </c>
      <c r="D36">
        <v>1800</v>
      </c>
      <c r="E36">
        <v>1</v>
      </c>
      <c r="F36" t="s">
        <v>12</v>
      </c>
      <c r="G36" t="s">
        <v>13</v>
      </c>
      <c r="H36">
        <v>0</v>
      </c>
      <c r="I36">
        <v>0</v>
      </c>
      <c r="J36">
        <v>0</v>
      </c>
    </row>
    <row r="37" spans="1:10">
      <c r="A37" s="1">
        <v>60</v>
      </c>
      <c r="B37" s="10" t="s">
        <v>74</v>
      </c>
      <c r="C37">
        <v>-2</v>
      </c>
      <c r="D37">
        <v>1500</v>
      </c>
      <c r="E37">
        <v>1</v>
      </c>
      <c r="F37" t="s">
        <v>12</v>
      </c>
      <c r="G37" t="s">
        <v>13</v>
      </c>
      <c r="H37">
        <v>0</v>
      </c>
      <c r="I37">
        <v>0</v>
      </c>
      <c r="J37">
        <v>0</v>
      </c>
    </row>
    <row r="38" spans="1:10">
      <c r="A38" s="1">
        <v>61</v>
      </c>
      <c r="B38" s="10" t="s">
        <v>74</v>
      </c>
      <c r="C38">
        <v>-2</v>
      </c>
      <c r="D38">
        <v>1000</v>
      </c>
      <c r="E38">
        <v>1</v>
      </c>
      <c r="F38" t="s">
        <v>12</v>
      </c>
      <c r="G38" t="s">
        <v>13</v>
      </c>
      <c r="H38">
        <v>0</v>
      </c>
      <c r="I38">
        <v>0</v>
      </c>
      <c r="J38">
        <v>0</v>
      </c>
    </row>
    <row r="41" spans="1:10">
      <c r="B41" s="10"/>
    </row>
    <row r="42" spans="1:10">
      <c r="B42" s="10"/>
    </row>
  </sheetData>
  <autoFilter ref="A1:J1" xr:uid="{67609830-ACCB-49F0-B751-AE24D0F6CF61}">
    <sortState xmlns:xlrd2="http://schemas.microsoft.com/office/spreadsheetml/2017/richdata2" ref="A24:J42">
      <sortCondition ref="A1"/>
    </sortState>
  </autoFilter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C26A1-8AAE-49C1-B239-84231B4324DA}">
  <sheetPr>
    <tabColor rgb="FFFFC000"/>
  </sheetPr>
  <dimension ref="A1:L44"/>
  <sheetViews>
    <sheetView topLeftCell="A7" workbookViewId="0">
      <selection activeCell="Q38" sqref="Q38"/>
    </sheetView>
  </sheetViews>
  <sheetFormatPr defaultRowHeight="15"/>
  <cols>
    <col min="2" max="2" width="19.28515625" customWidth="1"/>
  </cols>
  <sheetData>
    <row r="1" spans="1:12">
      <c r="A1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>
      <c r="A2" s="1">
        <v>20</v>
      </c>
      <c r="B2" t="s">
        <v>30</v>
      </c>
      <c r="C2">
        <v>-10</v>
      </c>
      <c r="D2">
        <v>3095.0839999999998</v>
      </c>
      <c r="E2">
        <v>1</v>
      </c>
      <c r="F2">
        <v>1</v>
      </c>
      <c r="G2" t="s">
        <v>12</v>
      </c>
      <c r="H2" t="s">
        <v>13</v>
      </c>
      <c r="I2">
        <v>0</v>
      </c>
      <c r="J2">
        <v>0</v>
      </c>
      <c r="L2" s="16" t="s">
        <v>107</v>
      </c>
    </row>
    <row r="3" spans="1:12">
      <c r="A3" s="1">
        <v>21</v>
      </c>
      <c r="B3" t="s">
        <v>30</v>
      </c>
      <c r="C3">
        <v>-9</v>
      </c>
      <c r="D3">
        <v>2400.5369999999998</v>
      </c>
      <c r="E3">
        <v>1</v>
      </c>
      <c r="F3">
        <v>1</v>
      </c>
      <c r="G3" t="s">
        <v>12</v>
      </c>
      <c r="H3" t="s">
        <v>13</v>
      </c>
      <c r="I3">
        <v>0</v>
      </c>
      <c r="J3">
        <v>0</v>
      </c>
      <c r="L3" s="16" t="s">
        <v>108</v>
      </c>
    </row>
    <row r="4" spans="1:12">
      <c r="A4" s="1">
        <v>22</v>
      </c>
      <c r="B4" t="s">
        <v>30</v>
      </c>
      <c r="C4">
        <v>-8</v>
      </c>
      <c r="D4">
        <v>1527.3040000000001</v>
      </c>
      <c r="E4">
        <v>1</v>
      </c>
      <c r="F4">
        <v>1</v>
      </c>
      <c r="G4" t="s">
        <v>12</v>
      </c>
      <c r="H4" t="s">
        <v>13</v>
      </c>
      <c r="I4">
        <v>0</v>
      </c>
      <c r="J4">
        <v>0</v>
      </c>
    </row>
    <row r="5" spans="1:12">
      <c r="A5" s="1">
        <v>23</v>
      </c>
      <c r="B5" t="s">
        <v>30</v>
      </c>
      <c r="C5">
        <v>-7</v>
      </c>
      <c r="D5">
        <v>588.56900000000007</v>
      </c>
      <c r="E5">
        <v>1</v>
      </c>
      <c r="F5">
        <v>1</v>
      </c>
      <c r="G5" t="s">
        <v>12</v>
      </c>
      <c r="H5" t="s">
        <v>13</v>
      </c>
      <c r="I5">
        <v>0</v>
      </c>
      <c r="J5">
        <v>0</v>
      </c>
    </row>
    <row r="6" spans="1:12">
      <c r="A6" s="1">
        <v>24</v>
      </c>
      <c r="B6" t="s">
        <v>30</v>
      </c>
      <c r="C6">
        <v>-6</v>
      </c>
      <c r="D6">
        <v>633.91399999999999</v>
      </c>
      <c r="E6">
        <v>1</v>
      </c>
      <c r="F6">
        <v>1</v>
      </c>
      <c r="G6" t="s">
        <v>12</v>
      </c>
      <c r="H6" t="s">
        <v>13</v>
      </c>
      <c r="I6">
        <v>0</v>
      </c>
      <c r="J6">
        <v>0</v>
      </c>
    </row>
    <row r="7" spans="1:12">
      <c r="A7" s="1">
        <v>25</v>
      </c>
      <c r="B7" t="s">
        <v>30</v>
      </c>
      <c r="C7">
        <v>-5</v>
      </c>
      <c r="D7">
        <v>498.2</v>
      </c>
      <c r="E7">
        <v>1</v>
      </c>
      <c r="F7">
        <v>1</v>
      </c>
      <c r="G7" t="s">
        <v>12</v>
      </c>
      <c r="H7" t="s">
        <v>13</v>
      </c>
      <c r="I7">
        <v>0</v>
      </c>
      <c r="J7">
        <v>0</v>
      </c>
    </row>
    <row r="8" spans="1:12">
      <c r="A8" s="1">
        <v>26</v>
      </c>
      <c r="B8" t="s">
        <v>30</v>
      </c>
      <c r="C8">
        <v>-4</v>
      </c>
      <c r="D8">
        <v>492.642</v>
      </c>
      <c r="E8">
        <v>1</v>
      </c>
      <c r="F8">
        <v>1</v>
      </c>
      <c r="G8" t="s">
        <v>12</v>
      </c>
      <c r="H8" t="s">
        <v>13</v>
      </c>
      <c r="I8">
        <v>0</v>
      </c>
      <c r="J8">
        <v>0</v>
      </c>
    </row>
    <row r="9" spans="1:12">
      <c r="A9" s="1">
        <v>27</v>
      </c>
      <c r="B9" t="s">
        <v>30</v>
      </c>
      <c r="C9">
        <v>-3</v>
      </c>
      <c r="D9">
        <v>648.74400000000003</v>
      </c>
      <c r="E9">
        <v>1</v>
      </c>
      <c r="F9">
        <v>1</v>
      </c>
      <c r="G9" t="s">
        <v>12</v>
      </c>
      <c r="H9" t="s">
        <v>13</v>
      </c>
      <c r="I9">
        <v>0</v>
      </c>
      <c r="J9">
        <v>0</v>
      </c>
    </row>
    <row r="10" spans="1:12">
      <c r="A10" s="1">
        <v>28</v>
      </c>
      <c r="B10" t="s">
        <v>31</v>
      </c>
      <c r="C10">
        <v>-10</v>
      </c>
      <c r="D10">
        <v>346.12299999999999</v>
      </c>
      <c r="E10">
        <v>1</v>
      </c>
      <c r="F10">
        <v>1</v>
      </c>
      <c r="G10" t="s">
        <v>12</v>
      </c>
      <c r="H10" t="s">
        <v>13</v>
      </c>
      <c r="I10">
        <v>0</v>
      </c>
      <c r="J10">
        <v>0</v>
      </c>
    </row>
    <row r="11" spans="1:12">
      <c r="A11" s="1">
        <v>29</v>
      </c>
      <c r="B11" t="s">
        <v>31</v>
      </c>
      <c r="C11">
        <v>-9</v>
      </c>
      <c r="D11">
        <v>341.774</v>
      </c>
      <c r="E11">
        <v>1</v>
      </c>
      <c r="F11">
        <v>1</v>
      </c>
      <c r="G11" t="s">
        <v>12</v>
      </c>
      <c r="H11" t="s">
        <v>13</v>
      </c>
      <c r="I11">
        <v>0</v>
      </c>
      <c r="J11">
        <v>0</v>
      </c>
    </row>
    <row r="12" spans="1:12">
      <c r="A12" s="1">
        <v>30</v>
      </c>
      <c r="B12" t="s">
        <v>31</v>
      </c>
      <c r="C12">
        <v>-8</v>
      </c>
      <c r="D12">
        <v>425.90300000000002</v>
      </c>
      <c r="E12">
        <v>1</v>
      </c>
      <c r="F12">
        <v>1</v>
      </c>
      <c r="G12" t="s">
        <v>12</v>
      </c>
      <c r="H12" t="s">
        <v>13</v>
      </c>
      <c r="I12">
        <v>0</v>
      </c>
      <c r="J12">
        <v>0</v>
      </c>
    </row>
    <row r="13" spans="1:12">
      <c r="A13" s="1">
        <v>31</v>
      </c>
      <c r="B13" t="s">
        <v>31</v>
      </c>
      <c r="C13">
        <v>-7</v>
      </c>
      <c r="D13">
        <v>551.90700000000004</v>
      </c>
      <c r="E13">
        <v>1</v>
      </c>
      <c r="F13">
        <v>1</v>
      </c>
      <c r="G13" t="s">
        <v>12</v>
      </c>
      <c r="H13" t="s">
        <v>13</v>
      </c>
      <c r="I13">
        <v>0</v>
      </c>
      <c r="J13">
        <v>0</v>
      </c>
    </row>
    <row r="14" spans="1:12">
      <c r="A14" s="1">
        <v>32</v>
      </c>
      <c r="B14" t="s">
        <v>31</v>
      </c>
      <c r="C14">
        <v>-6</v>
      </c>
      <c r="D14">
        <v>331.66300000000001</v>
      </c>
      <c r="E14">
        <v>1</v>
      </c>
      <c r="F14">
        <v>1</v>
      </c>
      <c r="G14" t="s">
        <v>12</v>
      </c>
      <c r="H14" t="s">
        <v>13</v>
      </c>
      <c r="I14">
        <v>0</v>
      </c>
      <c r="J14">
        <v>0</v>
      </c>
    </row>
    <row r="15" spans="1:12">
      <c r="A15" s="1">
        <v>33</v>
      </c>
      <c r="B15" t="s">
        <v>31</v>
      </c>
      <c r="C15">
        <v>2</v>
      </c>
      <c r="D15">
        <v>966.47199999999998</v>
      </c>
      <c r="E15">
        <v>1</v>
      </c>
      <c r="F15">
        <v>1</v>
      </c>
      <c r="G15" t="s">
        <v>12</v>
      </c>
      <c r="H15" t="s">
        <v>13</v>
      </c>
      <c r="I15">
        <v>0</v>
      </c>
      <c r="J15">
        <v>0</v>
      </c>
    </row>
    <row r="16" spans="1:12">
      <c r="A16" s="1">
        <v>34</v>
      </c>
      <c r="B16" t="s">
        <v>31</v>
      </c>
      <c r="C16">
        <v>3</v>
      </c>
      <c r="D16">
        <v>317.36399999999998</v>
      </c>
      <c r="E16">
        <v>1</v>
      </c>
      <c r="F16">
        <v>1</v>
      </c>
      <c r="G16" t="s">
        <v>12</v>
      </c>
      <c r="H16" t="s">
        <v>13</v>
      </c>
      <c r="I16">
        <v>0</v>
      </c>
      <c r="J16">
        <v>0</v>
      </c>
    </row>
    <row r="17" spans="1:10">
      <c r="A17" s="1">
        <v>35</v>
      </c>
      <c r="B17" t="s">
        <v>31</v>
      </c>
      <c r="C17">
        <v>4</v>
      </c>
      <c r="D17">
        <v>285.59800000000001</v>
      </c>
      <c r="E17">
        <v>1</v>
      </c>
      <c r="F17">
        <v>1</v>
      </c>
      <c r="G17" t="s">
        <v>12</v>
      </c>
      <c r="H17" t="s">
        <v>13</v>
      </c>
      <c r="I17">
        <v>0</v>
      </c>
      <c r="J17">
        <v>0</v>
      </c>
    </row>
    <row r="18" spans="1:10">
      <c r="A18" s="1">
        <v>36</v>
      </c>
      <c r="B18" t="s">
        <v>31</v>
      </c>
      <c r="C18">
        <v>5</v>
      </c>
      <c r="D18">
        <v>1016.313</v>
      </c>
      <c r="E18">
        <v>1</v>
      </c>
      <c r="F18">
        <v>1</v>
      </c>
      <c r="G18" t="s">
        <v>12</v>
      </c>
      <c r="H18" t="s">
        <v>13</v>
      </c>
      <c r="I18">
        <v>0</v>
      </c>
      <c r="J18">
        <v>0</v>
      </c>
    </row>
    <row r="19" spans="1:10">
      <c r="A19" s="1">
        <v>37</v>
      </c>
      <c r="B19" t="s">
        <v>14</v>
      </c>
      <c r="C19">
        <v>-10</v>
      </c>
      <c r="D19">
        <v>732.62</v>
      </c>
      <c r="E19">
        <v>1</v>
      </c>
      <c r="F19">
        <v>1</v>
      </c>
      <c r="G19" t="s">
        <v>12</v>
      </c>
      <c r="H19" t="s">
        <v>13</v>
      </c>
      <c r="I19">
        <v>0</v>
      </c>
      <c r="J19">
        <v>0</v>
      </c>
    </row>
    <row r="20" spans="1:10">
      <c r="A20" s="1">
        <v>38</v>
      </c>
      <c r="B20" t="s">
        <v>14</v>
      </c>
      <c r="C20">
        <v>-7</v>
      </c>
      <c r="D20">
        <v>203.696</v>
      </c>
      <c r="E20">
        <v>1</v>
      </c>
      <c r="F20">
        <v>1</v>
      </c>
      <c r="G20" t="s">
        <v>12</v>
      </c>
      <c r="H20" t="s">
        <v>13</v>
      </c>
      <c r="I20">
        <v>0</v>
      </c>
      <c r="J20">
        <v>0</v>
      </c>
    </row>
    <row r="21" spans="1:10">
      <c r="A21" s="1">
        <v>39</v>
      </c>
      <c r="B21" t="s">
        <v>14</v>
      </c>
      <c r="C21">
        <v>-6</v>
      </c>
      <c r="D21">
        <v>758.99400000000003</v>
      </c>
      <c r="E21">
        <v>1</v>
      </c>
      <c r="F21">
        <v>1</v>
      </c>
      <c r="G21" t="s">
        <v>12</v>
      </c>
      <c r="H21" t="s">
        <v>13</v>
      </c>
      <c r="I21">
        <v>0</v>
      </c>
      <c r="J21">
        <v>0</v>
      </c>
    </row>
    <row r="22" spans="1:10">
      <c r="A22" s="1">
        <v>40</v>
      </c>
      <c r="B22" t="s">
        <v>27</v>
      </c>
      <c r="C22">
        <v>2</v>
      </c>
      <c r="D22">
        <v>862.64</v>
      </c>
      <c r="E22">
        <v>0.40999999999999992</v>
      </c>
      <c r="F22">
        <v>0.9</v>
      </c>
      <c r="G22" t="s">
        <v>12</v>
      </c>
      <c r="H22" t="s">
        <v>13</v>
      </c>
      <c r="I22">
        <v>0</v>
      </c>
      <c r="J22">
        <v>0</v>
      </c>
    </row>
    <row r="23" spans="1:10">
      <c r="A23" s="1">
        <v>41</v>
      </c>
      <c r="B23" t="s">
        <v>27</v>
      </c>
      <c r="C23">
        <v>3</v>
      </c>
      <c r="D23">
        <v>721</v>
      </c>
      <c r="E23">
        <v>0.40999999999999992</v>
      </c>
      <c r="F23">
        <v>0.9</v>
      </c>
      <c r="G23" t="s">
        <v>12</v>
      </c>
      <c r="H23" t="s">
        <v>13</v>
      </c>
      <c r="I23">
        <v>0</v>
      </c>
      <c r="J23">
        <v>0</v>
      </c>
    </row>
    <row r="24" spans="1:10">
      <c r="A24" s="1">
        <v>42</v>
      </c>
      <c r="B24" t="s">
        <v>27</v>
      </c>
      <c r="C24">
        <v>4</v>
      </c>
      <c r="D24">
        <v>641</v>
      </c>
      <c r="E24">
        <v>0.41</v>
      </c>
      <c r="F24">
        <v>0.9</v>
      </c>
      <c r="G24" t="s">
        <v>12</v>
      </c>
      <c r="H24" t="s">
        <v>13</v>
      </c>
      <c r="I24">
        <v>0</v>
      </c>
      <c r="J24">
        <v>0</v>
      </c>
    </row>
    <row r="25" spans="1:10">
      <c r="A25" s="1">
        <v>43</v>
      </c>
      <c r="B25" t="s">
        <v>27</v>
      </c>
      <c r="C25">
        <v>5</v>
      </c>
      <c r="D25">
        <v>739.29300000000001</v>
      </c>
      <c r="E25">
        <v>0.29418898900706492</v>
      </c>
      <c r="F25">
        <v>0.85153338326238082</v>
      </c>
      <c r="G25" t="s">
        <v>12</v>
      </c>
      <c r="H25" t="s">
        <v>13</v>
      </c>
      <c r="I25">
        <v>0</v>
      </c>
      <c r="J25">
        <v>0</v>
      </c>
    </row>
    <row r="26" spans="1:10">
      <c r="A26" s="1">
        <v>44</v>
      </c>
      <c r="B26" t="s">
        <v>27</v>
      </c>
      <c r="C26">
        <v>10</v>
      </c>
      <c r="D26">
        <v>541.81700000000001</v>
      </c>
      <c r="E26">
        <v>0.40885261998054689</v>
      </c>
      <c r="F26">
        <v>0.80465495256227204</v>
      </c>
      <c r="G26" t="s">
        <v>12</v>
      </c>
      <c r="H26" t="s">
        <v>13</v>
      </c>
      <c r="I26">
        <v>0</v>
      </c>
      <c r="J26">
        <v>0</v>
      </c>
    </row>
    <row r="27" spans="1:10">
      <c r="A27" s="1">
        <v>45</v>
      </c>
      <c r="B27" t="s">
        <v>27</v>
      </c>
      <c r="C27">
        <v>11</v>
      </c>
      <c r="D27">
        <v>557.93399999999997</v>
      </c>
      <c r="E27">
        <v>0.41587463750192682</v>
      </c>
      <c r="F27">
        <v>0.90357265448136415</v>
      </c>
      <c r="G27" t="s">
        <v>12</v>
      </c>
      <c r="H27" t="s">
        <v>13</v>
      </c>
      <c r="I27">
        <v>0</v>
      </c>
      <c r="J27">
        <v>0</v>
      </c>
    </row>
    <row r="28" spans="1:10">
      <c r="A28" s="1">
        <v>46</v>
      </c>
      <c r="B28" t="s">
        <v>27</v>
      </c>
      <c r="C28">
        <v>13</v>
      </c>
      <c r="D28">
        <v>1040.24</v>
      </c>
      <c r="E28">
        <v>0.35755348765669459</v>
      </c>
      <c r="F28">
        <v>0.90748031496062986</v>
      </c>
      <c r="G28" t="s">
        <v>12</v>
      </c>
      <c r="H28" t="s">
        <v>13</v>
      </c>
      <c r="I28">
        <v>0</v>
      </c>
      <c r="J28">
        <v>0</v>
      </c>
    </row>
    <row r="29" spans="1:10">
      <c r="A29" s="1">
        <v>47</v>
      </c>
      <c r="B29" t="s">
        <v>27</v>
      </c>
      <c r="C29">
        <v>14</v>
      </c>
      <c r="D29">
        <v>1101.962</v>
      </c>
      <c r="E29">
        <v>0.43746768808724801</v>
      </c>
      <c r="F29">
        <v>0.86452184587633829</v>
      </c>
      <c r="G29" t="s">
        <v>12</v>
      </c>
      <c r="H29" t="s">
        <v>13</v>
      </c>
      <c r="I29">
        <v>0</v>
      </c>
      <c r="J29">
        <v>0</v>
      </c>
    </row>
    <row r="30" spans="1:10">
      <c r="A30" s="1">
        <v>48</v>
      </c>
      <c r="B30" t="s">
        <v>27</v>
      </c>
      <c r="C30">
        <v>19</v>
      </c>
      <c r="D30">
        <v>655.18101000000001</v>
      </c>
      <c r="E30">
        <v>0.35211968384126391</v>
      </c>
      <c r="F30">
        <v>0.83900354082941675</v>
      </c>
      <c r="G30" t="s">
        <v>12</v>
      </c>
      <c r="H30" t="s">
        <v>13</v>
      </c>
      <c r="I30">
        <v>0</v>
      </c>
      <c r="J30">
        <v>0</v>
      </c>
    </row>
    <row r="31" spans="1:10">
      <c r="A31" s="1">
        <v>49</v>
      </c>
      <c r="B31" t="s">
        <v>27</v>
      </c>
      <c r="C31">
        <v>20</v>
      </c>
      <c r="D31">
        <v>385.096</v>
      </c>
      <c r="E31">
        <v>0.37457672891954208</v>
      </c>
      <c r="F31">
        <v>0.84204432141595864</v>
      </c>
      <c r="G31" t="s">
        <v>12</v>
      </c>
      <c r="H31" t="s">
        <v>13</v>
      </c>
      <c r="I31">
        <v>0</v>
      </c>
      <c r="J31">
        <v>0</v>
      </c>
    </row>
    <row r="32" spans="1:10">
      <c r="A32" s="1">
        <v>50</v>
      </c>
      <c r="B32" t="s">
        <v>27</v>
      </c>
      <c r="C32">
        <v>23</v>
      </c>
      <c r="D32">
        <v>814.64</v>
      </c>
      <c r="E32">
        <v>0.36897208343562798</v>
      </c>
      <c r="F32">
        <v>0.88625159579691626</v>
      </c>
      <c r="G32" t="s">
        <v>12</v>
      </c>
      <c r="H32" t="s">
        <v>13</v>
      </c>
      <c r="I32">
        <v>0</v>
      </c>
      <c r="J32">
        <v>0</v>
      </c>
    </row>
    <row r="33" spans="1:10">
      <c r="A33" s="1">
        <v>51</v>
      </c>
      <c r="B33" t="s">
        <v>22</v>
      </c>
      <c r="C33">
        <v>16</v>
      </c>
      <c r="D33">
        <v>631</v>
      </c>
      <c r="E33">
        <v>0.42</v>
      </c>
      <c r="F33">
        <v>0.80000000000000016</v>
      </c>
      <c r="G33" t="s">
        <v>12</v>
      </c>
      <c r="H33" t="s">
        <v>13</v>
      </c>
      <c r="I33">
        <v>0</v>
      </c>
      <c r="J33">
        <v>0</v>
      </c>
    </row>
    <row r="34" spans="1:10">
      <c r="A34" s="1">
        <v>52</v>
      </c>
      <c r="B34" t="s">
        <v>23</v>
      </c>
      <c r="C34">
        <v>15</v>
      </c>
      <c r="D34">
        <v>630</v>
      </c>
      <c r="E34">
        <v>0.41</v>
      </c>
      <c r="F34">
        <v>0.9</v>
      </c>
      <c r="G34" t="s">
        <v>12</v>
      </c>
      <c r="H34" t="s">
        <v>13</v>
      </c>
      <c r="I34">
        <v>0</v>
      </c>
      <c r="J34">
        <v>0</v>
      </c>
    </row>
    <row r="35" spans="1:10">
      <c r="A35" s="1">
        <v>53</v>
      </c>
      <c r="B35" t="s">
        <v>29</v>
      </c>
      <c r="C35">
        <v>4</v>
      </c>
      <c r="D35">
        <v>484</v>
      </c>
      <c r="E35">
        <v>0.34</v>
      </c>
      <c r="F35">
        <v>0.94999999975000005</v>
      </c>
      <c r="G35" t="s">
        <v>12</v>
      </c>
      <c r="H35" t="s">
        <v>13</v>
      </c>
      <c r="I35">
        <v>0</v>
      </c>
      <c r="J35">
        <v>0</v>
      </c>
    </row>
    <row r="36" spans="1:10">
      <c r="A36" s="1">
        <v>54</v>
      </c>
      <c r="B36" t="s">
        <v>26</v>
      </c>
      <c r="C36">
        <v>0</v>
      </c>
      <c r="D36">
        <v>1295</v>
      </c>
      <c r="E36">
        <v>0.58798455598455601</v>
      </c>
      <c r="F36">
        <v>0.9</v>
      </c>
      <c r="G36" t="s">
        <v>12</v>
      </c>
      <c r="H36" t="s">
        <v>13</v>
      </c>
      <c r="I36">
        <v>0</v>
      </c>
      <c r="J36">
        <v>0</v>
      </c>
    </row>
    <row r="37" spans="1:10">
      <c r="A37" s="1">
        <v>55</v>
      </c>
      <c r="B37" t="s">
        <v>26</v>
      </c>
      <c r="C37">
        <v>1</v>
      </c>
      <c r="D37">
        <v>870</v>
      </c>
      <c r="E37">
        <v>0.59</v>
      </c>
      <c r="F37">
        <v>0.9</v>
      </c>
      <c r="G37" t="s">
        <v>12</v>
      </c>
      <c r="H37" t="s">
        <v>13</v>
      </c>
      <c r="I37">
        <v>0</v>
      </c>
      <c r="J37">
        <v>0</v>
      </c>
    </row>
    <row r="38" spans="1:10">
      <c r="A38" s="1">
        <v>56</v>
      </c>
      <c r="B38" t="s">
        <v>26</v>
      </c>
      <c r="C38">
        <v>10</v>
      </c>
      <c r="D38">
        <v>245</v>
      </c>
      <c r="E38">
        <v>0.51</v>
      </c>
      <c r="F38">
        <v>0.9</v>
      </c>
      <c r="G38" t="s">
        <v>12</v>
      </c>
      <c r="H38" t="s">
        <v>13</v>
      </c>
      <c r="I38">
        <v>0</v>
      </c>
      <c r="J38">
        <v>0</v>
      </c>
    </row>
    <row r="39" spans="1:10">
      <c r="A39" s="1">
        <v>57</v>
      </c>
      <c r="B39" t="s">
        <v>26</v>
      </c>
      <c r="C39">
        <v>13</v>
      </c>
      <c r="D39">
        <v>682</v>
      </c>
      <c r="E39">
        <v>0.52</v>
      </c>
      <c r="F39">
        <v>0.9</v>
      </c>
      <c r="G39" t="s">
        <v>12</v>
      </c>
      <c r="H39" t="s">
        <v>13</v>
      </c>
      <c r="I39">
        <v>0</v>
      </c>
      <c r="J39">
        <v>0</v>
      </c>
    </row>
    <row r="40" spans="1:10">
      <c r="A40" s="1">
        <v>58</v>
      </c>
      <c r="B40" t="s">
        <v>26</v>
      </c>
      <c r="C40">
        <v>14</v>
      </c>
      <c r="D40">
        <v>341</v>
      </c>
      <c r="E40">
        <v>0.52</v>
      </c>
      <c r="F40">
        <v>0.9</v>
      </c>
      <c r="G40" t="s">
        <v>12</v>
      </c>
      <c r="H40" t="s">
        <v>13</v>
      </c>
      <c r="I40">
        <v>0</v>
      </c>
      <c r="J40">
        <v>0</v>
      </c>
    </row>
    <row r="41" spans="1:10">
      <c r="A41" s="1">
        <v>59</v>
      </c>
      <c r="B41" t="s">
        <v>11</v>
      </c>
      <c r="C41">
        <v>24</v>
      </c>
      <c r="D41">
        <v>499</v>
      </c>
      <c r="E41">
        <v>0.37254509018036069</v>
      </c>
      <c r="F41">
        <v>0.9</v>
      </c>
      <c r="G41" t="s">
        <v>12</v>
      </c>
      <c r="H41" t="s">
        <v>13</v>
      </c>
      <c r="I41">
        <v>0</v>
      </c>
      <c r="J41">
        <v>0</v>
      </c>
    </row>
    <row r="42" spans="1:10">
      <c r="A42" s="1">
        <v>60</v>
      </c>
      <c r="B42" t="s">
        <v>11</v>
      </c>
      <c r="C42">
        <v>36</v>
      </c>
      <c r="D42">
        <v>460</v>
      </c>
      <c r="E42">
        <v>0.36299999999999999</v>
      </c>
      <c r="F42">
        <v>0.9</v>
      </c>
      <c r="G42" t="s">
        <v>12</v>
      </c>
      <c r="H42" t="s">
        <v>13</v>
      </c>
      <c r="I42">
        <v>0</v>
      </c>
      <c r="J42">
        <v>0</v>
      </c>
    </row>
    <row r="43" spans="1:10">
      <c r="A43" s="1">
        <v>61</v>
      </c>
      <c r="B43" t="s">
        <v>28</v>
      </c>
      <c r="C43">
        <v>5</v>
      </c>
      <c r="D43">
        <v>39.780999999999999</v>
      </c>
      <c r="E43">
        <v>1</v>
      </c>
      <c r="F43">
        <v>1</v>
      </c>
      <c r="G43" t="s">
        <v>12</v>
      </c>
      <c r="H43" t="s">
        <v>13</v>
      </c>
      <c r="I43">
        <v>0</v>
      </c>
      <c r="J43">
        <v>0</v>
      </c>
    </row>
    <row r="44" spans="1:10">
      <c r="A44" s="1">
        <v>62</v>
      </c>
      <c r="B44" t="s">
        <v>25</v>
      </c>
      <c r="C44">
        <v>5</v>
      </c>
      <c r="D44">
        <v>17.042999999999999</v>
      </c>
      <c r="E44">
        <v>0.3</v>
      </c>
      <c r="F44">
        <v>0.74200913242009103</v>
      </c>
      <c r="G44" t="s">
        <v>12</v>
      </c>
      <c r="H44" t="s">
        <v>13</v>
      </c>
      <c r="I44">
        <v>0</v>
      </c>
      <c r="J44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C3C6E-8400-4F42-A1F0-82CC35A1E938}">
  <sheetPr>
    <tabColor rgb="FFFFC000"/>
  </sheetPr>
  <dimension ref="A3:E15"/>
  <sheetViews>
    <sheetView workbookViewId="0">
      <selection activeCell="U29" sqref="U29"/>
    </sheetView>
  </sheetViews>
  <sheetFormatPr defaultRowHeight="15"/>
  <cols>
    <col min="1" max="1" width="28.28515625" bestFit="1" customWidth="1"/>
    <col min="2" max="2" width="14.28515625" bestFit="1" customWidth="1"/>
  </cols>
  <sheetData>
    <row r="3" spans="1:5">
      <c r="A3" s="2" t="s">
        <v>20</v>
      </c>
      <c r="B3" t="s">
        <v>21</v>
      </c>
      <c r="D3" t="s">
        <v>109</v>
      </c>
      <c r="E3">
        <f>GETPIVOTDATA("Capacity",$A$3,"Technology","Biomass_CHP_wood_pellets_DH")+GETPIVOTDATA("Capacity",$A$3,"Technology","Biomass_CHP_wood_pellets_PH")+GETPIVOTDATA("Capacity",$A$3,"Technology","CCGT")+GETPIVOTDATA("Capacity",$A$3,"Technology","CCGT_CHP_backpressure_DH")+GETPIVOTDATA("Capacity",$A$3,"Technology","Coal PSC")+GETPIVOTDATA("Capacity",$A$3,"Technology","Nuclear")+GETPIVOTDATA("Capacity",$A$3,"Technology","OCGT")</f>
        <v>22367.73101</v>
      </c>
    </row>
    <row r="4" spans="1:5">
      <c r="A4" s="3" t="s">
        <v>22</v>
      </c>
      <c r="B4">
        <v>631</v>
      </c>
      <c r="D4" t="s">
        <v>110</v>
      </c>
      <c r="E4">
        <f>GETPIVOTDATA("Capacity",$A$3,"Technology","PV_utility_systems")+GETPIVOTDATA("Capacity",$A$3,"Technology","WTG_offshore")+GETPIVOTDATA("Capacity",$A$3,"Technology","WTG_onshore") +GETPIVOTDATA("Capacity",$A$3,"Technology","Hydropower_reservoir_medium")</f>
        <v>12029.800999999998</v>
      </c>
    </row>
    <row r="5" spans="1:5">
      <c r="A5" s="3" t="s">
        <v>25</v>
      </c>
      <c r="B5">
        <v>1.7679999999999969</v>
      </c>
    </row>
    <row r="6" spans="1:5">
      <c r="A6" s="3" t="s">
        <v>26</v>
      </c>
      <c r="B6">
        <v>7586</v>
      </c>
    </row>
    <row r="7" spans="1:5">
      <c r="A7" s="3" t="s">
        <v>27</v>
      </c>
      <c r="B7">
        <v>8501.9630099999995</v>
      </c>
    </row>
    <row r="8" spans="1:5">
      <c r="A8" s="3" t="s">
        <v>23</v>
      </c>
      <c r="B8">
        <v>4060</v>
      </c>
    </row>
    <row r="9" spans="1:5">
      <c r="A9" s="3" t="s">
        <v>28</v>
      </c>
      <c r="B9">
        <v>40.207000000000001</v>
      </c>
    </row>
    <row r="10" spans="1:5">
      <c r="A10" s="3" t="s">
        <v>29</v>
      </c>
      <c r="B10">
        <v>484</v>
      </c>
    </row>
    <row r="11" spans="1:5">
      <c r="A11" s="3" t="s">
        <v>11</v>
      </c>
      <c r="B11">
        <v>1103</v>
      </c>
    </row>
    <row r="12" spans="1:5">
      <c r="A12" s="3" t="s">
        <v>30</v>
      </c>
      <c r="B12">
        <v>6789.9099999999989</v>
      </c>
    </row>
    <row r="13" spans="1:5">
      <c r="A13" s="3" t="s">
        <v>14</v>
      </c>
      <c r="B13">
        <v>962.69</v>
      </c>
    </row>
    <row r="14" spans="1:5">
      <c r="A14" s="3" t="s">
        <v>31</v>
      </c>
      <c r="B14">
        <v>4236.9939999999997</v>
      </c>
    </row>
    <row r="15" spans="1:5">
      <c r="A15" s="3" t="s">
        <v>32</v>
      </c>
      <c r="B15">
        <v>34397.532009999995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AE1DC-B1F2-40C9-B131-9296BF39A7D3}">
  <sheetPr>
    <tabColor rgb="FF92D050"/>
  </sheetPr>
  <dimension ref="A1:M22"/>
  <sheetViews>
    <sheetView zoomScale="130" zoomScaleNormal="130" workbookViewId="0">
      <selection activeCell="B14" sqref="B14:I14"/>
    </sheetView>
  </sheetViews>
  <sheetFormatPr defaultRowHeight="15"/>
  <cols>
    <col min="2" max="2" width="30.28515625" customWidth="1"/>
    <col min="4" max="4" width="10.28515625" customWidth="1"/>
    <col min="8" max="8" width="12.42578125" customWidth="1"/>
    <col min="10" max="10" width="15.42578125" customWidth="1"/>
  </cols>
  <sheetData>
    <row r="1" spans="1:13">
      <c r="A1" t="s">
        <v>17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L1" s="16" t="s">
        <v>111</v>
      </c>
    </row>
    <row r="2" spans="1:13">
      <c r="A2" s="1">
        <v>20</v>
      </c>
      <c r="B2" s="3" t="s">
        <v>22</v>
      </c>
      <c r="C2">
        <v>25</v>
      </c>
      <c r="D2" s="4">
        <v>631</v>
      </c>
      <c r="E2">
        <v>0.42</v>
      </c>
      <c r="F2" t="s">
        <v>12</v>
      </c>
      <c r="G2" t="s">
        <v>13</v>
      </c>
      <c r="H2">
        <v>0</v>
      </c>
      <c r="I2">
        <v>0</v>
      </c>
      <c r="L2" s="16" t="s">
        <v>112</v>
      </c>
    </row>
    <row r="3" spans="1:13">
      <c r="A3" s="1">
        <v>21</v>
      </c>
      <c r="B3" s="3" t="s">
        <v>25</v>
      </c>
      <c r="C3">
        <v>14</v>
      </c>
      <c r="D3" s="4">
        <v>1.7679999999999969</v>
      </c>
      <c r="E3">
        <v>0.3</v>
      </c>
      <c r="F3" t="s">
        <v>12</v>
      </c>
      <c r="G3" t="s">
        <v>13</v>
      </c>
      <c r="H3">
        <v>0</v>
      </c>
      <c r="I3">
        <v>0</v>
      </c>
    </row>
    <row r="4" spans="1:13">
      <c r="A4" s="1">
        <v>23</v>
      </c>
      <c r="B4" s="3" t="s">
        <v>27</v>
      </c>
      <c r="C4">
        <v>19</v>
      </c>
      <c r="D4" s="4">
        <v>8501.9630099999995</v>
      </c>
      <c r="E4">
        <v>0.40202268255510093</v>
      </c>
      <c r="F4" t="s">
        <v>12</v>
      </c>
      <c r="G4" t="s">
        <v>13</v>
      </c>
      <c r="H4">
        <v>0</v>
      </c>
      <c r="I4">
        <v>0</v>
      </c>
    </row>
    <row r="5" spans="1:13">
      <c r="A5" s="1">
        <v>28</v>
      </c>
      <c r="B5" s="3" t="s">
        <v>28</v>
      </c>
      <c r="C5">
        <v>14</v>
      </c>
      <c r="D5" s="4">
        <v>40.207000000000001</v>
      </c>
      <c r="E5">
        <v>1</v>
      </c>
      <c r="F5" t="s">
        <v>12</v>
      </c>
      <c r="G5" t="s">
        <v>13</v>
      </c>
      <c r="H5">
        <v>0</v>
      </c>
      <c r="I5">
        <v>0</v>
      </c>
      <c r="J5" s="17"/>
    </row>
    <row r="6" spans="1:13">
      <c r="A6" s="1">
        <v>22</v>
      </c>
      <c r="B6" s="3" t="s">
        <v>26</v>
      </c>
      <c r="C6">
        <v>9.5</v>
      </c>
      <c r="D6" s="4">
        <v>17000</v>
      </c>
      <c r="E6">
        <v>0.56108109067455381</v>
      </c>
      <c r="F6" t="s">
        <v>12</v>
      </c>
      <c r="G6" t="s">
        <v>13</v>
      </c>
      <c r="H6">
        <v>0</v>
      </c>
      <c r="I6">
        <v>0</v>
      </c>
      <c r="J6" s="17"/>
    </row>
    <row r="7" spans="1:13">
      <c r="A7" s="1">
        <v>30</v>
      </c>
      <c r="B7" s="3" t="s">
        <v>26</v>
      </c>
      <c r="C7">
        <f>C6+2</f>
        <v>11.5</v>
      </c>
      <c r="D7" s="4">
        <v>15000</v>
      </c>
      <c r="E7">
        <v>0.56108109067455381</v>
      </c>
      <c r="F7" t="s">
        <v>12</v>
      </c>
      <c r="G7" t="s">
        <v>13</v>
      </c>
      <c r="H7">
        <v>0</v>
      </c>
      <c r="I7">
        <v>0</v>
      </c>
      <c r="J7" s="17"/>
      <c r="M7" s="16"/>
    </row>
    <row r="8" spans="1:13">
      <c r="A8" s="1">
        <v>24</v>
      </c>
      <c r="B8" s="3" t="s">
        <v>11</v>
      </c>
      <c r="C8">
        <v>39</v>
      </c>
      <c r="D8" s="4">
        <v>4000</v>
      </c>
      <c r="E8">
        <v>0.37532581648522551</v>
      </c>
      <c r="F8" t="s">
        <v>12</v>
      </c>
      <c r="G8" t="s">
        <v>13</v>
      </c>
      <c r="H8">
        <v>0</v>
      </c>
      <c r="I8">
        <v>0</v>
      </c>
    </row>
    <row r="9" spans="1:13">
      <c r="A9" s="1">
        <v>31</v>
      </c>
      <c r="B9" s="3" t="s">
        <v>11</v>
      </c>
      <c r="C9">
        <f>C8+2</f>
        <v>41</v>
      </c>
      <c r="D9" s="4">
        <v>5700</v>
      </c>
      <c r="E9">
        <v>0.37532581648522551</v>
      </c>
      <c r="F9" t="s">
        <v>12</v>
      </c>
      <c r="G9" t="s">
        <v>13</v>
      </c>
      <c r="H9">
        <v>0</v>
      </c>
      <c r="I9">
        <v>0</v>
      </c>
    </row>
    <row r="10" spans="1:13">
      <c r="A10" s="1">
        <v>25</v>
      </c>
      <c r="B10" s="3" t="s">
        <v>30</v>
      </c>
      <c r="C10">
        <v>3</v>
      </c>
      <c r="D10" s="4">
        <v>50000</v>
      </c>
      <c r="E10">
        <v>1</v>
      </c>
      <c r="F10" t="s">
        <v>12</v>
      </c>
      <c r="G10" t="s">
        <v>13</v>
      </c>
      <c r="H10">
        <v>0</v>
      </c>
      <c r="I10">
        <v>0</v>
      </c>
    </row>
    <row r="11" spans="1:13">
      <c r="A11" s="1">
        <v>32</v>
      </c>
      <c r="B11" s="3" t="s">
        <v>30</v>
      </c>
      <c r="C11">
        <f>C10+2</f>
        <v>5</v>
      </c>
      <c r="D11" s="4">
        <v>15050</v>
      </c>
      <c r="E11">
        <v>1</v>
      </c>
      <c r="F11" t="s">
        <v>12</v>
      </c>
      <c r="G11" t="s">
        <v>13</v>
      </c>
      <c r="H11">
        <v>0</v>
      </c>
      <c r="I11">
        <v>0</v>
      </c>
    </row>
    <row r="12" spans="1:13">
      <c r="A12" s="1">
        <v>29</v>
      </c>
      <c r="B12" s="10" t="s">
        <v>74</v>
      </c>
      <c r="C12">
        <v>0</v>
      </c>
      <c r="D12" s="4">
        <v>300</v>
      </c>
      <c r="E12">
        <v>0.9</v>
      </c>
      <c r="F12" t="s">
        <v>12</v>
      </c>
      <c r="G12" t="s">
        <v>13</v>
      </c>
      <c r="H12">
        <v>0</v>
      </c>
      <c r="I12">
        <v>0.9</v>
      </c>
    </row>
    <row r="13" spans="1:13">
      <c r="A13" s="1">
        <v>35</v>
      </c>
      <c r="B13" s="10" t="s">
        <v>74</v>
      </c>
      <c r="C13">
        <f>C12+2</f>
        <v>2</v>
      </c>
      <c r="D13" s="4">
        <v>7100</v>
      </c>
      <c r="E13">
        <v>0.9</v>
      </c>
      <c r="F13" t="s">
        <v>12</v>
      </c>
      <c r="G13" t="s">
        <v>13</v>
      </c>
      <c r="H13">
        <v>0</v>
      </c>
      <c r="I13">
        <v>0.9</v>
      </c>
    </row>
    <row r="14" spans="1:13">
      <c r="A14" s="1">
        <v>36</v>
      </c>
      <c r="B14" s="10" t="s">
        <v>74</v>
      </c>
      <c r="C14">
        <v>0</v>
      </c>
      <c r="D14" s="4">
        <v>4000</v>
      </c>
      <c r="E14">
        <v>0.9</v>
      </c>
      <c r="F14" t="s">
        <v>12</v>
      </c>
      <c r="G14" t="s">
        <v>13</v>
      </c>
      <c r="H14">
        <v>0</v>
      </c>
      <c r="I14">
        <v>0.9</v>
      </c>
    </row>
    <row r="15" spans="1:13">
      <c r="A15" s="1">
        <v>27</v>
      </c>
      <c r="B15" s="3" t="s">
        <v>31</v>
      </c>
      <c r="C15">
        <v>7</v>
      </c>
      <c r="D15" s="4">
        <v>5000</v>
      </c>
      <c r="E15">
        <v>1</v>
      </c>
      <c r="F15" t="s">
        <v>12</v>
      </c>
      <c r="G15" t="s">
        <v>13</v>
      </c>
      <c r="H15">
        <v>0</v>
      </c>
      <c r="I15">
        <v>0</v>
      </c>
      <c r="J15" s="17"/>
    </row>
    <row r="16" spans="1:13">
      <c r="A16" s="1">
        <v>34</v>
      </c>
      <c r="B16" s="3" t="s">
        <v>31</v>
      </c>
      <c r="C16">
        <f>C15+2</f>
        <v>9</v>
      </c>
      <c r="D16" s="4">
        <v>15000</v>
      </c>
      <c r="E16">
        <v>1</v>
      </c>
      <c r="F16" t="s">
        <v>12</v>
      </c>
      <c r="G16" t="s">
        <v>13</v>
      </c>
      <c r="H16">
        <v>0</v>
      </c>
      <c r="I16">
        <v>0</v>
      </c>
    </row>
    <row r="17" spans="1:9">
      <c r="A17" s="1">
        <v>38</v>
      </c>
      <c r="B17" s="3" t="s">
        <v>31</v>
      </c>
      <c r="C17">
        <v>0</v>
      </c>
      <c r="D17" s="4">
        <v>10000</v>
      </c>
      <c r="E17">
        <v>1</v>
      </c>
      <c r="F17" t="s">
        <v>12</v>
      </c>
      <c r="G17" t="s">
        <v>13</v>
      </c>
      <c r="H17">
        <v>0</v>
      </c>
      <c r="I17">
        <v>0</v>
      </c>
    </row>
    <row r="18" spans="1:9">
      <c r="A18" s="1">
        <v>39</v>
      </c>
      <c r="B18" s="3" t="s">
        <v>14</v>
      </c>
      <c r="C18">
        <v>0</v>
      </c>
      <c r="D18" s="4">
        <v>10000</v>
      </c>
      <c r="E18">
        <v>1</v>
      </c>
      <c r="F18" t="s">
        <v>12</v>
      </c>
      <c r="G18" t="s">
        <v>13</v>
      </c>
      <c r="H18">
        <v>0</v>
      </c>
      <c r="I18">
        <v>0</v>
      </c>
    </row>
    <row r="19" spans="1:9">
      <c r="A19" s="1">
        <v>40</v>
      </c>
      <c r="B19" s="3" t="s">
        <v>14</v>
      </c>
      <c r="C19">
        <v>0</v>
      </c>
      <c r="D19" s="4">
        <v>6000</v>
      </c>
      <c r="E19">
        <v>1</v>
      </c>
      <c r="F19" t="s">
        <v>12</v>
      </c>
      <c r="G19" t="s">
        <v>13</v>
      </c>
      <c r="H19">
        <v>0</v>
      </c>
      <c r="I19">
        <v>0</v>
      </c>
    </row>
    <row r="20" spans="1:9">
      <c r="A20" s="1">
        <v>37</v>
      </c>
      <c r="B20" s="3" t="s">
        <v>14</v>
      </c>
      <c r="C20">
        <v>0</v>
      </c>
      <c r="D20" s="4">
        <v>6000</v>
      </c>
      <c r="E20">
        <v>1</v>
      </c>
      <c r="F20" t="s">
        <v>12</v>
      </c>
      <c r="G20" t="s">
        <v>13</v>
      </c>
      <c r="H20">
        <v>0</v>
      </c>
      <c r="I20">
        <v>0</v>
      </c>
    </row>
    <row r="21" spans="1:9">
      <c r="A21" s="1">
        <v>33</v>
      </c>
      <c r="B21" s="3" t="s">
        <v>14</v>
      </c>
      <c r="C21">
        <f>C22+2</f>
        <v>7</v>
      </c>
      <c r="D21" s="4">
        <v>15000</v>
      </c>
      <c r="E21">
        <v>1</v>
      </c>
      <c r="F21" t="s">
        <v>12</v>
      </c>
      <c r="G21" t="s">
        <v>13</v>
      </c>
      <c r="H21">
        <v>0</v>
      </c>
      <c r="I21">
        <v>0</v>
      </c>
    </row>
    <row r="22" spans="1:9">
      <c r="A22" s="1">
        <v>26</v>
      </c>
      <c r="B22" s="3" t="s">
        <v>14</v>
      </c>
      <c r="C22">
        <v>5</v>
      </c>
      <c r="D22" s="4">
        <v>30000</v>
      </c>
      <c r="E22">
        <v>1</v>
      </c>
      <c r="F22" t="s">
        <v>12</v>
      </c>
      <c r="G22" t="s">
        <v>13</v>
      </c>
      <c r="H22">
        <v>0</v>
      </c>
      <c r="I22">
        <v>0</v>
      </c>
    </row>
  </sheetData>
  <autoFilter ref="A1:J1" xr:uid="{BCCA0DB4-82B5-4F45-9627-77778B586330}">
    <sortState xmlns:xlrd2="http://schemas.microsoft.com/office/spreadsheetml/2017/richdata2" ref="A2:J21">
      <sortCondition ref="A1"/>
    </sortState>
  </autoFilter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A0DB4-82B5-4F45-9627-77778B586330}">
  <dimension ref="A1:K12"/>
  <sheetViews>
    <sheetView zoomScale="130" zoomScaleNormal="130" workbookViewId="0">
      <selection activeCell="E23" sqref="E23"/>
    </sheetView>
  </sheetViews>
  <sheetFormatPr defaultRowHeight="15"/>
  <cols>
    <col min="2" max="2" width="30.28515625" customWidth="1"/>
  </cols>
  <sheetData>
    <row r="1" spans="1:11">
      <c r="A1" t="s">
        <v>17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>
        <v>20</v>
      </c>
      <c r="B2" s="3" t="s">
        <v>22</v>
      </c>
      <c r="C2">
        <v>25</v>
      </c>
      <c r="D2">
        <v>631</v>
      </c>
      <c r="E2">
        <v>0.42</v>
      </c>
      <c r="F2">
        <v>0.9</v>
      </c>
      <c r="G2" t="s">
        <v>12</v>
      </c>
      <c r="H2" t="s">
        <v>13</v>
      </c>
      <c r="I2">
        <v>0</v>
      </c>
      <c r="J2">
        <v>0</v>
      </c>
      <c r="K2">
        <v>0</v>
      </c>
    </row>
    <row r="3" spans="1:11">
      <c r="A3" s="1">
        <v>21</v>
      </c>
      <c r="B3" s="3" t="s">
        <v>25</v>
      </c>
      <c r="C3">
        <v>14</v>
      </c>
      <c r="D3">
        <v>1.7679999999999969</v>
      </c>
      <c r="E3">
        <v>0.3</v>
      </c>
      <c r="F3">
        <v>0.9</v>
      </c>
      <c r="G3" t="s">
        <v>12</v>
      </c>
      <c r="H3" t="s">
        <v>13</v>
      </c>
      <c r="I3">
        <v>0</v>
      </c>
      <c r="J3">
        <v>0</v>
      </c>
      <c r="K3">
        <v>0</v>
      </c>
    </row>
    <row r="4" spans="1:11">
      <c r="A4" s="1">
        <v>22</v>
      </c>
      <c r="B4" s="3" t="s">
        <v>26</v>
      </c>
      <c r="C4">
        <v>9.5</v>
      </c>
      <c r="D4">
        <v>7586</v>
      </c>
      <c r="E4">
        <v>0.56108109067455381</v>
      </c>
      <c r="F4">
        <v>0.9</v>
      </c>
      <c r="G4" t="s">
        <v>12</v>
      </c>
      <c r="H4" t="s">
        <v>13</v>
      </c>
      <c r="I4">
        <v>0</v>
      </c>
      <c r="J4">
        <v>0</v>
      </c>
      <c r="K4">
        <v>0</v>
      </c>
    </row>
    <row r="5" spans="1:11">
      <c r="A5" s="1">
        <v>23</v>
      </c>
      <c r="B5" s="3" t="s">
        <v>27</v>
      </c>
      <c r="C5">
        <v>19</v>
      </c>
      <c r="D5">
        <v>8501.9630099999995</v>
      </c>
      <c r="E5">
        <v>0.40202268255510093</v>
      </c>
      <c r="F5">
        <v>0.9</v>
      </c>
      <c r="G5" t="s">
        <v>12</v>
      </c>
      <c r="H5" t="s">
        <v>13</v>
      </c>
      <c r="I5">
        <v>0</v>
      </c>
      <c r="J5">
        <v>0</v>
      </c>
      <c r="K5">
        <v>0</v>
      </c>
    </row>
    <row r="6" spans="1:11">
      <c r="A6" s="1">
        <v>24</v>
      </c>
      <c r="B6" s="3" t="s">
        <v>23</v>
      </c>
      <c r="C6">
        <v>11</v>
      </c>
      <c r="D6">
        <v>4060</v>
      </c>
      <c r="E6">
        <v>0.44333333333333336</v>
      </c>
      <c r="F6">
        <v>0.9</v>
      </c>
      <c r="G6" t="s">
        <v>12</v>
      </c>
      <c r="H6" t="s">
        <v>13</v>
      </c>
      <c r="I6">
        <v>0</v>
      </c>
      <c r="J6">
        <v>0</v>
      </c>
      <c r="K6">
        <v>0</v>
      </c>
    </row>
    <row r="7" spans="1:11">
      <c r="A7" s="1">
        <v>25</v>
      </c>
      <c r="B7" s="3" t="s">
        <v>28</v>
      </c>
      <c r="C7">
        <v>14</v>
      </c>
      <c r="D7">
        <v>40.207000000000001</v>
      </c>
      <c r="E7">
        <v>1</v>
      </c>
      <c r="F7">
        <v>0.9</v>
      </c>
      <c r="G7" t="s">
        <v>12</v>
      </c>
      <c r="H7" t="s">
        <v>13</v>
      </c>
      <c r="I7">
        <v>0</v>
      </c>
      <c r="J7">
        <v>0</v>
      </c>
      <c r="K7">
        <v>0</v>
      </c>
    </row>
    <row r="8" spans="1:11">
      <c r="A8" s="1">
        <v>26</v>
      </c>
      <c r="B8" s="3" t="s">
        <v>29</v>
      </c>
      <c r="C8">
        <v>13</v>
      </c>
      <c r="D8">
        <v>484</v>
      </c>
      <c r="E8">
        <v>0.34</v>
      </c>
      <c r="F8">
        <v>0.9</v>
      </c>
      <c r="G8" t="s">
        <v>12</v>
      </c>
      <c r="H8" t="s">
        <v>13</v>
      </c>
      <c r="I8">
        <v>0</v>
      </c>
      <c r="J8">
        <v>0</v>
      </c>
      <c r="K8">
        <v>0</v>
      </c>
    </row>
    <row r="9" spans="1:11">
      <c r="A9" s="1">
        <v>27</v>
      </c>
      <c r="B9" s="3" t="s">
        <v>11</v>
      </c>
      <c r="C9">
        <v>39</v>
      </c>
      <c r="D9">
        <v>1103</v>
      </c>
      <c r="E9">
        <v>0.37532581648522551</v>
      </c>
      <c r="F9">
        <v>0.9</v>
      </c>
      <c r="G9" t="s">
        <v>12</v>
      </c>
      <c r="H9" t="s">
        <v>13</v>
      </c>
      <c r="I9">
        <v>0</v>
      </c>
      <c r="J9">
        <v>0</v>
      </c>
      <c r="K9">
        <v>0</v>
      </c>
    </row>
    <row r="10" spans="1:11">
      <c r="A10" s="1">
        <v>28</v>
      </c>
      <c r="B10" s="3" t="s">
        <v>30</v>
      </c>
      <c r="C10">
        <v>3</v>
      </c>
      <c r="D10">
        <v>6789.9099999999989</v>
      </c>
      <c r="E10">
        <v>1</v>
      </c>
      <c r="F10">
        <v>0.9</v>
      </c>
      <c r="G10" t="s">
        <v>12</v>
      </c>
      <c r="H10" t="s">
        <v>13</v>
      </c>
      <c r="I10">
        <v>0</v>
      </c>
      <c r="J10">
        <v>0</v>
      </c>
      <c r="K10">
        <v>0</v>
      </c>
    </row>
    <row r="11" spans="1:11">
      <c r="A11" s="1">
        <v>29</v>
      </c>
      <c r="B11" s="3" t="s">
        <v>14</v>
      </c>
      <c r="C11">
        <v>5</v>
      </c>
      <c r="D11">
        <v>962.69</v>
      </c>
      <c r="E11">
        <v>1</v>
      </c>
      <c r="F11">
        <v>0.9</v>
      </c>
      <c r="G11" t="s">
        <v>12</v>
      </c>
      <c r="H11" t="s">
        <v>13</v>
      </c>
      <c r="I11">
        <v>0</v>
      </c>
      <c r="J11">
        <v>0</v>
      </c>
      <c r="K11">
        <v>0</v>
      </c>
    </row>
    <row r="12" spans="1:11">
      <c r="A12" s="1">
        <v>30</v>
      </c>
      <c r="B12" s="3" t="s">
        <v>31</v>
      </c>
      <c r="C12">
        <v>7</v>
      </c>
      <c r="D12">
        <v>4236.9939999999997</v>
      </c>
      <c r="E12">
        <v>1</v>
      </c>
      <c r="F12">
        <v>0.9</v>
      </c>
      <c r="G12" t="s">
        <v>12</v>
      </c>
      <c r="H12" t="s">
        <v>13</v>
      </c>
      <c r="I12">
        <v>0</v>
      </c>
      <c r="J12">
        <v>0</v>
      </c>
      <c r="K12">
        <v>0</v>
      </c>
    </row>
  </sheetData>
  <autoFilter ref="A1:J1" xr:uid="{BCCA0DB4-82B5-4F45-9627-77778B586330}">
    <sortState xmlns:xlrd2="http://schemas.microsoft.com/office/spreadsheetml/2017/richdata2" ref="A2:J21">
      <sortCondition ref="A1"/>
    </sortState>
  </autoFilter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78530-F1D3-4B7A-B937-9D785DB65B2F}">
  <sheetPr filterMode="1"/>
  <dimension ref="A1:J193"/>
  <sheetViews>
    <sheetView zoomScale="70" zoomScaleNormal="70" workbookViewId="0">
      <selection activeCell="G204" sqref="G204"/>
    </sheetView>
  </sheetViews>
  <sheetFormatPr defaultRowHeight="15"/>
  <cols>
    <col min="2" max="2" width="36.7109375" customWidth="1"/>
    <col min="7" max="7" width="14.28515625" customWidth="1"/>
  </cols>
  <sheetData>
    <row r="1" spans="1:10"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113</v>
      </c>
      <c r="I1" s="1" t="s">
        <v>114</v>
      </c>
      <c r="J1" s="9" t="s">
        <v>8</v>
      </c>
    </row>
    <row r="2" spans="1:10" hidden="1">
      <c r="A2" s="1">
        <v>0</v>
      </c>
      <c r="B2" t="s">
        <v>30</v>
      </c>
      <c r="C2">
        <v>8</v>
      </c>
      <c r="D2">
        <v>7604.0000000000027</v>
      </c>
      <c r="E2">
        <v>1</v>
      </c>
      <c r="F2" t="s">
        <v>115</v>
      </c>
      <c r="G2" t="s">
        <v>116</v>
      </c>
      <c r="H2">
        <v>0</v>
      </c>
      <c r="I2">
        <v>0</v>
      </c>
      <c r="J2">
        <v>0</v>
      </c>
    </row>
    <row r="3" spans="1:10" hidden="1">
      <c r="A3" s="1">
        <v>1</v>
      </c>
      <c r="B3" t="s">
        <v>30</v>
      </c>
      <c r="C3">
        <v>10</v>
      </c>
      <c r="D3">
        <v>7439.9999999999991</v>
      </c>
      <c r="E3">
        <v>1</v>
      </c>
      <c r="F3" t="s">
        <v>115</v>
      </c>
      <c r="G3" t="s">
        <v>116</v>
      </c>
      <c r="H3">
        <v>0</v>
      </c>
      <c r="I3">
        <v>0</v>
      </c>
      <c r="J3">
        <v>0</v>
      </c>
    </row>
    <row r="4" spans="1:10" hidden="1">
      <c r="A4" s="1">
        <v>2</v>
      </c>
      <c r="B4" t="s">
        <v>30</v>
      </c>
      <c r="C4">
        <v>9</v>
      </c>
      <c r="D4">
        <v>7422.9999999999982</v>
      </c>
      <c r="E4">
        <v>1</v>
      </c>
      <c r="F4" t="s">
        <v>115</v>
      </c>
      <c r="G4" t="s">
        <v>116</v>
      </c>
      <c r="H4">
        <v>0</v>
      </c>
      <c r="I4">
        <v>0</v>
      </c>
      <c r="J4">
        <v>0</v>
      </c>
    </row>
    <row r="5" spans="1:10" hidden="1">
      <c r="A5" s="1">
        <v>3</v>
      </c>
      <c r="B5" t="s">
        <v>31</v>
      </c>
      <c r="C5">
        <v>3</v>
      </c>
      <c r="D5">
        <v>4890.9999999999982</v>
      </c>
      <c r="E5">
        <v>1</v>
      </c>
      <c r="F5" t="s">
        <v>115</v>
      </c>
      <c r="G5" t="s">
        <v>116</v>
      </c>
      <c r="H5">
        <v>0</v>
      </c>
      <c r="I5">
        <v>0</v>
      </c>
      <c r="J5">
        <v>0</v>
      </c>
    </row>
    <row r="6" spans="1:10" hidden="1">
      <c r="A6" s="1">
        <v>4</v>
      </c>
      <c r="B6" t="s">
        <v>31</v>
      </c>
      <c r="C6">
        <v>6</v>
      </c>
      <c r="D6">
        <v>4652.0000000000009</v>
      </c>
      <c r="E6">
        <v>1</v>
      </c>
      <c r="F6" t="s">
        <v>115</v>
      </c>
      <c r="G6" t="s">
        <v>116</v>
      </c>
      <c r="H6">
        <v>0</v>
      </c>
      <c r="I6">
        <v>0</v>
      </c>
      <c r="J6">
        <v>0</v>
      </c>
    </row>
    <row r="7" spans="1:10" hidden="1">
      <c r="A7" s="1">
        <v>5</v>
      </c>
      <c r="B7" t="s">
        <v>30</v>
      </c>
      <c r="C7">
        <v>0</v>
      </c>
      <c r="D7">
        <v>4625</v>
      </c>
      <c r="E7">
        <v>1</v>
      </c>
      <c r="F7" t="s">
        <v>115</v>
      </c>
      <c r="G7" t="s">
        <v>116</v>
      </c>
      <c r="H7">
        <v>0</v>
      </c>
      <c r="I7">
        <v>0</v>
      </c>
      <c r="J7">
        <v>0</v>
      </c>
    </row>
    <row r="8" spans="1:10" hidden="1">
      <c r="A8" s="1">
        <v>6</v>
      </c>
      <c r="B8" t="s">
        <v>30</v>
      </c>
      <c r="C8">
        <v>11</v>
      </c>
      <c r="D8">
        <v>4446.0000000000009</v>
      </c>
      <c r="E8">
        <v>1</v>
      </c>
      <c r="F8" t="s">
        <v>115</v>
      </c>
      <c r="G8" t="s">
        <v>116</v>
      </c>
      <c r="H8">
        <v>0</v>
      </c>
      <c r="I8">
        <v>0</v>
      </c>
      <c r="J8">
        <v>0</v>
      </c>
    </row>
    <row r="9" spans="1:10" hidden="1">
      <c r="A9" s="1">
        <v>7</v>
      </c>
      <c r="B9" t="s">
        <v>31</v>
      </c>
      <c r="C9">
        <v>4</v>
      </c>
      <c r="D9">
        <v>3986.0000000000041</v>
      </c>
      <c r="E9">
        <v>1</v>
      </c>
      <c r="F9" t="s">
        <v>115</v>
      </c>
      <c r="G9" t="s">
        <v>116</v>
      </c>
      <c r="H9">
        <v>0</v>
      </c>
      <c r="I9">
        <v>0</v>
      </c>
      <c r="J9">
        <v>0</v>
      </c>
    </row>
    <row r="10" spans="1:10" hidden="1">
      <c r="A10" s="1">
        <v>8</v>
      </c>
      <c r="B10" t="s">
        <v>30</v>
      </c>
      <c r="C10">
        <v>1</v>
      </c>
      <c r="D10">
        <v>3888.9999999999959</v>
      </c>
      <c r="E10">
        <v>1</v>
      </c>
      <c r="F10" t="s">
        <v>115</v>
      </c>
      <c r="G10" t="s">
        <v>116</v>
      </c>
      <c r="H10">
        <v>0</v>
      </c>
      <c r="I10">
        <v>0</v>
      </c>
      <c r="J10">
        <v>0</v>
      </c>
    </row>
    <row r="11" spans="1:10" hidden="1">
      <c r="A11" s="1">
        <v>9</v>
      </c>
      <c r="B11" t="s">
        <v>30</v>
      </c>
      <c r="C11">
        <v>7</v>
      </c>
      <c r="D11">
        <v>3676.9999999999995</v>
      </c>
      <c r="E11">
        <v>1</v>
      </c>
      <c r="F11" t="s">
        <v>115</v>
      </c>
      <c r="G11" t="s">
        <v>116</v>
      </c>
      <c r="H11">
        <v>0</v>
      </c>
      <c r="I11">
        <v>0</v>
      </c>
      <c r="J11">
        <v>0</v>
      </c>
    </row>
    <row r="12" spans="1:10" hidden="1">
      <c r="A12" s="1">
        <v>10</v>
      </c>
      <c r="B12" t="s">
        <v>31</v>
      </c>
      <c r="C12">
        <v>5</v>
      </c>
      <c r="D12">
        <v>3675.999999999995</v>
      </c>
      <c r="E12">
        <v>1</v>
      </c>
      <c r="F12" t="s">
        <v>115</v>
      </c>
      <c r="G12" t="s">
        <v>116</v>
      </c>
      <c r="H12">
        <v>0</v>
      </c>
      <c r="I12">
        <v>0</v>
      </c>
      <c r="J12">
        <v>0</v>
      </c>
    </row>
    <row r="13" spans="1:10" hidden="1">
      <c r="A13" s="1">
        <v>11</v>
      </c>
      <c r="B13" t="s">
        <v>30</v>
      </c>
      <c r="C13">
        <v>2</v>
      </c>
      <c r="D13">
        <v>2914.9999999999991</v>
      </c>
      <c r="E13">
        <v>1</v>
      </c>
      <c r="F13" t="s">
        <v>115</v>
      </c>
      <c r="G13" t="s">
        <v>116</v>
      </c>
      <c r="H13">
        <v>0</v>
      </c>
      <c r="I13">
        <v>0</v>
      </c>
      <c r="J13">
        <v>0</v>
      </c>
    </row>
    <row r="14" spans="1:10" hidden="1">
      <c r="A14" s="1">
        <v>12</v>
      </c>
      <c r="B14" t="s">
        <v>31</v>
      </c>
      <c r="C14">
        <v>11</v>
      </c>
      <c r="D14">
        <v>2902.9999999999986</v>
      </c>
      <c r="E14">
        <v>1</v>
      </c>
      <c r="F14" t="s">
        <v>115</v>
      </c>
      <c r="G14" t="s">
        <v>116</v>
      </c>
      <c r="H14">
        <v>0</v>
      </c>
      <c r="I14">
        <v>0</v>
      </c>
      <c r="J14">
        <v>0</v>
      </c>
    </row>
    <row r="15" spans="1:10" hidden="1">
      <c r="A15" s="1">
        <v>13</v>
      </c>
      <c r="B15" t="s">
        <v>29</v>
      </c>
      <c r="C15">
        <v>34</v>
      </c>
      <c r="D15">
        <v>2746</v>
      </c>
      <c r="E15">
        <v>0.33</v>
      </c>
      <c r="F15" t="s">
        <v>115</v>
      </c>
      <c r="G15" t="s">
        <v>116</v>
      </c>
      <c r="H15">
        <v>0</v>
      </c>
      <c r="I15">
        <v>0</v>
      </c>
      <c r="J15">
        <v>0</v>
      </c>
    </row>
    <row r="16" spans="1:10" hidden="1">
      <c r="A16" s="1">
        <v>14</v>
      </c>
      <c r="B16" t="s">
        <v>31</v>
      </c>
      <c r="C16">
        <v>7</v>
      </c>
      <c r="D16">
        <v>2413.0000000000005</v>
      </c>
      <c r="E16">
        <v>1</v>
      </c>
      <c r="F16" t="s">
        <v>115</v>
      </c>
      <c r="G16" t="s">
        <v>116</v>
      </c>
      <c r="H16">
        <v>0</v>
      </c>
      <c r="I16">
        <v>0</v>
      </c>
      <c r="J16">
        <v>0</v>
      </c>
    </row>
    <row r="17" spans="1:10" hidden="1">
      <c r="A17" s="1">
        <v>15</v>
      </c>
      <c r="B17" t="s">
        <v>31</v>
      </c>
      <c r="C17">
        <v>17</v>
      </c>
      <c r="D17">
        <v>2404.9999999999995</v>
      </c>
      <c r="E17">
        <v>1</v>
      </c>
      <c r="F17" t="s">
        <v>115</v>
      </c>
      <c r="G17" t="s">
        <v>116</v>
      </c>
      <c r="H17">
        <v>0</v>
      </c>
      <c r="I17">
        <v>0</v>
      </c>
      <c r="J17">
        <v>0</v>
      </c>
    </row>
    <row r="18" spans="1:10" hidden="1">
      <c r="A18" s="1">
        <v>16</v>
      </c>
      <c r="B18" t="s">
        <v>14</v>
      </c>
      <c r="C18">
        <v>5</v>
      </c>
      <c r="D18">
        <v>2288.9999999999995</v>
      </c>
      <c r="E18">
        <v>1</v>
      </c>
      <c r="F18" t="s">
        <v>115</v>
      </c>
      <c r="G18" t="s">
        <v>116</v>
      </c>
      <c r="H18">
        <v>0</v>
      </c>
      <c r="I18">
        <v>0</v>
      </c>
      <c r="J18">
        <v>0</v>
      </c>
    </row>
    <row r="19" spans="1:10" hidden="1">
      <c r="A19" s="1">
        <v>17</v>
      </c>
      <c r="B19" t="s">
        <v>31</v>
      </c>
      <c r="C19">
        <v>14</v>
      </c>
      <c r="D19">
        <v>2225.9999999999991</v>
      </c>
      <c r="E19">
        <v>1</v>
      </c>
      <c r="F19" t="s">
        <v>115</v>
      </c>
      <c r="G19" t="s">
        <v>116</v>
      </c>
      <c r="H19">
        <v>0</v>
      </c>
      <c r="I19">
        <v>0</v>
      </c>
      <c r="J19">
        <v>0</v>
      </c>
    </row>
    <row r="20" spans="1:10" hidden="1">
      <c r="A20" s="1">
        <v>18</v>
      </c>
      <c r="B20" t="s">
        <v>31</v>
      </c>
      <c r="C20">
        <v>2</v>
      </c>
      <c r="D20">
        <v>2154.0000000000036</v>
      </c>
      <c r="E20">
        <v>1</v>
      </c>
      <c r="F20" t="s">
        <v>115</v>
      </c>
      <c r="G20" t="s">
        <v>116</v>
      </c>
      <c r="H20">
        <v>0</v>
      </c>
      <c r="I20">
        <v>0</v>
      </c>
      <c r="J20">
        <v>0</v>
      </c>
    </row>
    <row r="21" spans="1:10" hidden="1">
      <c r="A21" s="1">
        <v>19</v>
      </c>
      <c r="B21" t="s">
        <v>26</v>
      </c>
      <c r="C21">
        <v>12</v>
      </c>
      <c r="D21">
        <v>2092.5</v>
      </c>
      <c r="E21">
        <v>0.58499999999999996</v>
      </c>
      <c r="F21" t="s">
        <v>115</v>
      </c>
      <c r="G21" t="s">
        <v>116</v>
      </c>
      <c r="H21">
        <v>0</v>
      </c>
      <c r="I21">
        <v>0</v>
      </c>
      <c r="J21">
        <v>0</v>
      </c>
    </row>
    <row r="22" spans="1:10" hidden="1">
      <c r="A22" s="1">
        <v>20</v>
      </c>
      <c r="B22" t="s">
        <v>31</v>
      </c>
      <c r="C22">
        <v>16</v>
      </c>
      <c r="D22">
        <v>2038.0000000000002</v>
      </c>
      <c r="E22">
        <v>1</v>
      </c>
      <c r="F22" t="s">
        <v>115</v>
      </c>
      <c r="G22" t="s">
        <v>116</v>
      </c>
      <c r="H22">
        <v>0</v>
      </c>
      <c r="I22">
        <v>0</v>
      </c>
      <c r="J22">
        <v>0</v>
      </c>
    </row>
    <row r="23" spans="1:10" hidden="1">
      <c r="A23" s="1">
        <v>21</v>
      </c>
      <c r="B23" t="s">
        <v>31</v>
      </c>
      <c r="C23">
        <v>8</v>
      </c>
      <c r="D23">
        <v>1977.0000000000002</v>
      </c>
      <c r="E23">
        <v>1</v>
      </c>
      <c r="F23" t="s">
        <v>115</v>
      </c>
      <c r="G23" t="s">
        <v>116</v>
      </c>
      <c r="H23">
        <v>0</v>
      </c>
      <c r="I23">
        <v>0</v>
      </c>
      <c r="J23">
        <v>0</v>
      </c>
    </row>
    <row r="24" spans="1:10" hidden="1">
      <c r="A24" s="1">
        <v>22</v>
      </c>
      <c r="B24" t="s">
        <v>31</v>
      </c>
      <c r="C24">
        <v>20</v>
      </c>
      <c r="D24">
        <v>1975.2310899999791</v>
      </c>
      <c r="E24">
        <v>1</v>
      </c>
      <c r="F24" t="s">
        <v>115</v>
      </c>
      <c r="G24" t="s">
        <v>116</v>
      </c>
      <c r="H24">
        <v>0</v>
      </c>
      <c r="I24">
        <v>0</v>
      </c>
      <c r="J24">
        <v>0</v>
      </c>
    </row>
    <row r="25" spans="1:10" hidden="1">
      <c r="A25" s="1">
        <v>23</v>
      </c>
      <c r="B25" t="s">
        <v>30</v>
      </c>
      <c r="C25">
        <v>12</v>
      </c>
      <c r="D25">
        <v>1950.0000000000002</v>
      </c>
      <c r="E25">
        <v>1</v>
      </c>
      <c r="F25" t="s">
        <v>115</v>
      </c>
      <c r="G25" t="s">
        <v>116</v>
      </c>
      <c r="H25">
        <v>0</v>
      </c>
      <c r="I25">
        <v>0</v>
      </c>
      <c r="J25">
        <v>0</v>
      </c>
    </row>
    <row r="26" spans="1:10" hidden="1">
      <c r="A26" s="1">
        <v>24</v>
      </c>
      <c r="B26" t="s">
        <v>31</v>
      </c>
      <c r="C26">
        <v>15</v>
      </c>
      <c r="D26">
        <v>1829.0000000000007</v>
      </c>
      <c r="E26">
        <v>1</v>
      </c>
      <c r="F26" t="s">
        <v>115</v>
      </c>
      <c r="G26" t="s">
        <v>116</v>
      </c>
      <c r="H26">
        <v>0</v>
      </c>
      <c r="I26">
        <v>0</v>
      </c>
      <c r="J26">
        <v>0</v>
      </c>
    </row>
    <row r="27" spans="1:10" hidden="1">
      <c r="A27" s="1">
        <v>25</v>
      </c>
      <c r="B27" t="s">
        <v>31</v>
      </c>
      <c r="C27">
        <v>19</v>
      </c>
      <c r="D27">
        <v>1773.431999999988</v>
      </c>
      <c r="E27">
        <v>1</v>
      </c>
      <c r="F27" t="s">
        <v>115</v>
      </c>
      <c r="G27" t="s">
        <v>116</v>
      </c>
      <c r="H27">
        <v>0</v>
      </c>
      <c r="I27">
        <v>0</v>
      </c>
      <c r="J27">
        <v>0</v>
      </c>
    </row>
    <row r="28" spans="1:10" hidden="1">
      <c r="A28" s="1">
        <v>26</v>
      </c>
      <c r="B28" t="s">
        <v>31</v>
      </c>
      <c r="C28">
        <v>9</v>
      </c>
      <c r="D28">
        <v>1756.0000000000002</v>
      </c>
      <c r="E28">
        <v>1</v>
      </c>
      <c r="F28" t="s">
        <v>115</v>
      </c>
      <c r="G28" t="s">
        <v>116</v>
      </c>
      <c r="H28">
        <v>0</v>
      </c>
      <c r="I28">
        <v>0</v>
      </c>
      <c r="J28">
        <v>0</v>
      </c>
    </row>
    <row r="29" spans="1:10" hidden="1">
      <c r="A29" s="1">
        <v>27</v>
      </c>
      <c r="B29" t="s">
        <v>31</v>
      </c>
      <c r="C29">
        <v>21</v>
      </c>
      <c r="D29">
        <v>1648.599299999983</v>
      </c>
      <c r="E29">
        <v>1</v>
      </c>
      <c r="F29" t="s">
        <v>115</v>
      </c>
      <c r="G29" t="s">
        <v>116</v>
      </c>
      <c r="H29">
        <v>0</v>
      </c>
      <c r="I29">
        <v>0</v>
      </c>
      <c r="J29">
        <v>0</v>
      </c>
    </row>
    <row r="30" spans="1:10" hidden="1">
      <c r="A30" s="1">
        <v>28</v>
      </c>
      <c r="B30" t="s">
        <v>31</v>
      </c>
      <c r="C30">
        <v>13</v>
      </c>
      <c r="D30">
        <v>1641.9999999999995</v>
      </c>
      <c r="E30">
        <v>1</v>
      </c>
      <c r="F30" t="s">
        <v>115</v>
      </c>
      <c r="G30" t="s">
        <v>116</v>
      </c>
      <c r="H30">
        <v>0</v>
      </c>
      <c r="I30">
        <v>0</v>
      </c>
      <c r="J30">
        <v>0</v>
      </c>
    </row>
    <row r="31" spans="1:10" hidden="1">
      <c r="A31" s="1">
        <v>29</v>
      </c>
      <c r="B31" t="s">
        <v>30</v>
      </c>
      <c r="C31">
        <v>3</v>
      </c>
      <c r="D31">
        <v>1612.9999999999995</v>
      </c>
      <c r="E31">
        <v>1</v>
      </c>
      <c r="F31" t="s">
        <v>115</v>
      </c>
      <c r="G31" t="s">
        <v>116</v>
      </c>
      <c r="H31">
        <v>0</v>
      </c>
      <c r="I31">
        <v>0</v>
      </c>
      <c r="J31">
        <v>0</v>
      </c>
    </row>
    <row r="32" spans="1:10" hidden="1">
      <c r="A32" s="1">
        <v>30</v>
      </c>
      <c r="B32" t="s">
        <v>30</v>
      </c>
      <c r="C32">
        <v>4</v>
      </c>
      <c r="D32">
        <v>1455.0000000000055</v>
      </c>
      <c r="E32">
        <v>1</v>
      </c>
      <c r="F32" t="s">
        <v>115</v>
      </c>
      <c r="G32" t="s">
        <v>116</v>
      </c>
      <c r="H32">
        <v>0</v>
      </c>
      <c r="I32">
        <v>0</v>
      </c>
      <c r="J32">
        <v>0</v>
      </c>
    </row>
    <row r="33" spans="1:10" hidden="1">
      <c r="A33" s="1">
        <v>31</v>
      </c>
      <c r="B33" t="s">
        <v>31</v>
      </c>
      <c r="C33">
        <v>18</v>
      </c>
      <c r="D33">
        <v>1434.670999999991</v>
      </c>
      <c r="E33">
        <v>1</v>
      </c>
      <c r="F33" t="s">
        <v>115</v>
      </c>
      <c r="G33" t="s">
        <v>116</v>
      </c>
      <c r="H33">
        <v>0</v>
      </c>
      <c r="I33">
        <v>0</v>
      </c>
      <c r="J33">
        <v>0</v>
      </c>
    </row>
    <row r="34" spans="1:10" hidden="1">
      <c r="A34" s="1">
        <v>32</v>
      </c>
      <c r="B34" t="s">
        <v>29</v>
      </c>
      <c r="C34">
        <v>36</v>
      </c>
      <c r="D34">
        <v>1410</v>
      </c>
      <c r="E34">
        <v>0.33</v>
      </c>
      <c r="F34" t="s">
        <v>115</v>
      </c>
      <c r="G34" t="s">
        <v>116</v>
      </c>
      <c r="H34">
        <v>0</v>
      </c>
      <c r="I34">
        <v>0</v>
      </c>
      <c r="J34">
        <v>0</v>
      </c>
    </row>
    <row r="35" spans="1:10" hidden="1">
      <c r="A35" s="1">
        <v>33</v>
      </c>
      <c r="B35" t="s">
        <v>29</v>
      </c>
      <c r="C35">
        <v>37</v>
      </c>
      <c r="D35">
        <v>1360</v>
      </c>
      <c r="E35">
        <v>0.33</v>
      </c>
      <c r="F35" t="s">
        <v>115</v>
      </c>
      <c r="G35" t="s">
        <v>116</v>
      </c>
      <c r="H35">
        <v>0</v>
      </c>
      <c r="I35">
        <v>0</v>
      </c>
      <c r="J35">
        <v>0</v>
      </c>
    </row>
    <row r="36" spans="1:10" hidden="1">
      <c r="A36" s="1">
        <v>34</v>
      </c>
      <c r="B36" t="s">
        <v>30</v>
      </c>
      <c r="C36">
        <v>5</v>
      </c>
      <c r="D36">
        <v>1323.9999999999982</v>
      </c>
      <c r="E36">
        <v>1</v>
      </c>
      <c r="F36" t="s">
        <v>115</v>
      </c>
      <c r="G36" t="s">
        <v>116</v>
      </c>
      <c r="H36">
        <v>0</v>
      </c>
      <c r="I36">
        <v>0</v>
      </c>
      <c r="J36">
        <v>0</v>
      </c>
    </row>
    <row r="37" spans="1:10" hidden="1">
      <c r="A37" s="1">
        <v>35</v>
      </c>
      <c r="B37" t="s">
        <v>29</v>
      </c>
      <c r="C37">
        <v>33</v>
      </c>
      <c r="D37">
        <v>1310</v>
      </c>
      <c r="E37">
        <v>0.33</v>
      </c>
      <c r="F37" t="s">
        <v>115</v>
      </c>
      <c r="G37" t="s">
        <v>116</v>
      </c>
      <c r="H37">
        <v>0</v>
      </c>
      <c r="I37">
        <v>0</v>
      </c>
      <c r="J37">
        <v>0</v>
      </c>
    </row>
    <row r="38" spans="1:10" hidden="1">
      <c r="A38" s="1">
        <v>36</v>
      </c>
      <c r="B38" t="s">
        <v>29</v>
      </c>
      <c r="C38">
        <v>38</v>
      </c>
      <c r="D38">
        <v>1288</v>
      </c>
      <c r="E38">
        <v>0.33</v>
      </c>
      <c r="F38" t="s">
        <v>115</v>
      </c>
      <c r="G38" t="s">
        <v>116</v>
      </c>
      <c r="H38">
        <v>0</v>
      </c>
      <c r="I38">
        <v>0</v>
      </c>
      <c r="J38">
        <v>0</v>
      </c>
    </row>
    <row r="39" spans="1:10" hidden="1">
      <c r="A39" s="1">
        <v>37</v>
      </c>
      <c r="B39" t="s">
        <v>30</v>
      </c>
      <c r="C39">
        <v>13</v>
      </c>
      <c r="D39">
        <v>1271</v>
      </c>
      <c r="E39">
        <v>1</v>
      </c>
      <c r="F39" t="s">
        <v>115</v>
      </c>
      <c r="G39" t="s">
        <v>116</v>
      </c>
      <c r="H39">
        <v>0</v>
      </c>
      <c r="I39">
        <v>0</v>
      </c>
      <c r="J39">
        <v>0</v>
      </c>
    </row>
    <row r="40" spans="1:10" hidden="1">
      <c r="A40" s="1">
        <v>38</v>
      </c>
      <c r="B40" t="s">
        <v>14</v>
      </c>
      <c r="C40">
        <v>3</v>
      </c>
      <c r="D40">
        <v>1253.9999999999995</v>
      </c>
      <c r="E40">
        <v>1</v>
      </c>
      <c r="F40" t="s">
        <v>115</v>
      </c>
      <c r="G40" t="s">
        <v>116</v>
      </c>
      <c r="H40">
        <v>0</v>
      </c>
      <c r="I40">
        <v>0</v>
      </c>
      <c r="J40">
        <v>0</v>
      </c>
    </row>
    <row r="41" spans="1:10" hidden="1">
      <c r="A41" s="1">
        <v>39</v>
      </c>
      <c r="B41" t="s">
        <v>26</v>
      </c>
      <c r="C41">
        <v>22</v>
      </c>
      <c r="D41">
        <v>1239.2</v>
      </c>
      <c r="E41">
        <v>0.54</v>
      </c>
      <c r="F41" t="s">
        <v>115</v>
      </c>
      <c r="G41" t="s">
        <v>116</v>
      </c>
      <c r="H41">
        <v>0</v>
      </c>
      <c r="I41">
        <v>0</v>
      </c>
      <c r="J41">
        <v>0</v>
      </c>
    </row>
    <row r="42" spans="1:10" hidden="1">
      <c r="A42" s="1">
        <v>40</v>
      </c>
      <c r="B42" t="s">
        <v>26</v>
      </c>
      <c r="C42">
        <v>14</v>
      </c>
      <c r="D42">
        <v>1230</v>
      </c>
      <c r="E42">
        <v>0.57600000000000007</v>
      </c>
      <c r="F42" t="s">
        <v>115</v>
      </c>
      <c r="G42" t="s">
        <v>116</v>
      </c>
      <c r="H42">
        <v>0</v>
      </c>
      <c r="I42">
        <v>0</v>
      </c>
      <c r="J42">
        <v>0</v>
      </c>
    </row>
    <row r="43" spans="1:10" hidden="1">
      <c r="A43" s="1">
        <v>41</v>
      </c>
      <c r="B43" t="s">
        <v>22</v>
      </c>
      <c r="C43">
        <v>11</v>
      </c>
      <c r="D43">
        <v>1228.9999999999991</v>
      </c>
      <c r="E43">
        <v>0.34</v>
      </c>
      <c r="F43" t="s">
        <v>115</v>
      </c>
      <c r="G43" t="s">
        <v>116</v>
      </c>
      <c r="H43">
        <v>0</v>
      </c>
      <c r="I43">
        <v>0</v>
      </c>
      <c r="J43">
        <v>0</v>
      </c>
    </row>
    <row r="44" spans="1:10" hidden="1">
      <c r="A44" s="1">
        <v>42</v>
      </c>
      <c r="B44" t="s">
        <v>31</v>
      </c>
      <c r="C44">
        <v>0</v>
      </c>
      <c r="D44">
        <v>1221.0000000000036</v>
      </c>
      <c r="E44">
        <v>1</v>
      </c>
      <c r="F44" t="s">
        <v>115</v>
      </c>
      <c r="G44" t="s">
        <v>116</v>
      </c>
      <c r="H44">
        <v>0</v>
      </c>
      <c r="I44">
        <v>0</v>
      </c>
      <c r="J44">
        <v>0</v>
      </c>
    </row>
    <row r="45" spans="1:10" hidden="1">
      <c r="A45" s="1">
        <v>43</v>
      </c>
      <c r="B45" t="s">
        <v>26</v>
      </c>
      <c r="C45">
        <v>15</v>
      </c>
      <c r="D45">
        <v>1217</v>
      </c>
      <c r="E45">
        <v>0.57150000000000001</v>
      </c>
      <c r="F45" t="s">
        <v>115</v>
      </c>
      <c r="G45" t="s">
        <v>116</v>
      </c>
      <c r="H45">
        <v>0</v>
      </c>
      <c r="I45">
        <v>0</v>
      </c>
      <c r="J45">
        <v>0</v>
      </c>
    </row>
    <row r="46" spans="1:10" hidden="1">
      <c r="A46" s="1">
        <v>44</v>
      </c>
      <c r="B46" t="s">
        <v>26</v>
      </c>
      <c r="C46">
        <v>17</v>
      </c>
      <c r="D46">
        <v>1207.759</v>
      </c>
      <c r="E46">
        <v>0.5625</v>
      </c>
      <c r="F46" t="s">
        <v>115</v>
      </c>
      <c r="G46" t="s">
        <v>116</v>
      </c>
      <c r="H46">
        <v>0</v>
      </c>
      <c r="I46">
        <v>0</v>
      </c>
      <c r="J46">
        <v>0</v>
      </c>
    </row>
    <row r="47" spans="1:10" hidden="1">
      <c r="A47" s="1">
        <v>45</v>
      </c>
      <c r="B47" t="s">
        <v>30</v>
      </c>
      <c r="C47">
        <v>6</v>
      </c>
      <c r="D47">
        <v>1189.9999999999977</v>
      </c>
      <c r="E47">
        <v>1</v>
      </c>
      <c r="F47" t="s">
        <v>115</v>
      </c>
      <c r="G47" t="s">
        <v>116</v>
      </c>
      <c r="H47">
        <v>0</v>
      </c>
      <c r="I47">
        <v>0</v>
      </c>
      <c r="J47">
        <v>0</v>
      </c>
    </row>
    <row r="48" spans="1:10" hidden="1">
      <c r="A48" s="1">
        <v>46</v>
      </c>
      <c r="B48" t="s">
        <v>14</v>
      </c>
      <c r="C48">
        <v>1</v>
      </c>
      <c r="D48">
        <v>1134.9999999999998</v>
      </c>
      <c r="E48">
        <v>1</v>
      </c>
      <c r="F48" t="s">
        <v>115</v>
      </c>
      <c r="G48" t="s">
        <v>116</v>
      </c>
      <c r="H48">
        <v>0</v>
      </c>
      <c r="I48">
        <v>0</v>
      </c>
      <c r="J48">
        <v>0</v>
      </c>
    </row>
    <row r="49" spans="1:10" hidden="1">
      <c r="A49" s="1">
        <v>47</v>
      </c>
      <c r="B49" t="s">
        <v>31</v>
      </c>
      <c r="C49">
        <v>10</v>
      </c>
      <c r="D49">
        <v>1126.0000000000011</v>
      </c>
      <c r="E49">
        <v>1</v>
      </c>
      <c r="F49" t="s">
        <v>115</v>
      </c>
      <c r="G49" t="s">
        <v>116</v>
      </c>
      <c r="H49">
        <v>0</v>
      </c>
      <c r="I49">
        <v>0</v>
      </c>
      <c r="J49">
        <v>0</v>
      </c>
    </row>
    <row r="50" spans="1:10" hidden="1">
      <c r="A50" s="1">
        <v>48</v>
      </c>
      <c r="B50" t="s">
        <v>26</v>
      </c>
      <c r="C50">
        <v>6</v>
      </c>
      <c r="D50">
        <v>1117.5</v>
      </c>
      <c r="E50">
        <v>0.61199999999999999</v>
      </c>
      <c r="F50" t="s">
        <v>115</v>
      </c>
      <c r="G50" t="s">
        <v>116</v>
      </c>
      <c r="H50">
        <v>0</v>
      </c>
      <c r="I50">
        <v>0</v>
      </c>
      <c r="J50">
        <v>0</v>
      </c>
    </row>
    <row r="51" spans="1:10">
      <c r="A51" s="1">
        <v>49</v>
      </c>
      <c r="B51" t="s">
        <v>28</v>
      </c>
      <c r="C51">
        <v>43</v>
      </c>
      <c r="D51">
        <v>1057.4000000000001</v>
      </c>
      <c r="E51">
        <v>0.75057688670323441</v>
      </c>
      <c r="F51" t="s">
        <v>115</v>
      </c>
      <c r="G51" t="s">
        <v>116</v>
      </c>
      <c r="H51">
        <v>0</v>
      </c>
      <c r="I51">
        <v>0</v>
      </c>
      <c r="J51">
        <v>0</v>
      </c>
    </row>
    <row r="52" spans="1:10">
      <c r="A52" s="1">
        <v>50</v>
      </c>
      <c r="B52" t="s">
        <v>28</v>
      </c>
      <c r="C52">
        <v>18</v>
      </c>
      <c r="D52">
        <v>1052</v>
      </c>
      <c r="E52">
        <v>0.75</v>
      </c>
      <c r="F52" t="s">
        <v>115</v>
      </c>
      <c r="G52" t="s">
        <v>116</v>
      </c>
      <c r="H52">
        <v>0</v>
      </c>
      <c r="I52">
        <v>0</v>
      </c>
      <c r="J52">
        <v>0</v>
      </c>
    </row>
    <row r="53" spans="1:10" hidden="1">
      <c r="A53" s="1">
        <v>51</v>
      </c>
      <c r="B53" t="s">
        <v>14</v>
      </c>
      <c r="C53">
        <v>2</v>
      </c>
      <c r="D53">
        <v>987.00000000000011</v>
      </c>
      <c r="E53">
        <v>1</v>
      </c>
      <c r="F53" t="s">
        <v>115</v>
      </c>
      <c r="G53" t="s">
        <v>116</v>
      </c>
      <c r="H53">
        <v>0</v>
      </c>
      <c r="I53">
        <v>0</v>
      </c>
      <c r="J53">
        <v>0</v>
      </c>
    </row>
    <row r="54" spans="1:10" hidden="1">
      <c r="A54" s="1">
        <v>52</v>
      </c>
      <c r="B54" t="s">
        <v>30</v>
      </c>
      <c r="C54">
        <v>15</v>
      </c>
      <c r="D54">
        <v>951.00000000000011</v>
      </c>
      <c r="E54">
        <v>1</v>
      </c>
      <c r="F54" t="s">
        <v>115</v>
      </c>
      <c r="G54" t="s">
        <v>116</v>
      </c>
      <c r="H54">
        <v>0</v>
      </c>
      <c r="I54">
        <v>0</v>
      </c>
      <c r="J54">
        <v>0</v>
      </c>
    </row>
    <row r="55" spans="1:10">
      <c r="A55" s="1">
        <v>53</v>
      </c>
      <c r="B55" t="s">
        <v>28</v>
      </c>
      <c r="C55">
        <v>47</v>
      </c>
      <c r="D55">
        <v>926.7</v>
      </c>
      <c r="E55">
        <v>0.75090104672493796</v>
      </c>
      <c r="F55" t="s">
        <v>115</v>
      </c>
      <c r="G55" t="s">
        <v>116</v>
      </c>
      <c r="H55">
        <v>0</v>
      </c>
      <c r="I55">
        <v>0</v>
      </c>
      <c r="J55">
        <v>0</v>
      </c>
    </row>
    <row r="56" spans="1:10" hidden="1">
      <c r="A56" s="1">
        <v>54</v>
      </c>
      <c r="B56" t="s">
        <v>14</v>
      </c>
      <c r="C56">
        <v>4</v>
      </c>
      <c r="D56">
        <v>869.00000000000023</v>
      </c>
      <c r="E56">
        <v>1</v>
      </c>
      <c r="F56" t="s">
        <v>115</v>
      </c>
      <c r="G56" t="s">
        <v>116</v>
      </c>
      <c r="H56">
        <v>0</v>
      </c>
      <c r="I56">
        <v>0</v>
      </c>
      <c r="J56">
        <v>0</v>
      </c>
    </row>
    <row r="57" spans="1:10" hidden="1">
      <c r="A57" s="1">
        <v>55</v>
      </c>
      <c r="B57" t="s">
        <v>31</v>
      </c>
      <c r="C57">
        <v>1</v>
      </c>
      <c r="D57">
        <v>864.99999999999488</v>
      </c>
      <c r="E57">
        <v>1</v>
      </c>
      <c r="F57" t="s">
        <v>115</v>
      </c>
      <c r="G57" t="s">
        <v>116</v>
      </c>
      <c r="H57">
        <v>0</v>
      </c>
      <c r="I57">
        <v>0</v>
      </c>
      <c r="J57">
        <v>0</v>
      </c>
    </row>
    <row r="58" spans="1:10" hidden="1">
      <c r="A58" s="1">
        <v>56</v>
      </c>
      <c r="B58" t="s">
        <v>31</v>
      </c>
      <c r="C58">
        <v>22</v>
      </c>
      <c r="D58">
        <v>853.38700000000108</v>
      </c>
      <c r="E58">
        <v>1</v>
      </c>
      <c r="F58" t="s">
        <v>115</v>
      </c>
      <c r="G58" t="s">
        <v>116</v>
      </c>
      <c r="H58">
        <v>0</v>
      </c>
      <c r="I58">
        <v>0</v>
      </c>
      <c r="J58">
        <v>0</v>
      </c>
    </row>
    <row r="59" spans="1:10" hidden="1">
      <c r="A59" s="1">
        <v>57</v>
      </c>
      <c r="B59" t="s">
        <v>30</v>
      </c>
      <c r="C59">
        <v>14</v>
      </c>
      <c r="D59">
        <v>843</v>
      </c>
      <c r="E59">
        <v>1</v>
      </c>
      <c r="F59" t="s">
        <v>115</v>
      </c>
      <c r="G59" t="s">
        <v>116</v>
      </c>
      <c r="H59">
        <v>0</v>
      </c>
      <c r="I59">
        <v>0</v>
      </c>
      <c r="J59">
        <v>0</v>
      </c>
    </row>
    <row r="60" spans="1:10" hidden="1">
      <c r="A60" s="1">
        <v>58</v>
      </c>
      <c r="B60" t="s">
        <v>26</v>
      </c>
      <c r="C60">
        <v>9</v>
      </c>
      <c r="D60">
        <v>1790.5</v>
      </c>
      <c r="E60">
        <v>0.59850000000000014</v>
      </c>
      <c r="F60" t="s">
        <v>115</v>
      </c>
      <c r="G60" t="s">
        <v>116</v>
      </c>
      <c r="H60">
        <v>0</v>
      </c>
      <c r="I60">
        <v>0</v>
      </c>
      <c r="J60">
        <v>0</v>
      </c>
    </row>
    <row r="61" spans="1:10" hidden="1">
      <c r="A61" s="1">
        <v>59</v>
      </c>
      <c r="B61" t="s">
        <v>22</v>
      </c>
      <c r="C61">
        <v>15</v>
      </c>
      <c r="D61">
        <v>780.00000000000023</v>
      </c>
      <c r="E61">
        <v>0.34</v>
      </c>
      <c r="F61" t="s">
        <v>115</v>
      </c>
      <c r="G61" t="s">
        <v>116</v>
      </c>
      <c r="H61">
        <v>0</v>
      </c>
      <c r="I61">
        <v>0</v>
      </c>
      <c r="J61">
        <v>0</v>
      </c>
    </row>
    <row r="62" spans="1:10" hidden="1">
      <c r="A62" s="1">
        <v>60</v>
      </c>
      <c r="B62" t="s">
        <v>11</v>
      </c>
      <c r="C62">
        <v>16</v>
      </c>
      <c r="D62">
        <v>746.01499999999999</v>
      </c>
      <c r="E62">
        <v>0.39546587401057631</v>
      </c>
      <c r="F62" t="s">
        <v>115</v>
      </c>
      <c r="G62" t="s">
        <v>116</v>
      </c>
      <c r="H62">
        <v>0</v>
      </c>
      <c r="I62">
        <v>0</v>
      </c>
      <c r="J62">
        <v>0</v>
      </c>
    </row>
    <row r="63" spans="1:10" hidden="1">
      <c r="A63" s="1">
        <v>61</v>
      </c>
      <c r="B63" t="s">
        <v>26</v>
      </c>
      <c r="C63">
        <v>26</v>
      </c>
      <c r="D63">
        <v>734</v>
      </c>
      <c r="E63">
        <v>0.52200000000000002</v>
      </c>
      <c r="F63" t="s">
        <v>115</v>
      </c>
      <c r="G63" t="s">
        <v>116</v>
      </c>
      <c r="H63">
        <v>0</v>
      </c>
      <c r="I63">
        <v>0</v>
      </c>
      <c r="J63">
        <v>0</v>
      </c>
    </row>
    <row r="64" spans="1:10" hidden="1">
      <c r="A64" s="1">
        <v>62</v>
      </c>
      <c r="B64" t="s">
        <v>22</v>
      </c>
      <c r="C64">
        <v>14</v>
      </c>
      <c r="D64">
        <v>706.99999999999989</v>
      </c>
      <c r="E64">
        <v>0.34</v>
      </c>
      <c r="F64" t="s">
        <v>115</v>
      </c>
      <c r="G64" t="s">
        <v>116</v>
      </c>
      <c r="H64">
        <v>0</v>
      </c>
      <c r="I64">
        <v>0</v>
      </c>
      <c r="J64">
        <v>0</v>
      </c>
    </row>
    <row r="65" spans="1:10" hidden="1">
      <c r="A65" s="1">
        <v>63</v>
      </c>
      <c r="B65" t="s">
        <v>22</v>
      </c>
      <c r="C65">
        <v>0</v>
      </c>
      <c r="D65">
        <v>688.00000000000057</v>
      </c>
      <c r="E65">
        <v>0.34</v>
      </c>
      <c r="F65" t="s">
        <v>115</v>
      </c>
      <c r="G65" t="s">
        <v>116</v>
      </c>
      <c r="H65">
        <v>0</v>
      </c>
      <c r="I65">
        <v>0</v>
      </c>
      <c r="J65">
        <v>0</v>
      </c>
    </row>
    <row r="66" spans="1:10" hidden="1">
      <c r="A66" s="1">
        <v>64</v>
      </c>
      <c r="B66" t="s">
        <v>22</v>
      </c>
      <c r="C66">
        <v>7</v>
      </c>
      <c r="D66">
        <v>682.00000000000034</v>
      </c>
      <c r="E66">
        <v>0.34</v>
      </c>
      <c r="F66" t="s">
        <v>115</v>
      </c>
      <c r="G66" t="s">
        <v>116</v>
      </c>
      <c r="H66">
        <v>0</v>
      </c>
      <c r="I66">
        <v>0</v>
      </c>
      <c r="J66">
        <v>0</v>
      </c>
    </row>
    <row r="67" spans="1:10">
      <c r="A67" s="1">
        <v>65</v>
      </c>
      <c r="B67" t="s">
        <v>28</v>
      </c>
      <c r="C67">
        <v>13</v>
      </c>
      <c r="D67">
        <v>681.6</v>
      </c>
      <c r="E67">
        <v>0.7541519953051643</v>
      </c>
      <c r="F67" t="s">
        <v>115</v>
      </c>
      <c r="G67" t="s">
        <v>116</v>
      </c>
      <c r="H67">
        <v>0</v>
      </c>
      <c r="I67">
        <v>0</v>
      </c>
      <c r="J67">
        <v>0</v>
      </c>
    </row>
    <row r="68" spans="1:10" hidden="1">
      <c r="A68" s="1">
        <v>66</v>
      </c>
      <c r="B68" t="s">
        <v>31</v>
      </c>
      <c r="C68">
        <v>12</v>
      </c>
      <c r="D68">
        <v>678.0000000000008</v>
      </c>
      <c r="E68">
        <v>1</v>
      </c>
      <c r="F68" t="s">
        <v>115</v>
      </c>
      <c r="G68" t="s">
        <v>116</v>
      </c>
      <c r="H68">
        <v>0</v>
      </c>
      <c r="I68">
        <v>0</v>
      </c>
      <c r="J68">
        <v>0</v>
      </c>
    </row>
    <row r="69" spans="1:10" hidden="1">
      <c r="A69" s="1">
        <v>67</v>
      </c>
      <c r="B69" t="s">
        <v>30</v>
      </c>
      <c r="C69">
        <v>16</v>
      </c>
      <c r="D69">
        <v>669.99999999999989</v>
      </c>
      <c r="E69">
        <v>1</v>
      </c>
      <c r="F69" t="s">
        <v>115</v>
      </c>
      <c r="G69" t="s">
        <v>116</v>
      </c>
      <c r="H69">
        <v>0</v>
      </c>
      <c r="I69">
        <v>0</v>
      </c>
      <c r="J69">
        <v>0</v>
      </c>
    </row>
    <row r="70" spans="1:10" hidden="1">
      <c r="A70" s="1">
        <v>68</v>
      </c>
      <c r="B70" t="s">
        <v>26</v>
      </c>
      <c r="C70">
        <v>11</v>
      </c>
      <c r="D70">
        <v>639</v>
      </c>
      <c r="E70">
        <v>0.58950000000000002</v>
      </c>
      <c r="F70" t="s">
        <v>115</v>
      </c>
      <c r="G70" t="s">
        <v>116</v>
      </c>
      <c r="H70">
        <v>0</v>
      </c>
      <c r="I70">
        <v>0</v>
      </c>
      <c r="J70">
        <v>0</v>
      </c>
    </row>
    <row r="71" spans="1:10" hidden="1">
      <c r="A71" s="1">
        <v>69</v>
      </c>
      <c r="B71" t="s">
        <v>30</v>
      </c>
      <c r="C71">
        <v>18</v>
      </c>
      <c r="D71">
        <v>632.34350900002573</v>
      </c>
      <c r="E71">
        <v>1</v>
      </c>
      <c r="F71" t="s">
        <v>115</v>
      </c>
      <c r="G71" t="s">
        <v>116</v>
      </c>
      <c r="H71">
        <v>0</v>
      </c>
      <c r="I71">
        <v>0</v>
      </c>
      <c r="J71">
        <v>0</v>
      </c>
    </row>
    <row r="72" spans="1:10" hidden="1">
      <c r="A72" s="1">
        <v>70</v>
      </c>
      <c r="B72" t="s">
        <v>11</v>
      </c>
      <c r="C72">
        <v>45</v>
      </c>
      <c r="D72">
        <v>619.4</v>
      </c>
      <c r="E72">
        <v>0.35966377139166938</v>
      </c>
      <c r="F72" t="s">
        <v>115</v>
      </c>
      <c r="G72" t="s">
        <v>116</v>
      </c>
      <c r="H72">
        <v>0</v>
      </c>
      <c r="I72">
        <v>0</v>
      </c>
      <c r="J72">
        <v>0</v>
      </c>
    </row>
    <row r="73" spans="1:10" hidden="1">
      <c r="A73" s="1">
        <v>71</v>
      </c>
      <c r="B73" t="s">
        <v>11</v>
      </c>
      <c r="C73">
        <v>6</v>
      </c>
      <c r="D73">
        <v>574.30999999999995</v>
      </c>
      <c r="E73">
        <v>0.40260000000000012</v>
      </c>
      <c r="F73" t="s">
        <v>115</v>
      </c>
      <c r="G73" t="s">
        <v>116</v>
      </c>
      <c r="H73">
        <v>0</v>
      </c>
      <c r="I73">
        <v>0</v>
      </c>
      <c r="J73">
        <v>0</v>
      </c>
    </row>
    <row r="74" spans="1:10" hidden="1">
      <c r="A74" s="1">
        <v>72</v>
      </c>
      <c r="B74" t="s">
        <v>31</v>
      </c>
      <c r="C74">
        <v>23</v>
      </c>
      <c r="D74">
        <v>564.2280000000012</v>
      </c>
      <c r="E74">
        <v>1</v>
      </c>
      <c r="F74" t="s">
        <v>115</v>
      </c>
      <c r="G74" t="s">
        <v>116</v>
      </c>
      <c r="H74">
        <v>0</v>
      </c>
      <c r="I74">
        <v>0</v>
      </c>
      <c r="J74">
        <v>0</v>
      </c>
    </row>
    <row r="75" spans="1:10" hidden="1">
      <c r="A75" s="1">
        <v>73</v>
      </c>
      <c r="B75" t="s">
        <v>22</v>
      </c>
      <c r="C75">
        <v>17</v>
      </c>
      <c r="D75">
        <v>556</v>
      </c>
      <c r="E75">
        <v>0.34</v>
      </c>
      <c r="F75" t="s">
        <v>115</v>
      </c>
      <c r="G75" t="s">
        <v>116</v>
      </c>
      <c r="H75">
        <v>0</v>
      </c>
      <c r="I75">
        <v>0</v>
      </c>
      <c r="J75">
        <v>0</v>
      </c>
    </row>
    <row r="76" spans="1:10" hidden="1">
      <c r="A76" s="1">
        <v>74</v>
      </c>
      <c r="B76" t="s">
        <v>22</v>
      </c>
      <c r="C76">
        <v>10</v>
      </c>
      <c r="D76">
        <v>551.00000000000011</v>
      </c>
      <c r="E76">
        <v>0.34</v>
      </c>
      <c r="F76" t="s">
        <v>115</v>
      </c>
      <c r="G76" t="s">
        <v>116</v>
      </c>
      <c r="H76">
        <v>0</v>
      </c>
      <c r="I76">
        <v>0</v>
      </c>
      <c r="J76">
        <v>0</v>
      </c>
    </row>
    <row r="77" spans="1:10" hidden="1">
      <c r="A77" s="1">
        <v>75</v>
      </c>
      <c r="B77" t="s">
        <v>11</v>
      </c>
      <c r="C77">
        <v>3</v>
      </c>
      <c r="D77">
        <v>535.20000000000005</v>
      </c>
      <c r="E77">
        <v>0.40589999999999993</v>
      </c>
      <c r="F77" t="s">
        <v>115</v>
      </c>
      <c r="G77" t="s">
        <v>116</v>
      </c>
      <c r="H77">
        <v>0</v>
      </c>
      <c r="I77">
        <v>0</v>
      </c>
      <c r="J77">
        <v>0</v>
      </c>
    </row>
    <row r="78" spans="1:10" hidden="1">
      <c r="A78" s="1">
        <v>76</v>
      </c>
      <c r="B78" t="s">
        <v>26</v>
      </c>
      <c r="C78">
        <v>25</v>
      </c>
      <c r="D78">
        <v>1533</v>
      </c>
      <c r="E78">
        <v>0.52649999999999997</v>
      </c>
      <c r="F78" t="s">
        <v>115</v>
      </c>
      <c r="G78" t="s">
        <v>116</v>
      </c>
      <c r="H78">
        <v>0</v>
      </c>
      <c r="I78">
        <v>0</v>
      </c>
      <c r="J78">
        <v>0</v>
      </c>
    </row>
    <row r="79" spans="1:10" hidden="1">
      <c r="A79" s="1">
        <v>77</v>
      </c>
      <c r="B79" t="s">
        <v>14</v>
      </c>
      <c r="C79">
        <v>6</v>
      </c>
      <c r="D79">
        <v>486</v>
      </c>
      <c r="E79">
        <v>1</v>
      </c>
      <c r="F79" t="s">
        <v>115</v>
      </c>
      <c r="G79" t="s">
        <v>116</v>
      </c>
      <c r="H79">
        <v>0</v>
      </c>
      <c r="I79">
        <v>0</v>
      </c>
      <c r="J79">
        <v>0</v>
      </c>
    </row>
    <row r="80" spans="1:10" hidden="1">
      <c r="A80" s="1">
        <v>78</v>
      </c>
      <c r="B80" t="s">
        <v>26</v>
      </c>
      <c r="C80">
        <v>18</v>
      </c>
      <c r="D80">
        <v>484.4</v>
      </c>
      <c r="E80">
        <v>0.55800000000000005</v>
      </c>
      <c r="F80" t="s">
        <v>115</v>
      </c>
      <c r="G80" t="s">
        <v>116</v>
      </c>
      <c r="H80">
        <v>0</v>
      </c>
      <c r="I80">
        <v>0</v>
      </c>
      <c r="J80">
        <v>0</v>
      </c>
    </row>
    <row r="81" spans="1:10">
      <c r="A81" s="1">
        <v>79</v>
      </c>
      <c r="B81" t="s">
        <v>28</v>
      </c>
      <c r="C81">
        <v>57</v>
      </c>
      <c r="D81">
        <v>465.7</v>
      </c>
      <c r="E81">
        <v>0.772321236847756</v>
      </c>
      <c r="F81" t="s">
        <v>115</v>
      </c>
      <c r="G81" t="s">
        <v>116</v>
      </c>
      <c r="H81">
        <v>0</v>
      </c>
      <c r="I81">
        <v>0</v>
      </c>
      <c r="J81">
        <v>0</v>
      </c>
    </row>
    <row r="82" spans="1:10" hidden="1">
      <c r="A82" s="1">
        <v>80</v>
      </c>
      <c r="B82" t="s">
        <v>11</v>
      </c>
      <c r="C82">
        <v>9</v>
      </c>
      <c r="D82">
        <v>454.24</v>
      </c>
      <c r="E82">
        <v>0.40355321415991552</v>
      </c>
      <c r="F82" t="s">
        <v>115</v>
      </c>
      <c r="G82" t="s">
        <v>116</v>
      </c>
      <c r="H82">
        <v>0</v>
      </c>
      <c r="I82">
        <v>0</v>
      </c>
      <c r="J82">
        <v>0</v>
      </c>
    </row>
    <row r="83" spans="1:10">
      <c r="A83" s="1">
        <v>81</v>
      </c>
      <c r="B83" t="s">
        <v>28</v>
      </c>
      <c r="C83">
        <v>56</v>
      </c>
      <c r="D83">
        <v>441.7</v>
      </c>
      <c r="E83">
        <v>0.75924835861444406</v>
      </c>
      <c r="F83" t="s">
        <v>115</v>
      </c>
      <c r="G83" t="s">
        <v>116</v>
      </c>
      <c r="H83">
        <v>0</v>
      </c>
      <c r="I83">
        <v>0</v>
      </c>
      <c r="J83">
        <v>0</v>
      </c>
    </row>
    <row r="84" spans="1:10" hidden="1">
      <c r="A84" s="1">
        <v>82</v>
      </c>
      <c r="B84" t="s">
        <v>22</v>
      </c>
      <c r="C84">
        <v>2</v>
      </c>
      <c r="D84">
        <v>438.00000000000063</v>
      </c>
      <c r="E84">
        <v>0.34</v>
      </c>
      <c r="F84" t="s">
        <v>115</v>
      </c>
      <c r="G84" t="s">
        <v>116</v>
      </c>
      <c r="H84">
        <v>0</v>
      </c>
      <c r="I84">
        <v>0</v>
      </c>
      <c r="J84">
        <v>0</v>
      </c>
    </row>
    <row r="85" spans="1:10" hidden="1">
      <c r="A85" s="1">
        <v>83</v>
      </c>
      <c r="B85" t="s">
        <v>26</v>
      </c>
      <c r="C85">
        <v>24</v>
      </c>
      <c r="D85">
        <v>430.6</v>
      </c>
      <c r="E85">
        <v>0.53100000000000003</v>
      </c>
      <c r="F85" t="s">
        <v>115</v>
      </c>
      <c r="G85" t="s">
        <v>116</v>
      </c>
      <c r="H85">
        <v>0</v>
      </c>
      <c r="I85">
        <v>0</v>
      </c>
      <c r="J85">
        <v>0</v>
      </c>
    </row>
    <row r="86" spans="1:10" hidden="1">
      <c r="A86" s="1">
        <v>84</v>
      </c>
      <c r="B86" t="s">
        <v>26</v>
      </c>
      <c r="C86">
        <v>28</v>
      </c>
      <c r="D86">
        <v>413.51</v>
      </c>
      <c r="E86">
        <v>0.51260921138545623</v>
      </c>
      <c r="F86" t="s">
        <v>115</v>
      </c>
      <c r="G86" t="s">
        <v>116</v>
      </c>
      <c r="H86">
        <v>0</v>
      </c>
      <c r="I86">
        <v>0</v>
      </c>
      <c r="J86">
        <v>0</v>
      </c>
    </row>
    <row r="87" spans="1:10">
      <c r="A87" s="1">
        <v>85</v>
      </c>
      <c r="B87" t="s">
        <v>28</v>
      </c>
      <c r="C87">
        <v>64</v>
      </c>
      <c r="D87">
        <v>1376.7</v>
      </c>
      <c r="E87">
        <v>0.75395540217679824</v>
      </c>
      <c r="F87" t="s">
        <v>115</v>
      </c>
      <c r="G87" t="s">
        <v>116</v>
      </c>
      <c r="H87">
        <v>0</v>
      </c>
      <c r="I87">
        <v>0</v>
      </c>
      <c r="J87">
        <v>0</v>
      </c>
    </row>
    <row r="88" spans="1:10" hidden="1">
      <c r="A88" s="1">
        <v>86</v>
      </c>
      <c r="B88" t="s">
        <v>26</v>
      </c>
      <c r="C88">
        <v>27</v>
      </c>
      <c r="D88">
        <v>360</v>
      </c>
      <c r="E88">
        <v>0.47999999999999993</v>
      </c>
      <c r="F88" t="s">
        <v>115</v>
      </c>
      <c r="G88" t="s">
        <v>116</v>
      </c>
      <c r="H88">
        <v>0</v>
      </c>
      <c r="I88">
        <v>0</v>
      </c>
      <c r="J88">
        <v>0</v>
      </c>
    </row>
    <row r="89" spans="1:10" hidden="1">
      <c r="A89" s="1">
        <v>87</v>
      </c>
      <c r="B89" t="s">
        <v>22</v>
      </c>
      <c r="C89">
        <v>13</v>
      </c>
      <c r="D89">
        <v>354.00000000000011</v>
      </c>
      <c r="E89">
        <v>0.34</v>
      </c>
      <c r="F89" t="s">
        <v>115</v>
      </c>
      <c r="G89" t="s">
        <v>116</v>
      </c>
      <c r="H89">
        <v>0</v>
      </c>
      <c r="I89">
        <v>0</v>
      </c>
      <c r="J89">
        <v>0</v>
      </c>
    </row>
    <row r="90" spans="1:10" hidden="1">
      <c r="A90" s="1">
        <v>88</v>
      </c>
      <c r="B90" t="s">
        <v>11</v>
      </c>
      <c r="C90">
        <v>26</v>
      </c>
      <c r="D90">
        <v>352.5</v>
      </c>
      <c r="E90">
        <v>0.37810042553191492</v>
      </c>
      <c r="F90" t="s">
        <v>115</v>
      </c>
      <c r="G90" t="s">
        <v>116</v>
      </c>
      <c r="H90">
        <v>0</v>
      </c>
      <c r="I90">
        <v>0</v>
      </c>
      <c r="J90">
        <v>0</v>
      </c>
    </row>
    <row r="91" spans="1:10" hidden="1">
      <c r="A91" s="1">
        <v>89</v>
      </c>
      <c r="B91" t="s">
        <v>22</v>
      </c>
      <c r="C91">
        <v>12</v>
      </c>
      <c r="D91">
        <v>347.0000000000004</v>
      </c>
      <c r="E91">
        <v>0.34</v>
      </c>
      <c r="F91" t="s">
        <v>115</v>
      </c>
      <c r="G91" t="s">
        <v>116</v>
      </c>
      <c r="H91">
        <v>0</v>
      </c>
      <c r="I91">
        <v>0</v>
      </c>
      <c r="J91">
        <v>0</v>
      </c>
    </row>
    <row r="92" spans="1:10">
      <c r="A92" s="1">
        <v>90</v>
      </c>
      <c r="B92" t="s">
        <v>28</v>
      </c>
      <c r="C92">
        <v>58</v>
      </c>
      <c r="D92">
        <v>340</v>
      </c>
      <c r="E92">
        <v>0.75441176470588234</v>
      </c>
      <c r="F92" t="s">
        <v>115</v>
      </c>
      <c r="G92" t="s">
        <v>116</v>
      </c>
      <c r="H92">
        <v>0</v>
      </c>
      <c r="I92">
        <v>0</v>
      </c>
      <c r="J92">
        <v>0</v>
      </c>
    </row>
    <row r="93" spans="1:10">
      <c r="A93" s="1">
        <v>91</v>
      </c>
      <c r="B93" t="s">
        <v>28</v>
      </c>
      <c r="C93">
        <v>67</v>
      </c>
      <c r="D93">
        <v>339.2</v>
      </c>
      <c r="E93">
        <v>0.78540683962264157</v>
      </c>
      <c r="F93" t="s">
        <v>115</v>
      </c>
      <c r="G93" t="s">
        <v>116</v>
      </c>
      <c r="H93">
        <v>0</v>
      </c>
      <c r="I93">
        <v>0</v>
      </c>
      <c r="J93">
        <v>0</v>
      </c>
    </row>
    <row r="94" spans="1:10" hidden="1">
      <c r="A94" s="1">
        <v>92</v>
      </c>
      <c r="B94" t="s">
        <v>22</v>
      </c>
      <c r="C94">
        <v>1</v>
      </c>
      <c r="D94">
        <v>334.99999999999909</v>
      </c>
      <c r="E94">
        <v>0.34</v>
      </c>
      <c r="F94" t="s">
        <v>115</v>
      </c>
      <c r="G94" t="s">
        <v>116</v>
      </c>
      <c r="H94">
        <v>0</v>
      </c>
      <c r="I94">
        <v>0</v>
      </c>
      <c r="J94">
        <v>0</v>
      </c>
    </row>
    <row r="95" spans="1:10" hidden="1">
      <c r="A95" s="1">
        <v>93</v>
      </c>
      <c r="B95" t="s">
        <v>22</v>
      </c>
      <c r="C95">
        <v>3</v>
      </c>
      <c r="D95">
        <v>316.99999999999926</v>
      </c>
      <c r="E95">
        <v>0.34</v>
      </c>
      <c r="F95" t="s">
        <v>115</v>
      </c>
      <c r="G95" t="s">
        <v>116</v>
      </c>
      <c r="H95">
        <v>0</v>
      </c>
      <c r="I95">
        <v>0</v>
      </c>
      <c r="J95">
        <v>0</v>
      </c>
    </row>
    <row r="96" spans="1:10" hidden="1">
      <c r="A96" s="1">
        <v>94</v>
      </c>
      <c r="B96" t="s">
        <v>26</v>
      </c>
      <c r="C96">
        <v>7</v>
      </c>
      <c r="D96">
        <v>296.3</v>
      </c>
      <c r="E96">
        <v>0.60690313871076618</v>
      </c>
      <c r="F96" t="s">
        <v>115</v>
      </c>
      <c r="G96" t="s">
        <v>116</v>
      </c>
      <c r="H96">
        <v>0</v>
      </c>
      <c r="I96">
        <v>0</v>
      </c>
      <c r="J96">
        <v>0</v>
      </c>
    </row>
    <row r="97" spans="1:10" hidden="1">
      <c r="A97" s="1">
        <v>95</v>
      </c>
      <c r="B97" t="s">
        <v>11</v>
      </c>
      <c r="C97">
        <v>47</v>
      </c>
      <c r="D97">
        <v>289.7</v>
      </c>
      <c r="E97">
        <v>0.33612530203658958</v>
      </c>
      <c r="F97" t="s">
        <v>115</v>
      </c>
      <c r="G97" t="s">
        <v>116</v>
      </c>
      <c r="H97">
        <v>0</v>
      </c>
      <c r="I97">
        <v>0</v>
      </c>
      <c r="J97">
        <v>0</v>
      </c>
    </row>
    <row r="98" spans="1:10" hidden="1">
      <c r="A98" s="1">
        <v>96</v>
      </c>
      <c r="B98" t="s">
        <v>22</v>
      </c>
      <c r="C98">
        <v>16</v>
      </c>
      <c r="D98">
        <v>279.99999999999983</v>
      </c>
      <c r="E98">
        <v>0.34</v>
      </c>
      <c r="F98" t="s">
        <v>115</v>
      </c>
      <c r="G98" t="s">
        <v>116</v>
      </c>
      <c r="H98">
        <v>0</v>
      </c>
      <c r="I98">
        <v>0</v>
      </c>
      <c r="J98">
        <v>0</v>
      </c>
    </row>
    <row r="99" spans="1:10" hidden="1">
      <c r="A99" s="1">
        <v>97</v>
      </c>
      <c r="B99" t="s">
        <v>11</v>
      </c>
      <c r="C99">
        <v>10</v>
      </c>
      <c r="D99">
        <v>275.77999999999997</v>
      </c>
      <c r="E99">
        <v>0.40463723257669171</v>
      </c>
      <c r="F99" t="s">
        <v>115</v>
      </c>
      <c r="G99" t="s">
        <v>116</v>
      </c>
      <c r="H99">
        <v>0</v>
      </c>
      <c r="I99">
        <v>0</v>
      </c>
      <c r="J99">
        <v>0</v>
      </c>
    </row>
    <row r="100" spans="1:10" hidden="1">
      <c r="A100" s="1">
        <v>98</v>
      </c>
      <c r="B100" t="s">
        <v>11</v>
      </c>
      <c r="C100">
        <v>28</v>
      </c>
      <c r="D100">
        <v>261.10000000000002</v>
      </c>
      <c r="E100">
        <v>0.37812654155495989</v>
      </c>
      <c r="F100" t="s">
        <v>115</v>
      </c>
      <c r="G100" t="s">
        <v>116</v>
      </c>
      <c r="H100">
        <v>0</v>
      </c>
      <c r="I100">
        <v>0</v>
      </c>
      <c r="J100">
        <v>0</v>
      </c>
    </row>
    <row r="101" spans="1:10" hidden="1">
      <c r="A101" s="1">
        <v>99</v>
      </c>
      <c r="B101" t="s">
        <v>22</v>
      </c>
      <c r="C101">
        <v>49</v>
      </c>
      <c r="D101">
        <v>260.2</v>
      </c>
      <c r="E101">
        <v>0.34952344350499609</v>
      </c>
      <c r="F101" t="s">
        <v>115</v>
      </c>
      <c r="G101" t="s">
        <v>116</v>
      </c>
      <c r="H101">
        <v>0</v>
      </c>
      <c r="I101">
        <v>0</v>
      </c>
      <c r="J101">
        <v>0</v>
      </c>
    </row>
    <row r="102" spans="1:10" hidden="1">
      <c r="A102" s="1">
        <v>100</v>
      </c>
      <c r="B102" t="s">
        <v>22</v>
      </c>
      <c r="C102">
        <v>6</v>
      </c>
      <c r="D102">
        <v>258.99999999999943</v>
      </c>
      <c r="E102">
        <v>0.34</v>
      </c>
      <c r="F102" t="s">
        <v>115</v>
      </c>
      <c r="G102" t="s">
        <v>116</v>
      </c>
      <c r="H102">
        <v>0</v>
      </c>
      <c r="I102">
        <v>0</v>
      </c>
      <c r="J102">
        <v>0</v>
      </c>
    </row>
    <row r="103" spans="1:10" hidden="1">
      <c r="A103" s="1">
        <v>101</v>
      </c>
      <c r="B103" t="s">
        <v>22</v>
      </c>
      <c r="C103">
        <v>18</v>
      </c>
      <c r="D103">
        <v>256</v>
      </c>
      <c r="E103">
        <v>0.37644531250000002</v>
      </c>
      <c r="F103" t="s">
        <v>115</v>
      </c>
      <c r="G103" t="s">
        <v>116</v>
      </c>
      <c r="H103">
        <v>0</v>
      </c>
      <c r="I103">
        <v>0</v>
      </c>
      <c r="J103">
        <v>0</v>
      </c>
    </row>
    <row r="104" spans="1:10" hidden="1">
      <c r="A104" s="1">
        <v>102</v>
      </c>
      <c r="B104" t="s">
        <v>22</v>
      </c>
      <c r="C104">
        <v>5</v>
      </c>
      <c r="D104">
        <v>253.00000000000011</v>
      </c>
      <c r="E104">
        <v>0.34</v>
      </c>
      <c r="F104" t="s">
        <v>115</v>
      </c>
      <c r="G104" t="s">
        <v>116</v>
      </c>
      <c r="H104">
        <v>0</v>
      </c>
      <c r="I104">
        <v>0</v>
      </c>
      <c r="J104">
        <v>0</v>
      </c>
    </row>
    <row r="105" spans="1:10" hidden="1">
      <c r="A105" s="1">
        <v>103</v>
      </c>
      <c r="B105" t="s">
        <v>14</v>
      </c>
      <c r="C105">
        <v>0</v>
      </c>
      <c r="D105">
        <v>246.00000000000045</v>
      </c>
      <c r="E105">
        <v>1</v>
      </c>
      <c r="F105" t="s">
        <v>115</v>
      </c>
      <c r="G105" t="s">
        <v>116</v>
      </c>
      <c r="H105">
        <v>0</v>
      </c>
      <c r="I105">
        <v>0</v>
      </c>
      <c r="J105">
        <v>0</v>
      </c>
    </row>
    <row r="106" spans="1:10">
      <c r="A106" s="1">
        <v>104</v>
      </c>
      <c r="B106" t="s">
        <v>28</v>
      </c>
      <c r="C106">
        <v>71</v>
      </c>
      <c r="D106">
        <v>244.1</v>
      </c>
      <c r="E106">
        <v>0.76927488734125371</v>
      </c>
      <c r="F106" t="s">
        <v>115</v>
      </c>
      <c r="G106" t="s">
        <v>116</v>
      </c>
      <c r="H106">
        <v>0</v>
      </c>
      <c r="I106">
        <v>0</v>
      </c>
      <c r="J106">
        <v>0</v>
      </c>
    </row>
    <row r="107" spans="1:10" hidden="1">
      <c r="A107" s="1">
        <v>105</v>
      </c>
      <c r="B107" t="s">
        <v>14</v>
      </c>
      <c r="C107">
        <v>7</v>
      </c>
      <c r="D107">
        <v>240</v>
      </c>
      <c r="E107">
        <v>1</v>
      </c>
      <c r="F107" t="s">
        <v>115</v>
      </c>
      <c r="G107" t="s">
        <v>116</v>
      </c>
      <c r="H107">
        <v>0</v>
      </c>
      <c r="I107">
        <v>0</v>
      </c>
      <c r="J107">
        <v>0</v>
      </c>
    </row>
    <row r="108" spans="1:10" hidden="1">
      <c r="A108" s="1">
        <v>106</v>
      </c>
      <c r="B108" t="s">
        <v>31</v>
      </c>
      <c r="C108">
        <v>24</v>
      </c>
      <c r="D108">
        <v>233.93539999999979</v>
      </c>
      <c r="E108">
        <v>1</v>
      </c>
      <c r="F108" t="s">
        <v>115</v>
      </c>
      <c r="G108" t="s">
        <v>116</v>
      </c>
      <c r="H108">
        <v>0</v>
      </c>
      <c r="I108">
        <v>0</v>
      </c>
      <c r="J108">
        <v>0</v>
      </c>
    </row>
    <row r="109" spans="1:10" hidden="1">
      <c r="A109" s="1">
        <v>107</v>
      </c>
      <c r="B109" t="s">
        <v>11</v>
      </c>
      <c r="C109">
        <v>5</v>
      </c>
      <c r="D109">
        <v>220.2</v>
      </c>
      <c r="E109">
        <v>0.4037</v>
      </c>
      <c r="F109" t="s">
        <v>115</v>
      </c>
      <c r="G109" t="s">
        <v>116</v>
      </c>
      <c r="H109">
        <v>0</v>
      </c>
      <c r="I109">
        <v>0</v>
      </c>
      <c r="J109">
        <v>0</v>
      </c>
    </row>
    <row r="110" spans="1:10">
      <c r="A110" s="1">
        <v>108</v>
      </c>
      <c r="B110" t="s">
        <v>28</v>
      </c>
      <c r="C110">
        <v>79</v>
      </c>
      <c r="D110">
        <v>220</v>
      </c>
      <c r="E110">
        <v>0.75</v>
      </c>
      <c r="F110" t="s">
        <v>115</v>
      </c>
      <c r="G110" t="s">
        <v>116</v>
      </c>
      <c r="H110">
        <v>0</v>
      </c>
      <c r="I110">
        <v>0</v>
      </c>
      <c r="J110">
        <v>0</v>
      </c>
    </row>
    <row r="111" spans="1:10" hidden="1">
      <c r="A111" s="1">
        <v>109</v>
      </c>
      <c r="B111" t="s">
        <v>22</v>
      </c>
      <c r="C111">
        <v>8</v>
      </c>
      <c r="D111">
        <v>200.99999999999963</v>
      </c>
      <c r="E111">
        <v>0.34</v>
      </c>
      <c r="F111" t="s">
        <v>115</v>
      </c>
      <c r="G111" t="s">
        <v>116</v>
      </c>
      <c r="H111">
        <v>0</v>
      </c>
      <c r="I111">
        <v>0</v>
      </c>
      <c r="J111">
        <v>0</v>
      </c>
    </row>
    <row r="112" spans="1:10" hidden="1">
      <c r="A112" s="1">
        <v>110</v>
      </c>
      <c r="B112" t="s">
        <v>26</v>
      </c>
      <c r="C112">
        <v>13</v>
      </c>
      <c r="D112">
        <v>1196</v>
      </c>
      <c r="E112">
        <v>0.58050000000000002</v>
      </c>
      <c r="F112" t="s">
        <v>115</v>
      </c>
      <c r="G112" t="s">
        <v>116</v>
      </c>
      <c r="H112">
        <v>0</v>
      </c>
      <c r="I112">
        <v>0</v>
      </c>
      <c r="J112">
        <v>0</v>
      </c>
    </row>
    <row r="113" spans="1:10" hidden="1">
      <c r="A113" s="1">
        <v>111</v>
      </c>
      <c r="B113" t="s">
        <v>26</v>
      </c>
      <c r="C113">
        <v>23</v>
      </c>
      <c r="D113">
        <v>1188.5999999999999</v>
      </c>
      <c r="E113">
        <v>0.53549999999999998</v>
      </c>
      <c r="F113" t="s">
        <v>115</v>
      </c>
      <c r="G113" t="s">
        <v>116</v>
      </c>
      <c r="H113">
        <v>0</v>
      </c>
      <c r="I113">
        <v>0</v>
      </c>
      <c r="J113">
        <v>0</v>
      </c>
    </row>
    <row r="114" spans="1:10">
      <c r="A114" s="1">
        <v>112</v>
      </c>
      <c r="B114" t="s">
        <v>28</v>
      </c>
      <c r="C114">
        <v>100</v>
      </c>
      <c r="D114">
        <v>183.55</v>
      </c>
      <c r="E114">
        <v>0.82179242713157175</v>
      </c>
      <c r="F114" t="s">
        <v>115</v>
      </c>
      <c r="G114" t="s">
        <v>116</v>
      </c>
      <c r="H114">
        <v>0</v>
      </c>
      <c r="I114">
        <v>0</v>
      </c>
      <c r="J114">
        <v>0</v>
      </c>
    </row>
    <row r="115" spans="1:10" hidden="1">
      <c r="A115" s="1">
        <v>113</v>
      </c>
      <c r="B115" t="s">
        <v>11</v>
      </c>
      <c r="C115">
        <v>49</v>
      </c>
      <c r="D115">
        <v>183</v>
      </c>
      <c r="E115">
        <v>0.32711420765027333</v>
      </c>
      <c r="F115" t="s">
        <v>115</v>
      </c>
      <c r="G115" t="s">
        <v>116</v>
      </c>
      <c r="H115">
        <v>0</v>
      </c>
      <c r="I115">
        <v>0</v>
      </c>
      <c r="J115">
        <v>0</v>
      </c>
    </row>
    <row r="116" spans="1:10">
      <c r="A116" s="1">
        <v>114</v>
      </c>
      <c r="B116" t="s">
        <v>28</v>
      </c>
      <c r="C116">
        <v>44</v>
      </c>
      <c r="D116">
        <v>179.4</v>
      </c>
      <c r="E116">
        <v>0.8</v>
      </c>
      <c r="F116" t="s">
        <v>115</v>
      </c>
      <c r="G116" t="s">
        <v>116</v>
      </c>
      <c r="H116">
        <v>0</v>
      </c>
      <c r="I116">
        <v>0</v>
      </c>
      <c r="J116">
        <v>0</v>
      </c>
    </row>
    <row r="117" spans="1:10">
      <c r="A117" s="1">
        <v>115</v>
      </c>
      <c r="B117" t="s">
        <v>28</v>
      </c>
      <c r="C117">
        <v>33</v>
      </c>
      <c r="D117">
        <v>177.6</v>
      </c>
      <c r="E117">
        <v>0.75354729729729741</v>
      </c>
      <c r="F117" t="s">
        <v>115</v>
      </c>
      <c r="G117" t="s">
        <v>116</v>
      </c>
      <c r="H117">
        <v>0</v>
      </c>
      <c r="I117">
        <v>0</v>
      </c>
      <c r="J117">
        <v>0</v>
      </c>
    </row>
    <row r="118" spans="1:10" hidden="1">
      <c r="A118" s="1">
        <v>116</v>
      </c>
      <c r="B118" t="s">
        <v>22</v>
      </c>
      <c r="C118">
        <v>4</v>
      </c>
      <c r="D118">
        <v>174.00000000000037</v>
      </c>
      <c r="E118">
        <v>0.34</v>
      </c>
      <c r="F118" t="s">
        <v>115</v>
      </c>
      <c r="G118" t="s">
        <v>116</v>
      </c>
      <c r="H118">
        <v>0</v>
      </c>
      <c r="I118">
        <v>0</v>
      </c>
      <c r="J118">
        <v>0</v>
      </c>
    </row>
    <row r="119" spans="1:10" hidden="1">
      <c r="A119" s="1">
        <v>117</v>
      </c>
      <c r="B119" t="s">
        <v>11</v>
      </c>
      <c r="C119">
        <v>51</v>
      </c>
      <c r="D119">
        <v>173.28649999999999</v>
      </c>
      <c r="E119">
        <v>0.33726830520554107</v>
      </c>
      <c r="F119" t="s">
        <v>115</v>
      </c>
      <c r="G119" t="s">
        <v>116</v>
      </c>
      <c r="H119">
        <v>0</v>
      </c>
      <c r="I119">
        <v>0</v>
      </c>
      <c r="J119">
        <v>0</v>
      </c>
    </row>
    <row r="120" spans="1:10" hidden="1">
      <c r="A120" s="1">
        <v>118</v>
      </c>
      <c r="B120" t="s">
        <v>31</v>
      </c>
      <c r="C120">
        <v>27</v>
      </c>
      <c r="D120">
        <v>172.67299999999949</v>
      </c>
      <c r="E120">
        <v>1</v>
      </c>
      <c r="F120" t="s">
        <v>115</v>
      </c>
      <c r="G120" t="s">
        <v>116</v>
      </c>
      <c r="H120">
        <v>0</v>
      </c>
      <c r="I120">
        <v>0</v>
      </c>
      <c r="J120">
        <v>0</v>
      </c>
    </row>
    <row r="121" spans="1:10" hidden="1">
      <c r="A121" s="1">
        <v>119</v>
      </c>
      <c r="B121" t="s">
        <v>30</v>
      </c>
      <c r="C121">
        <v>21</v>
      </c>
      <c r="D121">
        <v>171.92399300525551</v>
      </c>
      <c r="E121">
        <v>1</v>
      </c>
      <c r="F121" t="s">
        <v>115</v>
      </c>
      <c r="G121" t="s">
        <v>116</v>
      </c>
      <c r="H121">
        <v>0</v>
      </c>
      <c r="I121">
        <v>0</v>
      </c>
      <c r="J121">
        <v>0</v>
      </c>
    </row>
    <row r="122" spans="1:10" hidden="1">
      <c r="A122" s="1">
        <v>120</v>
      </c>
      <c r="B122" t="s">
        <v>31</v>
      </c>
      <c r="C122">
        <v>25</v>
      </c>
      <c r="D122">
        <v>170.86999999999969</v>
      </c>
      <c r="E122">
        <v>1</v>
      </c>
      <c r="F122" t="s">
        <v>115</v>
      </c>
      <c r="G122" t="s">
        <v>116</v>
      </c>
      <c r="H122">
        <v>0</v>
      </c>
      <c r="I122">
        <v>0</v>
      </c>
      <c r="J122">
        <v>0</v>
      </c>
    </row>
    <row r="123" spans="1:10" hidden="1">
      <c r="A123" s="1">
        <v>121</v>
      </c>
      <c r="B123" t="s">
        <v>22</v>
      </c>
      <c r="C123">
        <v>19</v>
      </c>
      <c r="D123">
        <v>169.39340000000001</v>
      </c>
      <c r="E123">
        <v>0.38000000000000012</v>
      </c>
      <c r="F123" t="s">
        <v>115</v>
      </c>
      <c r="G123" t="s">
        <v>116</v>
      </c>
      <c r="H123">
        <v>0</v>
      </c>
      <c r="I123">
        <v>0</v>
      </c>
      <c r="J123">
        <v>0</v>
      </c>
    </row>
    <row r="124" spans="1:10" hidden="1">
      <c r="A124" s="1">
        <v>122</v>
      </c>
      <c r="B124" t="s">
        <v>11</v>
      </c>
      <c r="C124">
        <v>4</v>
      </c>
      <c r="D124">
        <v>167.45099999999999</v>
      </c>
      <c r="E124">
        <v>0.40479999999999988</v>
      </c>
      <c r="F124" t="s">
        <v>115</v>
      </c>
      <c r="G124" t="s">
        <v>116</v>
      </c>
      <c r="H124">
        <v>0</v>
      </c>
      <c r="I124">
        <v>0</v>
      </c>
      <c r="J124">
        <v>0</v>
      </c>
    </row>
    <row r="125" spans="1:10" hidden="1">
      <c r="A125" s="1">
        <v>123</v>
      </c>
      <c r="B125" t="s">
        <v>26</v>
      </c>
      <c r="C125">
        <v>19</v>
      </c>
      <c r="D125">
        <v>1165.46</v>
      </c>
      <c r="E125">
        <v>0.55309748579717155</v>
      </c>
      <c r="F125" t="s">
        <v>115</v>
      </c>
      <c r="G125" t="s">
        <v>116</v>
      </c>
      <c r="H125">
        <v>0</v>
      </c>
      <c r="I125">
        <v>0</v>
      </c>
      <c r="J125">
        <v>0</v>
      </c>
    </row>
    <row r="126" spans="1:10">
      <c r="A126" s="1">
        <v>124</v>
      </c>
      <c r="B126" t="s">
        <v>28</v>
      </c>
      <c r="C126">
        <v>98</v>
      </c>
      <c r="D126">
        <v>164</v>
      </c>
      <c r="E126">
        <v>0.79999999999999993</v>
      </c>
      <c r="F126" t="s">
        <v>115</v>
      </c>
      <c r="G126" t="s">
        <v>116</v>
      </c>
      <c r="H126">
        <v>0</v>
      </c>
      <c r="I126">
        <v>0</v>
      </c>
      <c r="J126">
        <v>0</v>
      </c>
    </row>
    <row r="127" spans="1:10">
      <c r="A127" s="1">
        <v>125</v>
      </c>
      <c r="B127" t="s">
        <v>28</v>
      </c>
      <c r="C127">
        <v>48</v>
      </c>
      <c r="D127">
        <v>164</v>
      </c>
      <c r="E127">
        <v>0.75</v>
      </c>
      <c r="F127" t="s">
        <v>115</v>
      </c>
      <c r="G127" t="s">
        <v>116</v>
      </c>
      <c r="H127">
        <v>0</v>
      </c>
      <c r="I127">
        <v>0</v>
      </c>
      <c r="J127">
        <v>0</v>
      </c>
    </row>
    <row r="128" spans="1:10" hidden="1">
      <c r="A128" s="1">
        <v>126</v>
      </c>
      <c r="B128" t="s">
        <v>11</v>
      </c>
      <c r="C128">
        <v>17</v>
      </c>
      <c r="D128">
        <v>163.9</v>
      </c>
      <c r="E128">
        <v>0.39117876754118369</v>
      </c>
      <c r="F128" t="s">
        <v>115</v>
      </c>
      <c r="G128" t="s">
        <v>116</v>
      </c>
      <c r="H128">
        <v>0</v>
      </c>
      <c r="I128">
        <v>0</v>
      </c>
      <c r="J128">
        <v>0</v>
      </c>
    </row>
    <row r="129" spans="1:10" hidden="1">
      <c r="A129" s="1">
        <v>127</v>
      </c>
      <c r="B129" t="s">
        <v>11</v>
      </c>
      <c r="C129">
        <v>29</v>
      </c>
      <c r="D129">
        <v>163</v>
      </c>
      <c r="E129">
        <v>0.37650122699386512</v>
      </c>
      <c r="F129" t="s">
        <v>115</v>
      </c>
      <c r="G129" t="s">
        <v>116</v>
      </c>
      <c r="H129">
        <v>0</v>
      </c>
      <c r="I129">
        <v>0</v>
      </c>
      <c r="J129">
        <v>0</v>
      </c>
    </row>
    <row r="130" spans="1:10" hidden="1">
      <c r="A130" s="1">
        <v>128</v>
      </c>
      <c r="B130" t="s">
        <v>11</v>
      </c>
      <c r="C130">
        <v>25</v>
      </c>
      <c r="D130">
        <v>159.72</v>
      </c>
      <c r="E130">
        <v>0.37783385925369389</v>
      </c>
      <c r="F130" t="s">
        <v>115</v>
      </c>
      <c r="G130" t="s">
        <v>116</v>
      </c>
      <c r="H130">
        <v>0</v>
      </c>
      <c r="I130">
        <v>0</v>
      </c>
      <c r="J130">
        <v>0</v>
      </c>
    </row>
    <row r="131" spans="1:10" hidden="1">
      <c r="A131" s="1">
        <v>129</v>
      </c>
      <c r="B131" t="s">
        <v>11</v>
      </c>
      <c r="C131">
        <v>15</v>
      </c>
      <c r="D131">
        <v>158</v>
      </c>
      <c r="E131">
        <v>0.39478481012658229</v>
      </c>
      <c r="F131" t="s">
        <v>115</v>
      </c>
      <c r="G131" t="s">
        <v>116</v>
      </c>
      <c r="H131">
        <v>0</v>
      </c>
      <c r="I131">
        <v>0</v>
      </c>
      <c r="J131">
        <v>0</v>
      </c>
    </row>
    <row r="132" spans="1:10" hidden="1">
      <c r="A132" s="1">
        <v>130</v>
      </c>
      <c r="B132" t="s">
        <v>31</v>
      </c>
      <c r="C132">
        <v>26</v>
      </c>
      <c r="D132">
        <v>157.89503999999971</v>
      </c>
      <c r="E132">
        <v>1</v>
      </c>
      <c r="F132" t="s">
        <v>115</v>
      </c>
      <c r="G132" t="s">
        <v>116</v>
      </c>
      <c r="H132">
        <v>0</v>
      </c>
      <c r="I132">
        <v>0</v>
      </c>
      <c r="J132">
        <v>0</v>
      </c>
    </row>
    <row r="133" spans="1:10" hidden="1">
      <c r="A133" s="1">
        <v>131</v>
      </c>
      <c r="B133" t="s">
        <v>11</v>
      </c>
      <c r="C133">
        <v>38</v>
      </c>
      <c r="D133">
        <v>156.5</v>
      </c>
      <c r="E133">
        <v>0.34654057507987218</v>
      </c>
      <c r="F133" t="s">
        <v>115</v>
      </c>
      <c r="G133" t="s">
        <v>116</v>
      </c>
      <c r="H133">
        <v>0</v>
      </c>
      <c r="I133">
        <v>0</v>
      </c>
      <c r="J133">
        <v>0</v>
      </c>
    </row>
    <row r="134" spans="1:10" hidden="1">
      <c r="A134" s="1">
        <v>132</v>
      </c>
      <c r="B134" t="s">
        <v>11</v>
      </c>
      <c r="C134">
        <v>61</v>
      </c>
      <c r="D134">
        <v>149</v>
      </c>
      <c r="E134">
        <v>0.33307986577181209</v>
      </c>
      <c r="F134" t="s">
        <v>115</v>
      </c>
      <c r="G134" t="s">
        <v>116</v>
      </c>
      <c r="H134">
        <v>0</v>
      </c>
      <c r="I134">
        <v>0</v>
      </c>
      <c r="J134">
        <v>0</v>
      </c>
    </row>
    <row r="135" spans="1:10" hidden="1">
      <c r="A135" s="1">
        <v>133</v>
      </c>
      <c r="B135" t="s">
        <v>22</v>
      </c>
      <c r="C135">
        <v>31</v>
      </c>
      <c r="D135">
        <v>147</v>
      </c>
      <c r="E135">
        <v>0.34061224489795922</v>
      </c>
      <c r="F135" t="s">
        <v>115</v>
      </c>
      <c r="G135" t="s">
        <v>116</v>
      </c>
      <c r="H135">
        <v>0</v>
      </c>
      <c r="I135">
        <v>0</v>
      </c>
      <c r="J135">
        <v>0</v>
      </c>
    </row>
    <row r="136" spans="1:10" hidden="1">
      <c r="A136" s="1">
        <v>134</v>
      </c>
      <c r="B136" t="s">
        <v>11</v>
      </c>
      <c r="C136">
        <v>35</v>
      </c>
      <c r="D136">
        <v>146</v>
      </c>
      <c r="E136">
        <v>0.34620000000000001</v>
      </c>
      <c r="F136" t="s">
        <v>115</v>
      </c>
      <c r="G136" t="s">
        <v>116</v>
      </c>
      <c r="H136">
        <v>0</v>
      </c>
      <c r="I136">
        <v>0</v>
      </c>
      <c r="J136">
        <v>0</v>
      </c>
    </row>
    <row r="137" spans="1:10" hidden="1">
      <c r="A137" s="1">
        <v>135</v>
      </c>
      <c r="B137" t="s">
        <v>11</v>
      </c>
      <c r="C137">
        <v>8</v>
      </c>
      <c r="D137">
        <v>141.6</v>
      </c>
      <c r="E137">
        <v>0.40260338983050842</v>
      </c>
      <c r="F137" t="s">
        <v>115</v>
      </c>
      <c r="G137" t="s">
        <v>116</v>
      </c>
      <c r="H137">
        <v>0</v>
      </c>
      <c r="I137">
        <v>0</v>
      </c>
      <c r="J137">
        <v>0</v>
      </c>
    </row>
    <row r="138" spans="1:10" hidden="1">
      <c r="A138" s="1">
        <v>136</v>
      </c>
      <c r="B138" t="s">
        <v>26</v>
      </c>
      <c r="C138">
        <v>2</v>
      </c>
      <c r="D138">
        <v>140.5</v>
      </c>
      <c r="E138">
        <v>0.63</v>
      </c>
      <c r="F138" t="s">
        <v>115</v>
      </c>
      <c r="G138" t="s">
        <v>116</v>
      </c>
      <c r="H138">
        <v>0</v>
      </c>
      <c r="I138">
        <v>0</v>
      </c>
      <c r="J138">
        <v>0</v>
      </c>
    </row>
    <row r="139" spans="1:10" hidden="1">
      <c r="A139" s="1">
        <v>137</v>
      </c>
      <c r="B139" t="s">
        <v>30</v>
      </c>
      <c r="C139">
        <v>17</v>
      </c>
      <c r="D139">
        <v>139</v>
      </c>
      <c r="E139">
        <v>1</v>
      </c>
      <c r="F139" t="s">
        <v>115</v>
      </c>
      <c r="G139" t="s">
        <v>116</v>
      </c>
      <c r="H139">
        <v>0</v>
      </c>
      <c r="I139">
        <v>0</v>
      </c>
      <c r="J139">
        <v>0</v>
      </c>
    </row>
    <row r="140" spans="1:10">
      <c r="A140" s="1">
        <v>138</v>
      </c>
      <c r="B140" t="s">
        <v>28</v>
      </c>
      <c r="C140">
        <v>19</v>
      </c>
      <c r="D140">
        <v>138</v>
      </c>
      <c r="E140">
        <v>0.75</v>
      </c>
      <c r="F140" t="s">
        <v>115</v>
      </c>
      <c r="G140" t="s">
        <v>116</v>
      </c>
      <c r="H140">
        <v>0</v>
      </c>
      <c r="I140">
        <v>0</v>
      </c>
      <c r="J140">
        <v>0</v>
      </c>
    </row>
    <row r="141" spans="1:10" hidden="1">
      <c r="A141" s="1">
        <v>139</v>
      </c>
      <c r="B141" t="s">
        <v>26</v>
      </c>
      <c r="C141">
        <v>21</v>
      </c>
      <c r="D141">
        <v>135.80000000000001</v>
      </c>
      <c r="E141">
        <v>0.54449999999999998</v>
      </c>
      <c r="F141" t="s">
        <v>115</v>
      </c>
      <c r="G141" t="s">
        <v>116</v>
      </c>
      <c r="H141">
        <v>0</v>
      </c>
      <c r="I141">
        <v>0</v>
      </c>
      <c r="J141">
        <v>0</v>
      </c>
    </row>
    <row r="142" spans="1:10" hidden="1">
      <c r="A142" s="1">
        <v>140</v>
      </c>
      <c r="B142" t="s">
        <v>11</v>
      </c>
      <c r="C142">
        <v>74</v>
      </c>
      <c r="D142">
        <v>135.5</v>
      </c>
      <c r="E142">
        <v>0.32421992619926199</v>
      </c>
      <c r="F142" t="s">
        <v>115</v>
      </c>
      <c r="G142" t="s">
        <v>116</v>
      </c>
      <c r="H142">
        <v>0</v>
      </c>
      <c r="I142">
        <v>0</v>
      </c>
      <c r="J142">
        <v>0</v>
      </c>
    </row>
    <row r="143" spans="1:10" hidden="1">
      <c r="A143" s="1">
        <v>141</v>
      </c>
      <c r="B143" t="s">
        <v>31</v>
      </c>
      <c r="C143">
        <v>28</v>
      </c>
      <c r="D143">
        <v>133.46791999999999</v>
      </c>
      <c r="E143">
        <v>1</v>
      </c>
      <c r="F143" t="s">
        <v>115</v>
      </c>
      <c r="G143" t="s">
        <v>116</v>
      </c>
      <c r="H143">
        <v>0</v>
      </c>
      <c r="I143">
        <v>0</v>
      </c>
      <c r="J143">
        <v>0</v>
      </c>
    </row>
    <row r="144" spans="1:10">
      <c r="A144" s="1">
        <v>142</v>
      </c>
      <c r="B144" t="s">
        <v>28</v>
      </c>
      <c r="C144">
        <v>95</v>
      </c>
      <c r="D144">
        <v>130</v>
      </c>
      <c r="E144">
        <v>0.78346153846153854</v>
      </c>
      <c r="F144" t="s">
        <v>115</v>
      </c>
      <c r="G144" t="s">
        <v>116</v>
      </c>
      <c r="H144">
        <v>0</v>
      </c>
      <c r="I144">
        <v>0</v>
      </c>
      <c r="J144">
        <v>0</v>
      </c>
    </row>
    <row r="145" spans="1:10" hidden="1">
      <c r="A145" s="1">
        <v>143</v>
      </c>
      <c r="B145" t="s">
        <v>22</v>
      </c>
      <c r="C145">
        <v>40</v>
      </c>
      <c r="D145">
        <v>129.61000000000001</v>
      </c>
      <c r="E145">
        <v>0.33</v>
      </c>
      <c r="F145" t="s">
        <v>115</v>
      </c>
      <c r="G145" t="s">
        <v>116</v>
      </c>
      <c r="H145">
        <v>0</v>
      </c>
      <c r="I145">
        <v>0</v>
      </c>
      <c r="J145">
        <v>0</v>
      </c>
    </row>
    <row r="146" spans="1:10" hidden="1">
      <c r="A146" s="1">
        <v>144</v>
      </c>
      <c r="B146" t="s">
        <v>11</v>
      </c>
      <c r="C146">
        <v>18</v>
      </c>
      <c r="D146">
        <v>126.7</v>
      </c>
      <c r="E146">
        <v>0.38964230465666932</v>
      </c>
      <c r="F146" t="s">
        <v>115</v>
      </c>
      <c r="G146" t="s">
        <v>116</v>
      </c>
      <c r="H146">
        <v>0</v>
      </c>
      <c r="I146">
        <v>0</v>
      </c>
      <c r="J146">
        <v>0</v>
      </c>
    </row>
    <row r="147" spans="1:10" hidden="1">
      <c r="A147" s="1">
        <v>145</v>
      </c>
      <c r="B147" t="s">
        <v>26</v>
      </c>
      <c r="C147">
        <v>41</v>
      </c>
      <c r="D147">
        <v>125</v>
      </c>
      <c r="E147">
        <v>0.45450000000000002</v>
      </c>
      <c r="F147" t="s">
        <v>115</v>
      </c>
      <c r="G147" t="s">
        <v>116</v>
      </c>
      <c r="H147">
        <v>0</v>
      </c>
      <c r="I147">
        <v>0</v>
      </c>
      <c r="J147">
        <v>0</v>
      </c>
    </row>
    <row r="148" spans="1:10" hidden="1">
      <c r="A148" s="1">
        <v>146</v>
      </c>
      <c r="B148" t="s">
        <v>11</v>
      </c>
      <c r="C148">
        <v>20</v>
      </c>
      <c r="D148">
        <v>124.5</v>
      </c>
      <c r="E148">
        <v>0.38719999999999988</v>
      </c>
      <c r="F148" t="s">
        <v>115</v>
      </c>
      <c r="G148" t="s">
        <v>116</v>
      </c>
      <c r="H148">
        <v>0</v>
      </c>
      <c r="I148">
        <v>0</v>
      </c>
      <c r="J148">
        <v>0</v>
      </c>
    </row>
    <row r="149" spans="1:10" hidden="1">
      <c r="A149" s="1">
        <v>147</v>
      </c>
      <c r="B149" t="s">
        <v>22</v>
      </c>
      <c r="C149">
        <v>38</v>
      </c>
      <c r="D149">
        <v>123.5</v>
      </c>
      <c r="E149">
        <v>0.33</v>
      </c>
      <c r="F149" t="s">
        <v>115</v>
      </c>
      <c r="G149" t="s">
        <v>116</v>
      </c>
      <c r="H149">
        <v>0</v>
      </c>
      <c r="I149">
        <v>0</v>
      </c>
      <c r="J149">
        <v>0</v>
      </c>
    </row>
    <row r="150" spans="1:10" hidden="1">
      <c r="A150" s="1">
        <v>148</v>
      </c>
      <c r="B150" t="s">
        <v>30</v>
      </c>
      <c r="C150">
        <v>19</v>
      </c>
      <c r="D150">
        <v>122.12090299971361</v>
      </c>
      <c r="E150">
        <v>1</v>
      </c>
      <c r="F150" t="s">
        <v>115</v>
      </c>
      <c r="G150" t="s">
        <v>116</v>
      </c>
      <c r="H150">
        <v>0</v>
      </c>
      <c r="I150">
        <v>0</v>
      </c>
      <c r="J150">
        <v>0</v>
      </c>
    </row>
    <row r="151" spans="1:10">
      <c r="A151" s="1">
        <v>149</v>
      </c>
      <c r="B151" t="s">
        <v>28</v>
      </c>
      <c r="C151">
        <v>52</v>
      </c>
      <c r="D151">
        <v>121.1</v>
      </c>
      <c r="E151">
        <v>0.79999999999999993</v>
      </c>
      <c r="F151" t="s">
        <v>115</v>
      </c>
      <c r="G151" t="s">
        <v>116</v>
      </c>
      <c r="H151">
        <v>0</v>
      </c>
      <c r="I151">
        <v>0</v>
      </c>
      <c r="J151">
        <v>0</v>
      </c>
    </row>
    <row r="152" spans="1:10" hidden="1">
      <c r="A152" s="1">
        <v>150</v>
      </c>
      <c r="B152" t="s">
        <v>11</v>
      </c>
      <c r="C152">
        <v>33</v>
      </c>
      <c r="D152">
        <v>120.4</v>
      </c>
      <c r="E152">
        <v>0.36632416943521601</v>
      </c>
      <c r="F152" t="s">
        <v>115</v>
      </c>
      <c r="G152" t="s">
        <v>116</v>
      </c>
      <c r="H152">
        <v>0</v>
      </c>
      <c r="I152">
        <v>0</v>
      </c>
      <c r="J152">
        <v>0</v>
      </c>
    </row>
    <row r="153" spans="1:10" hidden="1">
      <c r="A153" s="1">
        <v>151</v>
      </c>
      <c r="B153" t="s">
        <v>22</v>
      </c>
      <c r="C153">
        <v>25</v>
      </c>
      <c r="D153">
        <v>117.9</v>
      </c>
      <c r="E153">
        <v>0.3366157760814249</v>
      </c>
      <c r="F153" t="s">
        <v>115</v>
      </c>
      <c r="G153" t="s">
        <v>116</v>
      </c>
      <c r="H153">
        <v>0</v>
      </c>
      <c r="I153">
        <v>0</v>
      </c>
      <c r="J153">
        <v>0</v>
      </c>
    </row>
    <row r="154" spans="1:10">
      <c r="A154" s="1">
        <v>152</v>
      </c>
      <c r="B154" t="s">
        <v>28</v>
      </c>
      <c r="C154">
        <v>30</v>
      </c>
      <c r="D154">
        <v>117.4</v>
      </c>
      <c r="E154">
        <v>0.79999999999999993</v>
      </c>
      <c r="F154" t="s">
        <v>115</v>
      </c>
      <c r="G154" t="s">
        <v>116</v>
      </c>
      <c r="H154">
        <v>0</v>
      </c>
      <c r="I154">
        <v>0</v>
      </c>
      <c r="J154">
        <v>0</v>
      </c>
    </row>
    <row r="155" spans="1:10" hidden="1">
      <c r="A155" s="1">
        <v>153</v>
      </c>
      <c r="B155" t="s">
        <v>11</v>
      </c>
      <c r="C155">
        <v>21</v>
      </c>
      <c r="D155">
        <v>115.8</v>
      </c>
      <c r="E155">
        <v>0.38573238341968907</v>
      </c>
      <c r="F155" t="s">
        <v>115</v>
      </c>
      <c r="G155" t="s">
        <v>116</v>
      </c>
      <c r="H155">
        <v>0</v>
      </c>
      <c r="I155">
        <v>0</v>
      </c>
      <c r="J155">
        <v>0</v>
      </c>
    </row>
    <row r="156" spans="1:10">
      <c r="A156" s="1">
        <v>154</v>
      </c>
      <c r="B156" t="s">
        <v>28</v>
      </c>
      <c r="C156">
        <v>69</v>
      </c>
      <c r="D156">
        <v>111.5</v>
      </c>
      <c r="E156">
        <v>0.8</v>
      </c>
      <c r="F156" t="s">
        <v>115</v>
      </c>
      <c r="G156" t="s">
        <v>116</v>
      </c>
      <c r="H156">
        <v>0</v>
      </c>
      <c r="I156">
        <v>0</v>
      </c>
      <c r="J156">
        <v>0</v>
      </c>
    </row>
    <row r="157" spans="1:10" hidden="1">
      <c r="A157" s="1">
        <v>155</v>
      </c>
      <c r="B157" t="s">
        <v>11</v>
      </c>
      <c r="C157">
        <v>19</v>
      </c>
      <c r="D157">
        <v>110.55</v>
      </c>
      <c r="E157">
        <v>0.38829999999999998</v>
      </c>
      <c r="F157" t="s">
        <v>115</v>
      </c>
      <c r="G157" t="s">
        <v>116</v>
      </c>
      <c r="H157">
        <v>0</v>
      </c>
      <c r="I157">
        <v>0</v>
      </c>
      <c r="J157">
        <v>0</v>
      </c>
    </row>
    <row r="158" spans="1:10">
      <c r="A158" s="1">
        <v>156</v>
      </c>
      <c r="B158" t="s">
        <v>28</v>
      </c>
      <c r="C158">
        <v>55</v>
      </c>
      <c r="D158">
        <v>108.9</v>
      </c>
      <c r="E158">
        <v>0.76340679522497701</v>
      </c>
      <c r="F158" t="s">
        <v>115</v>
      </c>
      <c r="G158" t="s">
        <v>116</v>
      </c>
      <c r="H158">
        <v>0</v>
      </c>
      <c r="I158">
        <v>0</v>
      </c>
      <c r="J158">
        <v>0</v>
      </c>
    </row>
    <row r="159" spans="1:10" hidden="1">
      <c r="A159" s="1">
        <v>157</v>
      </c>
      <c r="B159" t="s">
        <v>14</v>
      </c>
      <c r="C159">
        <v>9</v>
      </c>
      <c r="D159">
        <v>108</v>
      </c>
      <c r="E159">
        <v>1</v>
      </c>
      <c r="F159" t="s">
        <v>115</v>
      </c>
      <c r="G159" t="s">
        <v>116</v>
      </c>
      <c r="H159">
        <v>0</v>
      </c>
      <c r="I159">
        <v>0</v>
      </c>
      <c r="J159">
        <v>0</v>
      </c>
    </row>
    <row r="160" spans="1:10">
      <c r="A160" s="1">
        <v>158</v>
      </c>
      <c r="B160" t="s">
        <v>28</v>
      </c>
      <c r="C160">
        <v>90</v>
      </c>
      <c r="D160">
        <v>104.8</v>
      </c>
      <c r="E160">
        <v>0.76192748091603046</v>
      </c>
      <c r="F160" t="s">
        <v>115</v>
      </c>
      <c r="G160" t="s">
        <v>116</v>
      </c>
      <c r="H160">
        <v>0</v>
      </c>
      <c r="I160">
        <v>0</v>
      </c>
      <c r="J160">
        <v>0</v>
      </c>
    </row>
    <row r="161" spans="1:10">
      <c r="A161" s="1">
        <v>159</v>
      </c>
      <c r="B161" t="s">
        <v>28</v>
      </c>
      <c r="C161">
        <v>2</v>
      </c>
      <c r="D161">
        <v>103.5</v>
      </c>
      <c r="E161">
        <v>0.80000000000000016</v>
      </c>
      <c r="F161" t="s">
        <v>115</v>
      </c>
      <c r="G161" t="s">
        <v>116</v>
      </c>
      <c r="H161">
        <v>0</v>
      </c>
      <c r="I161">
        <v>0</v>
      </c>
      <c r="J161">
        <v>0</v>
      </c>
    </row>
    <row r="162" spans="1:10" hidden="1">
      <c r="A162" s="1">
        <v>160</v>
      </c>
      <c r="B162" t="s">
        <v>11</v>
      </c>
      <c r="C162">
        <v>43</v>
      </c>
      <c r="D162">
        <v>100.78</v>
      </c>
      <c r="E162">
        <v>0.36255598333002581</v>
      </c>
      <c r="F162" t="s">
        <v>115</v>
      </c>
      <c r="G162" t="s">
        <v>116</v>
      </c>
      <c r="H162">
        <v>0</v>
      </c>
      <c r="I162">
        <v>0</v>
      </c>
      <c r="J162">
        <v>0</v>
      </c>
    </row>
    <row r="163" spans="1:10">
      <c r="A163" s="1">
        <v>161</v>
      </c>
      <c r="B163" t="s">
        <v>28</v>
      </c>
      <c r="C163">
        <v>74</v>
      </c>
      <c r="D163">
        <v>100</v>
      </c>
      <c r="E163">
        <v>0.75</v>
      </c>
      <c r="F163" t="s">
        <v>115</v>
      </c>
      <c r="G163" t="s">
        <v>116</v>
      </c>
      <c r="H163">
        <v>0</v>
      </c>
      <c r="I163">
        <v>0</v>
      </c>
      <c r="J163">
        <v>0</v>
      </c>
    </row>
    <row r="164" spans="1:10" hidden="1">
      <c r="A164" s="1">
        <v>162</v>
      </c>
      <c r="B164" t="s">
        <v>11</v>
      </c>
      <c r="C164">
        <v>30</v>
      </c>
      <c r="D164">
        <v>1097.079</v>
      </c>
      <c r="E164">
        <v>0.36577992974793722</v>
      </c>
      <c r="F164" t="s">
        <v>115</v>
      </c>
      <c r="G164" t="s">
        <v>116</v>
      </c>
      <c r="H164">
        <v>0</v>
      </c>
      <c r="I164">
        <v>0</v>
      </c>
      <c r="J164">
        <v>0</v>
      </c>
    </row>
    <row r="165" spans="1:10" hidden="1">
      <c r="A165" s="1">
        <v>163</v>
      </c>
      <c r="B165" t="s">
        <v>22</v>
      </c>
      <c r="C165">
        <v>23</v>
      </c>
      <c r="D165">
        <v>95.8</v>
      </c>
      <c r="E165">
        <v>0.33511482254697278</v>
      </c>
      <c r="F165" t="s">
        <v>115</v>
      </c>
      <c r="G165" t="s">
        <v>116</v>
      </c>
      <c r="H165">
        <v>0</v>
      </c>
      <c r="I165">
        <v>0</v>
      </c>
      <c r="J165">
        <v>0</v>
      </c>
    </row>
    <row r="166" spans="1:10">
      <c r="A166" s="1">
        <v>164</v>
      </c>
      <c r="B166" t="s">
        <v>28</v>
      </c>
      <c r="C166">
        <v>62</v>
      </c>
      <c r="D166">
        <v>95.7</v>
      </c>
      <c r="E166">
        <v>0.77701149425287364</v>
      </c>
      <c r="F166" t="s">
        <v>115</v>
      </c>
      <c r="G166" t="s">
        <v>116</v>
      </c>
      <c r="H166">
        <v>0</v>
      </c>
      <c r="I166">
        <v>0</v>
      </c>
      <c r="J166">
        <v>0</v>
      </c>
    </row>
    <row r="167" spans="1:10" hidden="1">
      <c r="A167" s="1">
        <v>165</v>
      </c>
      <c r="B167" t="s">
        <v>11</v>
      </c>
      <c r="C167">
        <v>68</v>
      </c>
      <c r="D167">
        <v>1094.5999999999999</v>
      </c>
      <c r="E167">
        <v>0.33404418604651159</v>
      </c>
      <c r="F167" t="s">
        <v>115</v>
      </c>
      <c r="G167" t="s">
        <v>116</v>
      </c>
      <c r="H167">
        <v>0</v>
      </c>
      <c r="I167">
        <v>0</v>
      </c>
      <c r="J167">
        <v>0</v>
      </c>
    </row>
    <row r="168" spans="1:10" hidden="1">
      <c r="A168" s="1">
        <v>166</v>
      </c>
      <c r="B168" t="s">
        <v>30</v>
      </c>
      <c r="C168">
        <v>20</v>
      </c>
      <c r="D168">
        <v>93.425178999952891</v>
      </c>
      <c r="E168">
        <v>1</v>
      </c>
      <c r="F168" t="s">
        <v>115</v>
      </c>
      <c r="G168" t="s">
        <v>116</v>
      </c>
      <c r="H168">
        <v>0</v>
      </c>
      <c r="I168">
        <v>0</v>
      </c>
      <c r="J168">
        <v>0</v>
      </c>
    </row>
    <row r="169" spans="1:10" hidden="1">
      <c r="A169" s="1">
        <v>167</v>
      </c>
      <c r="B169" t="s">
        <v>22</v>
      </c>
      <c r="C169">
        <v>24</v>
      </c>
      <c r="D169">
        <v>93.1</v>
      </c>
      <c r="E169">
        <v>0.33000000000000013</v>
      </c>
      <c r="F169" t="s">
        <v>115</v>
      </c>
      <c r="G169" t="s">
        <v>116</v>
      </c>
      <c r="H169">
        <v>0</v>
      </c>
      <c r="I169">
        <v>0</v>
      </c>
      <c r="J169">
        <v>0</v>
      </c>
    </row>
    <row r="170" spans="1:10">
      <c r="A170" s="1">
        <v>168</v>
      </c>
      <c r="B170" t="s">
        <v>28</v>
      </c>
      <c r="C170">
        <v>38</v>
      </c>
      <c r="D170">
        <v>91.800000000000011</v>
      </c>
      <c r="E170">
        <v>0.79999999999999982</v>
      </c>
      <c r="F170" t="s">
        <v>115</v>
      </c>
      <c r="G170" t="s">
        <v>116</v>
      </c>
      <c r="H170">
        <v>0</v>
      </c>
      <c r="I170">
        <v>0</v>
      </c>
      <c r="J170">
        <v>0</v>
      </c>
    </row>
    <row r="171" spans="1:10">
      <c r="A171" s="1">
        <v>169</v>
      </c>
      <c r="B171" t="s">
        <v>28</v>
      </c>
      <c r="C171">
        <v>80</v>
      </c>
      <c r="D171">
        <v>91.5</v>
      </c>
      <c r="E171">
        <v>0.8</v>
      </c>
      <c r="F171" t="s">
        <v>115</v>
      </c>
      <c r="G171" t="s">
        <v>116</v>
      </c>
      <c r="H171">
        <v>0</v>
      </c>
      <c r="I171">
        <v>0</v>
      </c>
      <c r="J171">
        <v>0</v>
      </c>
    </row>
    <row r="172" spans="1:10">
      <c r="A172" s="1">
        <v>170</v>
      </c>
      <c r="B172" t="s">
        <v>28</v>
      </c>
      <c r="C172">
        <v>84</v>
      </c>
      <c r="D172">
        <v>88.1</v>
      </c>
      <c r="E172">
        <v>0.8</v>
      </c>
      <c r="F172" t="s">
        <v>115</v>
      </c>
      <c r="G172" t="s">
        <v>116</v>
      </c>
      <c r="H172">
        <v>0</v>
      </c>
      <c r="I172">
        <v>0</v>
      </c>
      <c r="J172">
        <v>0</v>
      </c>
    </row>
    <row r="173" spans="1:10">
      <c r="A173" s="1">
        <v>171</v>
      </c>
      <c r="B173" t="s">
        <v>28</v>
      </c>
      <c r="C173">
        <v>78</v>
      </c>
      <c r="D173">
        <v>84</v>
      </c>
      <c r="E173">
        <v>0.8</v>
      </c>
      <c r="F173" t="s">
        <v>115</v>
      </c>
      <c r="G173" t="s">
        <v>116</v>
      </c>
      <c r="H173">
        <v>0</v>
      </c>
      <c r="I173">
        <v>0</v>
      </c>
      <c r="J173">
        <v>0</v>
      </c>
    </row>
    <row r="174" spans="1:10" hidden="1">
      <c r="A174" s="1">
        <v>172</v>
      </c>
      <c r="B174" t="s">
        <v>22</v>
      </c>
      <c r="C174">
        <v>20</v>
      </c>
      <c r="D174">
        <v>81.2</v>
      </c>
      <c r="E174">
        <v>0.37150246305418722</v>
      </c>
      <c r="F174" t="s">
        <v>115</v>
      </c>
      <c r="G174" t="s">
        <v>116</v>
      </c>
      <c r="H174">
        <v>0</v>
      </c>
      <c r="I174">
        <v>0</v>
      </c>
      <c r="J174">
        <v>0</v>
      </c>
    </row>
    <row r="175" spans="1:10" hidden="1">
      <c r="A175" s="1">
        <v>173</v>
      </c>
      <c r="B175" t="s">
        <v>14</v>
      </c>
      <c r="C175">
        <v>8</v>
      </c>
      <c r="D175">
        <v>80.000000000000014</v>
      </c>
      <c r="E175">
        <v>1</v>
      </c>
      <c r="F175" t="s">
        <v>115</v>
      </c>
      <c r="G175" t="s">
        <v>116</v>
      </c>
      <c r="H175">
        <v>0</v>
      </c>
      <c r="I175">
        <v>0</v>
      </c>
      <c r="J175">
        <v>0</v>
      </c>
    </row>
    <row r="176" spans="1:10" hidden="1">
      <c r="A176" s="1">
        <v>174</v>
      </c>
      <c r="B176" t="s">
        <v>11</v>
      </c>
      <c r="C176">
        <v>48</v>
      </c>
      <c r="D176">
        <v>1077.7</v>
      </c>
      <c r="E176">
        <v>0.31862908622908631</v>
      </c>
      <c r="F176" t="s">
        <v>115</v>
      </c>
      <c r="G176" t="s">
        <v>116</v>
      </c>
      <c r="H176">
        <v>0</v>
      </c>
      <c r="I176">
        <v>0</v>
      </c>
      <c r="J176">
        <v>0</v>
      </c>
    </row>
    <row r="177" spans="1:10" hidden="1">
      <c r="A177" s="1">
        <v>175</v>
      </c>
      <c r="B177" t="s">
        <v>11</v>
      </c>
      <c r="C177">
        <v>23</v>
      </c>
      <c r="D177">
        <v>1072.5999999999999</v>
      </c>
      <c r="E177">
        <v>0.39393856749311301</v>
      </c>
      <c r="F177" t="s">
        <v>115</v>
      </c>
      <c r="G177" t="s">
        <v>116</v>
      </c>
      <c r="H177">
        <v>0</v>
      </c>
      <c r="I177">
        <v>0</v>
      </c>
      <c r="J177">
        <v>0</v>
      </c>
    </row>
    <row r="178" spans="1:10">
      <c r="A178" s="1">
        <v>176</v>
      </c>
      <c r="B178" t="s">
        <v>28</v>
      </c>
      <c r="C178">
        <v>63</v>
      </c>
      <c r="D178">
        <v>70.3</v>
      </c>
      <c r="E178">
        <v>0.75746799431009948</v>
      </c>
      <c r="F178" t="s">
        <v>115</v>
      </c>
      <c r="G178" t="s">
        <v>116</v>
      </c>
      <c r="H178">
        <v>0</v>
      </c>
      <c r="I178">
        <v>0</v>
      </c>
      <c r="J178">
        <v>0</v>
      </c>
    </row>
    <row r="179" spans="1:10">
      <c r="A179" s="1">
        <v>177</v>
      </c>
      <c r="B179" t="s">
        <v>28</v>
      </c>
      <c r="C179">
        <v>40</v>
      </c>
      <c r="D179">
        <v>70</v>
      </c>
      <c r="E179">
        <v>0.80000000000000016</v>
      </c>
      <c r="F179" t="s">
        <v>115</v>
      </c>
      <c r="G179" t="s">
        <v>116</v>
      </c>
      <c r="H179">
        <v>0</v>
      </c>
      <c r="I179">
        <v>0</v>
      </c>
      <c r="J179">
        <v>0</v>
      </c>
    </row>
    <row r="180" spans="1:10" hidden="1">
      <c r="A180" s="1">
        <v>178</v>
      </c>
      <c r="B180" t="s">
        <v>22</v>
      </c>
      <c r="C180">
        <v>22</v>
      </c>
      <c r="D180">
        <v>65.8</v>
      </c>
      <c r="E180">
        <v>0.33919452887537987</v>
      </c>
      <c r="F180" t="s">
        <v>115</v>
      </c>
      <c r="G180" t="s">
        <v>116</v>
      </c>
      <c r="H180">
        <v>0</v>
      </c>
      <c r="I180">
        <v>0</v>
      </c>
      <c r="J180">
        <v>0</v>
      </c>
    </row>
    <row r="181" spans="1:10" hidden="1">
      <c r="A181" s="1">
        <v>179</v>
      </c>
      <c r="B181" t="s">
        <v>11</v>
      </c>
      <c r="C181">
        <v>27</v>
      </c>
      <c r="D181">
        <v>1065.5999999999999</v>
      </c>
      <c r="E181">
        <v>0.37852820121951231</v>
      </c>
      <c r="F181" t="s">
        <v>115</v>
      </c>
      <c r="G181" t="s">
        <v>116</v>
      </c>
      <c r="H181">
        <v>0</v>
      </c>
      <c r="I181">
        <v>0</v>
      </c>
      <c r="J181">
        <v>0</v>
      </c>
    </row>
    <row r="182" spans="1:10">
      <c r="A182" s="1">
        <v>180</v>
      </c>
      <c r="B182" t="s">
        <v>28</v>
      </c>
      <c r="C182">
        <v>60</v>
      </c>
      <c r="D182">
        <v>62.8</v>
      </c>
      <c r="E182">
        <v>0.8</v>
      </c>
      <c r="F182" t="s">
        <v>115</v>
      </c>
      <c r="G182" t="s">
        <v>116</v>
      </c>
      <c r="H182">
        <v>0</v>
      </c>
      <c r="I182">
        <v>0</v>
      </c>
      <c r="J182">
        <v>0</v>
      </c>
    </row>
    <row r="183" spans="1:10" hidden="1">
      <c r="A183" s="1">
        <v>181</v>
      </c>
      <c r="B183" t="s">
        <v>11</v>
      </c>
      <c r="C183">
        <v>34</v>
      </c>
      <c r="D183">
        <v>1060.491</v>
      </c>
      <c r="E183">
        <v>0.37180000000000007</v>
      </c>
      <c r="F183" t="s">
        <v>115</v>
      </c>
      <c r="G183" t="s">
        <v>116</v>
      </c>
      <c r="H183">
        <v>0</v>
      </c>
      <c r="I183">
        <v>0</v>
      </c>
      <c r="J183">
        <v>0</v>
      </c>
    </row>
    <row r="184" spans="1:10">
      <c r="A184" s="1">
        <v>182</v>
      </c>
      <c r="B184" t="s">
        <v>28</v>
      </c>
      <c r="C184">
        <v>39</v>
      </c>
      <c r="D184">
        <v>60.3</v>
      </c>
      <c r="E184">
        <v>0.76019900497512449</v>
      </c>
      <c r="F184" t="s">
        <v>115</v>
      </c>
      <c r="G184" t="s">
        <v>116</v>
      </c>
      <c r="H184">
        <v>0</v>
      </c>
      <c r="I184">
        <v>0</v>
      </c>
      <c r="J184">
        <v>0</v>
      </c>
    </row>
    <row r="185" spans="1:10">
      <c r="A185" s="1">
        <v>183</v>
      </c>
      <c r="B185" t="s">
        <v>28</v>
      </c>
      <c r="C185">
        <v>68</v>
      </c>
      <c r="D185">
        <v>57.4</v>
      </c>
      <c r="E185">
        <v>0.95853658536585373</v>
      </c>
      <c r="F185" t="s">
        <v>115</v>
      </c>
      <c r="G185" t="s">
        <v>116</v>
      </c>
      <c r="H185">
        <v>0</v>
      </c>
      <c r="I185">
        <v>0</v>
      </c>
      <c r="J185">
        <v>0</v>
      </c>
    </row>
    <row r="186" spans="1:10" hidden="1">
      <c r="A186" s="1">
        <v>184</v>
      </c>
      <c r="B186" t="s">
        <v>11</v>
      </c>
      <c r="C186">
        <v>24</v>
      </c>
      <c r="D186">
        <v>1053.0999999999999</v>
      </c>
      <c r="E186">
        <v>0.38279999999999997</v>
      </c>
      <c r="F186" t="s">
        <v>115</v>
      </c>
      <c r="G186" t="s">
        <v>116</v>
      </c>
      <c r="H186">
        <v>0</v>
      </c>
      <c r="I186">
        <v>0</v>
      </c>
      <c r="J186">
        <v>0</v>
      </c>
    </row>
    <row r="187" spans="1:10" hidden="1">
      <c r="A187" s="1">
        <v>185</v>
      </c>
      <c r="B187" t="s">
        <v>14</v>
      </c>
      <c r="C187">
        <v>10</v>
      </c>
      <c r="D187">
        <v>45</v>
      </c>
      <c r="E187">
        <v>1</v>
      </c>
      <c r="F187" t="s">
        <v>115</v>
      </c>
      <c r="G187" t="s">
        <v>116</v>
      </c>
      <c r="H187">
        <v>0</v>
      </c>
      <c r="I187">
        <v>0</v>
      </c>
      <c r="J187">
        <v>0</v>
      </c>
    </row>
    <row r="188" spans="1:10" hidden="1">
      <c r="A188" s="1">
        <v>186</v>
      </c>
      <c r="B188" t="s">
        <v>14</v>
      </c>
      <c r="C188">
        <v>11</v>
      </c>
      <c r="D188">
        <v>35</v>
      </c>
      <c r="E188">
        <v>1</v>
      </c>
      <c r="F188" t="s">
        <v>115</v>
      </c>
      <c r="G188" t="s">
        <v>116</v>
      </c>
      <c r="H188">
        <v>0</v>
      </c>
      <c r="I188">
        <v>0</v>
      </c>
      <c r="J188">
        <v>0</v>
      </c>
    </row>
    <row r="189" spans="1:10" hidden="1">
      <c r="A189" s="1">
        <v>187</v>
      </c>
      <c r="B189" t="s">
        <v>22</v>
      </c>
      <c r="C189">
        <v>9</v>
      </c>
      <c r="D189">
        <v>7.0000000000005613</v>
      </c>
      <c r="E189">
        <v>0.34</v>
      </c>
      <c r="F189" t="s">
        <v>115</v>
      </c>
      <c r="G189" t="s">
        <v>116</v>
      </c>
      <c r="H189">
        <v>0</v>
      </c>
      <c r="I189">
        <v>0</v>
      </c>
      <c r="J189">
        <v>0</v>
      </c>
    </row>
    <row r="190" spans="1:10" hidden="1">
      <c r="A190" s="1"/>
    </row>
    <row r="191" spans="1:10" hidden="1">
      <c r="A191" s="1"/>
    </row>
    <row r="192" spans="1:10" hidden="1">
      <c r="A192" s="1"/>
    </row>
    <row r="193" spans="1:1" hidden="1">
      <c r="A193" s="1"/>
    </row>
  </sheetData>
  <autoFilter ref="B1:J193" xr:uid="{00000000-0001-0000-0000-000000000000}">
    <filterColumn colId="0">
      <filters>
        <filter val="Hydropower_reservoir_medium"/>
      </filters>
    </filterColumn>
    <sortState xmlns:xlrd2="http://schemas.microsoft.com/office/spreadsheetml/2017/richdata2" ref="B2:J193">
      <sortCondition descending="1" ref="D1:D193"/>
    </sortState>
  </autoFilter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2"/>
  <sheetViews>
    <sheetView zoomScale="77" zoomScaleNormal="77" workbookViewId="0">
      <selection activeCell="O47" sqref="O47"/>
    </sheetView>
  </sheetViews>
  <sheetFormatPr defaultRowHeight="15"/>
  <cols>
    <col min="2" max="2" width="14.7109375" customWidth="1"/>
    <col min="7" max="7" width="14.28515625" customWidth="1"/>
  </cols>
  <sheetData>
    <row r="1" spans="1:13"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113</v>
      </c>
      <c r="I1" s="1" t="s">
        <v>114</v>
      </c>
      <c r="J1" s="9" t="s">
        <v>8</v>
      </c>
      <c r="M1" t="str" cm="1">
        <f t="array" ref="M1:M13">_xlfn.UNIQUE(B:B)</f>
        <v>Technology</v>
      </c>
    </row>
    <row r="2" spans="1:13">
      <c r="A2" s="1">
        <v>0</v>
      </c>
      <c r="B2" t="s">
        <v>22</v>
      </c>
      <c r="C2">
        <v>18</v>
      </c>
      <c r="D2">
        <v>256</v>
      </c>
      <c r="E2">
        <v>0.37644531250000002</v>
      </c>
      <c r="F2" t="s">
        <v>115</v>
      </c>
      <c r="G2" t="s">
        <v>116</v>
      </c>
      <c r="H2">
        <v>0</v>
      </c>
      <c r="I2">
        <v>0</v>
      </c>
      <c r="J2">
        <v>0</v>
      </c>
      <c r="M2" t="str">
        <v>Biomass_CHP_wood_pellets_DH</v>
      </c>
    </row>
    <row r="3" spans="1:13">
      <c r="A3" s="1">
        <v>1</v>
      </c>
      <c r="B3" t="s">
        <v>22</v>
      </c>
      <c r="C3">
        <v>19</v>
      </c>
      <c r="D3">
        <v>169.39340000000001</v>
      </c>
      <c r="E3">
        <v>0.38000000000000012</v>
      </c>
      <c r="F3" t="s">
        <v>115</v>
      </c>
      <c r="G3" t="s">
        <v>116</v>
      </c>
      <c r="H3">
        <v>0</v>
      </c>
      <c r="I3">
        <v>0</v>
      </c>
      <c r="J3">
        <v>0</v>
      </c>
      <c r="M3" t="str">
        <v>CCGT</v>
      </c>
    </row>
    <row r="4" spans="1:13">
      <c r="A4" s="1">
        <v>2</v>
      </c>
      <c r="B4" t="s">
        <v>22</v>
      </c>
      <c r="C4">
        <v>20</v>
      </c>
      <c r="D4">
        <v>81.2</v>
      </c>
      <c r="E4">
        <v>0.37150246305418722</v>
      </c>
      <c r="F4" t="s">
        <v>115</v>
      </c>
      <c r="G4" t="s">
        <v>116</v>
      </c>
      <c r="H4">
        <v>0</v>
      </c>
      <c r="I4">
        <v>0</v>
      </c>
      <c r="J4">
        <v>0</v>
      </c>
      <c r="M4" t="str">
        <v>Coal PSC</v>
      </c>
    </row>
    <row r="5" spans="1:13">
      <c r="A5" s="1">
        <v>3</v>
      </c>
      <c r="B5" t="s">
        <v>22</v>
      </c>
      <c r="C5">
        <v>22</v>
      </c>
      <c r="D5">
        <v>65.8</v>
      </c>
      <c r="E5">
        <v>0.33919452887537987</v>
      </c>
      <c r="F5" t="s">
        <v>115</v>
      </c>
      <c r="G5" t="s">
        <v>116</v>
      </c>
      <c r="H5">
        <v>0</v>
      </c>
      <c r="I5">
        <v>0</v>
      </c>
      <c r="J5">
        <v>0</v>
      </c>
      <c r="M5" t="str">
        <v>Fuel oil PGT</v>
      </c>
    </row>
    <row r="6" spans="1:13">
      <c r="A6" s="1">
        <v>4</v>
      </c>
      <c r="B6" t="s">
        <v>22</v>
      </c>
      <c r="C6">
        <v>23</v>
      </c>
      <c r="D6">
        <v>95.8</v>
      </c>
      <c r="E6">
        <v>0.33511482254697278</v>
      </c>
      <c r="F6" t="s">
        <v>115</v>
      </c>
      <c r="G6" t="s">
        <v>116</v>
      </c>
      <c r="H6">
        <v>0</v>
      </c>
      <c r="I6">
        <v>0</v>
      </c>
      <c r="J6">
        <v>0</v>
      </c>
      <c r="M6" t="str">
        <v>Hydropower_reservoir_medium</v>
      </c>
    </row>
    <row r="7" spans="1:13">
      <c r="A7" s="1">
        <v>5</v>
      </c>
      <c r="B7" t="s">
        <v>22</v>
      </c>
      <c r="C7">
        <v>24</v>
      </c>
      <c r="D7">
        <v>93.1</v>
      </c>
      <c r="E7">
        <v>0.33000000000000013</v>
      </c>
      <c r="F7" t="s">
        <v>115</v>
      </c>
      <c r="G7" t="s">
        <v>116</v>
      </c>
      <c r="H7">
        <v>0</v>
      </c>
      <c r="I7">
        <v>0</v>
      </c>
      <c r="J7">
        <v>0</v>
      </c>
      <c r="M7" t="str">
        <v>Lignite PSC</v>
      </c>
    </row>
    <row r="8" spans="1:13">
      <c r="A8" s="1">
        <v>6</v>
      </c>
      <c r="B8" t="s">
        <v>22</v>
      </c>
      <c r="C8">
        <v>25</v>
      </c>
      <c r="D8">
        <v>117.9</v>
      </c>
      <c r="E8">
        <v>0.3366157760814249</v>
      </c>
      <c r="F8" t="s">
        <v>115</v>
      </c>
      <c r="G8" t="s">
        <v>116</v>
      </c>
      <c r="H8">
        <v>0</v>
      </c>
      <c r="I8">
        <v>0</v>
      </c>
      <c r="J8">
        <v>0</v>
      </c>
      <c r="M8" t="str">
        <v>Nuclear</v>
      </c>
    </row>
    <row r="9" spans="1:13">
      <c r="A9" s="1">
        <v>7</v>
      </c>
      <c r="B9" t="s">
        <v>22</v>
      </c>
      <c r="C9">
        <v>31</v>
      </c>
      <c r="D9">
        <v>147</v>
      </c>
      <c r="E9">
        <v>0.34061224489795922</v>
      </c>
      <c r="F9" t="s">
        <v>115</v>
      </c>
      <c r="G9" t="s">
        <v>116</v>
      </c>
      <c r="H9">
        <v>0</v>
      </c>
      <c r="I9">
        <v>0</v>
      </c>
      <c r="J9">
        <v>0</v>
      </c>
      <c r="M9" t="str">
        <v>OCGT</v>
      </c>
    </row>
    <row r="10" spans="1:13">
      <c r="A10" s="1">
        <v>8</v>
      </c>
      <c r="B10" t="s">
        <v>22</v>
      </c>
      <c r="C10">
        <v>38</v>
      </c>
      <c r="D10">
        <v>123.5</v>
      </c>
      <c r="E10">
        <v>0.33</v>
      </c>
      <c r="F10" t="s">
        <v>115</v>
      </c>
      <c r="G10" t="s">
        <v>116</v>
      </c>
      <c r="H10">
        <v>0</v>
      </c>
      <c r="I10">
        <v>0</v>
      </c>
      <c r="J10">
        <v>0</v>
      </c>
      <c r="M10" t="str">
        <v>PV_utility_systems</v>
      </c>
    </row>
    <row r="11" spans="1:13">
      <c r="A11" s="1">
        <v>9</v>
      </c>
      <c r="B11" t="s">
        <v>22</v>
      </c>
      <c r="C11">
        <v>40</v>
      </c>
      <c r="D11">
        <v>129.61000000000001</v>
      </c>
      <c r="E11">
        <v>0.33</v>
      </c>
      <c r="F11" t="s">
        <v>115</v>
      </c>
      <c r="G11" t="s">
        <v>116</v>
      </c>
      <c r="H11">
        <v>0</v>
      </c>
      <c r="I11">
        <v>0</v>
      </c>
      <c r="J11">
        <v>0</v>
      </c>
      <c r="M11" t="str">
        <v>WTG_offshore</v>
      </c>
    </row>
    <row r="12" spans="1:13">
      <c r="A12" s="1">
        <v>10</v>
      </c>
      <c r="B12" t="s">
        <v>22</v>
      </c>
      <c r="C12">
        <v>49</v>
      </c>
      <c r="D12">
        <v>260.2</v>
      </c>
      <c r="E12">
        <v>0.34952344350499609</v>
      </c>
      <c r="F12" t="s">
        <v>115</v>
      </c>
      <c r="G12" t="s">
        <v>116</v>
      </c>
      <c r="H12">
        <v>0</v>
      </c>
      <c r="I12">
        <v>0</v>
      </c>
      <c r="J12">
        <v>0</v>
      </c>
      <c r="M12" t="str">
        <v>WTG_onshore</v>
      </c>
    </row>
    <row r="13" spans="1:13">
      <c r="A13" s="1">
        <v>11</v>
      </c>
      <c r="B13" t="s">
        <v>22</v>
      </c>
      <c r="C13">
        <v>17</v>
      </c>
      <c r="D13">
        <v>556</v>
      </c>
      <c r="E13">
        <v>0.34</v>
      </c>
      <c r="F13" t="s">
        <v>115</v>
      </c>
      <c r="G13" t="s">
        <v>116</v>
      </c>
      <c r="H13">
        <v>0</v>
      </c>
      <c r="I13">
        <v>0</v>
      </c>
      <c r="J13">
        <v>0</v>
      </c>
      <c r="M13">
        <v>0</v>
      </c>
    </row>
    <row r="14" spans="1:13">
      <c r="A14" s="1">
        <v>12</v>
      </c>
      <c r="B14" t="s">
        <v>22</v>
      </c>
      <c r="C14">
        <v>16</v>
      </c>
      <c r="D14">
        <v>279.99999999999983</v>
      </c>
      <c r="E14">
        <v>0.34</v>
      </c>
      <c r="F14" t="s">
        <v>115</v>
      </c>
      <c r="G14" t="s">
        <v>116</v>
      </c>
      <c r="H14">
        <v>0</v>
      </c>
      <c r="I14">
        <v>0</v>
      </c>
      <c r="J14">
        <v>0</v>
      </c>
    </row>
    <row r="15" spans="1:13">
      <c r="A15" s="1">
        <v>13</v>
      </c>
      <c r="B15" t="s">
        <v>22</v>
      </c>
      <c r="C15">
        <v>15</v>
      </c>
      <c r="D15">
        <v>780.00000000000023</v>
      </c>
      <c r="E15">
        <v>0.34</v>
      </c>
      <c r="F15" t="s">
        <v>115</v>
      </c>
      <c r="G15" t="s">
        <v>116</v>
      </c>
      <c r="H15">
        <v>0</v>
      </c>
      <c r="I15">
        <v>0</v>
      </c>
      <c r="J15">
        <v>0</v>
      </c>
    </row>
    <row r="16" spans="1:13">
      <c r="A16" s="1">
        <v>14</v>
      </c>
      <c r="B16" t="s">
        <v>22</v>
      </c>
      <c r="C16">
        <v>14</v>
      </c>
      <c r="D16">
        <v>706.99999999999989</v>
      </c>
      <c r="E16">
        <v>0.34</v>
      </c>
      <c r="F16" t="s">
        <v>115</v>
      </c>
      <c r="G16" t="s">
        <v>116</v>
      </c>
      <c r="H16">
        <v>0</v>
      </c>
      <c r="I16">
        <v>0</v>
      </c>
      <c r="J16">
        <v>0</v>
      </c>
    </row>
    <row r="17" spans="1:10">
      <c r="A17" s="1">
        <v>15</v>
      </c>
      <c r="B17" t="s">
        <v>22</v>
      </c>
      <c r="C17">
        <v>13</v>
      </c>
      <c r="D17">
        <v>354.00000000000011</v>
      </c>
      <c r="E17">
        <v>0.34</v>
      </c>
      <c r="F17" t="s">
        <v>115</v>
      </c>
      <c r="G17" t="s">
        <v>116</v>
      </c>
      <c r="H17">
        <v>0</v>
      </c>
      <c r="I17">
        <v>0</v>
      </c>
      <c r="J17">
        <v>0</v>
      </c>
    </row>
    <row r="18" spans="1:10">
      <c r="A18" s="1">
        <v>16</v>
      </c>
      <c r="B18" t="s">
        <v>22</v>
      </c>
      <c r="C18">
        <v>12</v>
      </c>
      <c r="D18">
        <v>347.0000000000004</v>
      </c>
      <c r="E18">
        <v>0.34</v>
      </c>
      <c r="F18" t="s">
        <v>115</v>
      </c>
      <c r="G18" t="s">
        <v>116</v>
      </c>
      <c r="H18">
        <v>0</v>
      </c>
      <c r="I18">
        <v>0</v>
      </c>
      <c r="J18">
        <v>0</v>
      </c>
    </row>
    <row r="19" spans="1:10">
      <c r="A19" s="1">
        <v>17</v>
      </c>
      <c r="B19" t="s">
        <v>22</v>
      </c>
      <c r="C19">
        <v>11</v>
      </c>
      <c r="D19">
        <v>1228.9999999999991</v>
      </c>
      <c r="E19">
        <v>0.34</v>
      </c>
      <c r="F19" t="s">
        <v>115</v>
      </c>
      <c r="G19" t="s">
        <v>116</v>
      </c>
      <c r="H19">
        <v>0</v>
      </c>
      <c r="I19">
        <v>0</v>
      </c>
      <c r="J19">
        <v>0</v>
      </c>
    </row>
    <row r="20" spans="1:10">
      <c r="A20" s="1">
        <v>18</v>
      </c>
      <c r="B20" t="s">
        <v>22</v>
      </c>
      <c r="C20">
        <v>10</v>
      </c>
      <c r="D20">
        <v>551.00000000000011</v>
      </c>
      <c r="E20">
        <v>0.34</v>
      </c>
      <c r="F20" t="s">
        <v>115</v>
      </c>
      <c r="G20" t="s">
        <v>116</v>
      </c>
      <c r="H20">
        <v>0</v>
      </c>
      <c r="I20">
        <v>0</v>
      </c>
      <c r="J20">
        <v>0</v>
      </c>
    </row>
    <row r="21" spans="1:10">
      <c r="A21" s="1">
        <v>19</v>
      </c>
      <c r="B21" t="s">
        <v>22</v>
      </c>
      <c r="C21">
        <v>9</v>
      </c>
      <c r="D21">
        <v>7.0000000000005613</v>
      </c>
      <c r="E21">
        <v>0.34</v>
      </c>
      <c r="F21" t="s">
        <v>115</v>
      </c>
      <c r="G21" t="s">
        <v>116</v>
      </c>
      <c r="H21">
        <v>0</v>
      </c>
      <c r="I21">
        <v>0</v>
      </c>
      <c r="J21">
        <v>0</v>
      </c>
    </row>
    <row r="22" spans="1:10">
      <c r="A22" s="1">
        <v>20</v>
      </c>
      <c r="B22" t="s">
        <v>22</v>
      </c>
      <c r="C22">
        <v>8</v>
      </c>
      <c r="D22">
        <v>200.99999999999963</v>
      </c>
      <c r="E22">
        <v>0.34</v>
      </c>
      <c r="F22" t="s">
        <v>115</v>
      </c>
      <c r="G22" t="s">
        <v>116</v>
      </c>
      <c r="H22">
        <v>0</v>
      </c>
      <c r="I22">
        <v>0</v>
      </c>
      <c r="J22">
        <v>0</v>
      </c>
    </row>
    <row r="23" spans="1:10">
      <c r="A23" s="1">
        <v>21</v>
      </c>
      <c r="B23" t="s">
        <v>22</v>
      </c>
      <c r="C23">
        <v>7</v>
      </c>
      <c r="D23">
        <v>682.00000000000034</v>
      </c>
      <c r="E23">
        <v>0.34</v>
      </c>
      <c r="F23" t="s">
        <v>115</v>
      </c>
      <c r="G23" t="s">
        <v>116</v>
      </c>
      <c r="H23">
        <v>0</v>
      </c>
      <c r="I23">
        <v>0</v>
      </c>
      <c r="J23">
        <v>0</v>
      </c>
    </row>
    <row r="24" spans="1:10">
      <c r="A24" s="1">
        <v>22</v>
      </c>
      <c r="B24" t="s">
        <v>22</v>
      </c>
      <c r="C24">
        <v>6</v>
      </c>
      <c r="D24">
        <v>258.99999999999943</v>
      </c>
      <c r="E24">
        <v>0.34</v>
      </c>
      <c r="F24" t="s">
        <v>115</v>
      </c>
      <c r="G24" t="s">
        <v>116</v>
      </c>
      <c r="H24">
        <v>0</v>
      </c>
      <c r="I24">
        <v>0</v>
      </c>
      <c r="J24">
        <v>0</v>
      </c>
    </row>
    <row r="25" spans="1:10">
      <c r="A25" s="1">
        <v>23</v>
      </c>
      <c r="B25" t="s">
        <v>22</v>
      </c>
      <c r="C25">
        <v>5</v>
      </c>
      <c r="D25">
        <v>253.00000000000011</v>
      </c>
      <c r="E25">
        <v>0.34</v>
      </c>
      <c r="F25" t="s">
        <v>115</v>
      </c>
      <c r="G25" t="s">
        <v>116</v>
      </c>
      <c r="H25">
        <v>0</v>
      </c>
      <c r="I25">
        <v>0</v>
      </c>
      <c r="J25">
        <v>0</v>
      </c>
    </row>
    <row r="26" spans="1:10">
      <c r="A26" s="1">
        <v>24</v>
      </c>
      <c r="B26" t="s">
        <v>22</v>
      </c>
      <c r="C26">
        <v>4</v>
      </c>
      <c r="D26">
        <v>174.00000000000037</v>
      </c>
      <c r="E26">
        <v>0.34</v>
      </c>
      <c r="F26" t="s">
        <v>115</v>
      </c>
      <c r="G26" t="s">
        <v>116</v>
      </c>
      <c r="H26">
        <v>0</v>
      </c>
      <c r="I26">
        <v>0</v>
      </c>
      <c r="J26">
        <v>0</v>
      </c>
    </row>
    <row r="27" spans="1:10">
      <c r="A27" s="1">
        <v>25</v>
      </c>
      <c r="B27" t="s">
        <v>22</v>
      </c>
      <c r="C27">
        <v>3</v>
      </c>
      <c r="D27">
        <v>316.99999999999926</v>
      </c>
      <c r="E27">
        <v>0.34</v>
      </c>
      <c r="F27" t="s">
        <v>115</v>
      </c>
      <c r="G27" t="s">
        <v>116</v>
      </c>
      <c r="H27">
        <v>0</v>
      </c>
      <c r="I27">
        <v>0</v>
      </c>
      <c r="J27">
        <v>0</v>
      </c>
    </row>
    <row r="28" spans="1:10">
      <c r="A28" s="1">
        <v>26</v>
      </c>
      <c r="B28" t="s">
        <v>22</v>
      </c>
      <c r="C28">
        <v>2</v>
      </c>
      <c r="D28">
        <v>438.00000000000063</v>
      </c>
      <c r="E28">
        <v>0.34</v>
      </c>
      <c r="F28" t="s">
        <v>115</v>
      </c>
      <c r="G28" t="s">
        <v>116</v>
      </c>
      <c r="H28">
        <v>0</v>
      </c>
      <c r="I28">
        <v>0</v>
      </c>
      <c r="J28">
        <v>0</v>
      </c>
    </row>
    <row r="29" spans="1:10">
      <c r="A29" s="1">
        <v>27</v>
      </c>
      <c r="B29" t="s">
        <v>22</v>
      </c>
      <c r="C29">
        <v>1</v>
      </c>
      <c r="D29">
        <v>334.99999999999909</v>
      </c>
      <c r="E29">
        <v>0.34</v>
      </c>
      <c r="F29" t="s">
        <v>115</v>
      </c>
      <c r="G29" t="s">
        <v>116</v>
      </c>
      <c r="H29">
        <v>0</v>
      </c>
      <c r="I29">
        <v>0</v>
      </c>
      <c r="J29">
        <v>0</v>
      </c>
    </row>
    <row r="30" spans="1:10">
      <c r="A30" s="1">
        <v>28</v>
      </c>
      <c r="B30" t="s">
        <v>22</v>
      </c>
      <c r="C30">
        <v>0</v>
      </c>
      <c r="D30">
        <v>688.00000000000057</v>
      </c>
      <c r="E30">
        <v>0.34</v>
      </c>
      <c r="F30" t="s">
        <v>115</v>
      </c>
      <c r="G30" t="s">
        <v>116</v>
      </c>
      <c r="H30">
        <v>0</v>
      </c>
      <c r="I30">
        <v>0</v>
      </c>
      <c r="J30">
        <v>0</v>
      </c>
    </row>
    <row r="31" spans="1:10">
      <c r="A31" s="1">
        <v>29</v>
      </c>
      <c r="B31" t="s">
        <v>26</v>
      </c>
      <c r="C31">
        <v>2</v>
      </c>
      <c r="D31">
        <v>140.5</v>
      </c>
      <c r="E31">
        <v>0.63</v>
      </c>
      <c r="F31" t="s">
        <v>115</v>
      </c>
      <c r="G31" t="s">
        <v>116</v>
      </c>
      <c r="H31">
        <v>0</v>
      </c>
      <c r="I31">
        <v>0</v>
      </c>
      <c r="J31">
        <v>0</v>
      </c>
    </row>
    <row r="32" spans="1:10">
      <c r="A32" s="1">
        <v>30</v>
      </c>
      <c r="B32" t="s">
        <v>26</v>
      </c>
      <c r="C32">
        <v>6</v>
      </c>
      <c r="D32">
        <v>1117.5</v>
      </c>
      <c r="E32">
        <v>0.61199999999999999</v>
      </c>
      <c r="F32" t="s">
        <v>115</v>
      </c>
      <c r="G32" t="s">
        <v>116</v>
      </c>
      <c r="H32">
        <v>0</v>
      </c>
      <c r="I32">
        <v>0</v>
      </c>
      <c r="J32">
        <v>0</v>
      </c>
    </row>
    <row r="33" spans="1:10">
      <c r="A33" s="1">
        <v>31</v>
      </c>
      <c r="B33" t="s">
        <v>26</v>
      </c>
      <c r="C33">
        <v>7</v>
      </c>
      <c r="D33">
        <v>296.3</v>
      </c>
      <c r="E33">
        <v>0.60690313871076618</v>
      </c>
      <c r="F33" t="s">
        <v>115</v>
      </c>
      <c r="G33" t="s">
        <v>116</v>
      </c>
      <c r="H33">
        <v>0</v>
      </c>
      <c r="I33">
        <v>0</v>
      </c>
      <c r="J33">
        <v>0</v>
      </c>
    </row>
    <row r="34" spans="1:10">
      <c r="A34" s="1">
        <v>32</v>
      </c>
      <c r="B34" t="s">
        <v>26</v>
      </c>
      <c r="C34">
        <v>9</v>
      </c>
      <c r="D34">
        <v>790.5</v>
      </c>
      <c r="E34">
        <v>0.59850000000000014</v>
      </c>
      <c r="F34" t="s">
        <v>115</v>
      </c>
      <c r="G34" t="s">
        <v>116</v>
      </c>
      <c r="H34">
        <v>0</v>
      </c>
      <c r="I34">
        <v>0</v>
      </c>
      <c r="J34">
        <v>0</v>
      </c>
    </row>
    <row r="35" spans="1:10">
      <c r="A35" s="1">
        <v>33</v>
      </c>
      <c r="B35" t="s">
        <v>26</v>
      </c>
      <c r="C35">
        <v>11</v>
      </c>
      <c r="D35">
        <v>639</v>
      </c>
      <c r="E35">
        <v>0.58950000000000002</v>
      </c>
      <c r="F35" t="s">
        <v>115</v>
      </c>
      <c r="G35" t="s">
        <v>116</v>
      </c>
      <c r="H35">
        <v>0</v>
      </c>
      <c r="I35">
        <v>0</v>
      </c>
      <c r="J35">
        <v>0</v>
      </c>
    </row>
    <row r="36" spans="1:10">
      <c r="A36" s="1">
        <v>34</v>
      </c>
      <c r="B36" t="s">
        <v>26</v>
      </c>
      <c r="C36">
        <v>12</v>
      </c>
      <c r="D36">
        <v>2092.5</v>
      </c>
      <c r="E36">
        <v>0.58499999999999996</v>
      </c>
      <c r="F36" t="s">
        <v>115</v>
      </c>
      <c r="G36" t="s">
        <v>116</v>
      </c>
      <c r="H36">
        <v>0</v>
      </c>
      <c r="I36">
        <v>0</v>
      </c>
      <c r="J36">
        <v>0</v>
      </c>
    </row>
    <row r="37" spans="1:10">
      <c r="A37" s="1">
        <v>35</v>
      </c>
      <c r="B37" t="s">
        <v>26</v>
      </c>
      <c r="C37">
        <v>13</v>
      </c>
      <c r="D37">
        <v>196</v>
      </c>
      <c r="E37">
        <v>0.58050000000000002</v>
      </c>
      <c r="F37" t="s">
        <v>115</v>
      </c>
      <c r="G37" t="s">
        <v>116</v>
      </c>
      <c r="H37">
        <v>0</v>
      </c>
      <c r="I37">
        <v>0</v>
      </c>
      <c r="J37">
        <v>0</v>
      </c>
    </row>
    <row r="38" spans="1:10">
      <c r="A38" s="1">
        <v>36</v>
      </c>
      <c r="B38" t="s">
        <v>26</v>
      </c>
      <c r="C38">
        <v>14</v>
      </c>
      <c r="D38">
        <v>1230</v>
      </c>
      <c r="E38">
        <v>0.57600000000000007</v>
      </c>
      <c r="F38" t="s">
        <v>115</v>
      </c>
      <c r="G38" t="s">
        <v>116</v>
      </c>
      <c r="H38">
        <v>0</v>
      </c>
      <c r="I38">
        <v>0</v>
      </c>
      <c r="J38">
        <v>0</v>
      </c>
    </row>
    <row r="39" spans="1:10">
      <c r="A39" s="1">
        <v>37</v>
      </c>
      <c r="B39" t="s">
        <v>26</v>
      </c>
      <c r="C39">
        <v>15</v>
      </c>
      <c r="D39">
        <v>1217</v>
      </c>
      <c r="E39">
        <v>0.57150000000000001</v>
      </c>
      <c r="F39" t="s">
        <v>115</v>
      </c>
      <c r="G39" t="s">
        <v>116</v>
      </c>
      <c r="H39">
        <v>0</v>
      </c>
      <c r="I39">
        <v>0</v>
      </c>
      <c r="J39">
        <v>0</v>
      </c>
    </row>
    <row r="40" spans="1:10">
      <c r="A40" s="1">
        <v>38</v>
      </c>
      <c r="B40" t="s">
        <v>26</v>
      </c>
      <c r="C40">
        <v>17</v>
      </c>
      <c r="D40">
        <v>1207.759</v>
      </c>
      <c r="E40">
        <v>0.5625</v>
      </c>
      <c r="F40" t="s">
        <v>115</v>
      </c>
      <c r="G40" t="s">
        <v>116</v>
      </c>
      <c r="H40">
        <v>0</v>
      </c>
      <c r="I40">
        <v>0</v>
      </c>
      <c r="J40">
        <v>0</v>
      </c>
    </row>
    <row r="41" spans="1:10">
      <c r="A41" s="1">
        <v>39</v>
      </c>
      <c r="B41" t="s">
        <v>26</v>
      </c>
      <c r="C41">
        <v>18</v>
      </c>
      <c r="D41">
        <v>484.4</v>
      </c>
      <c r="E41">
        <v>0.55800000000000005</v>
      </c>
      <c r="F41" t="s">
        <v>115</v>
      </c>
      <c r="G41" t="s">
        <v>116</v>
      </c>
      <c r="H41">
        <v>0</v>
      </c>
      <c r="I41">
        <v>0</v>
      </c>
      <c r="J41">
        <v>0</v>
      </c>
    </row>
    <row r="42" spans="1:10">
      <c r="A42" s="1">
        <v>40</v>
      </c>
      <c r="B42" t="s">
        <v>26</v>
      </c>
      <c r="C42">
        <v>19</v>
      </c>
      <c r="D42">
        <v>165.46</v>
      </c>
      <c r="E42">
        <v>0.55309748579717155</v>
      </c>
      <c r="F42" t="s">
        <v>115</v>
      </c>
      <c r="G42" t="s">
        <v>116</v>
      </c>
      <c r="H42">
        <v>0</v>
      </c>
      <c r="I42">
        <v>0</v>
      </c>
      <c r="J42">
        <v>0</v>
      </c>
    </row>
    <row r="43" spans="1:10">
      <c r="A43" s="1">
        <v>41</v>
      </c>
      <c r="B43" t="s">
        <v>26</v>
      </c>
      <c r="C43">
        <v>21</v>
      </c>
      <c r="D43">
        <v>135.80000000000001</v>
      </c>
      <c r="E43">
        <v>0.54449999999999998</v>
      </c>
      <c r="F43" t="s">
        <v>115</v>
      </c>
      <c r="G43" t="s">
        <v>116</v>
      </c>
      <c r="H43">
        <v>0</v>
      </c>
      <c r="I43">
        <v>0</v>
      </c>
      <c r="J43">
        <v>0</v>
      </c>
    </row>
    <row r="44" spans="1:10">
      <c r="A44" s="1">
        <v>42</v>
      </c>
      <c r="B44" t="s">
        <v>26</v>
      </c>
      <c r="C44">
        <v>22</v>
      </c>
      <c r="D44">
        <v>1239.2</v>
      </c>
      <c r="E44">
        <v>0.54</v>
      </c>
      <c r="F44" t="s">
        <v>115</v>
      </c>
      <c r="G44" t="s">
        <v>116</v>
      </c>
      <c r="H44">
        <v>0</v>
      </c>
      <c r="I44">
        <v>0</v>
      </c>
      <c r="J44">
        <v>0</v>
      </c>
    </row>
    <row r="45" spans="1:10">
      <c r="A45" s="1">
        <v>43</v>
      </c>
      <c r="B45" t="s">
        <v>26</v>
      </c>
      <c r="C45">
        <v>23</v>
      </c>
      <c r="D45">
        <v>188.6</v>
      </c>
      <c r="E45">
        <v>0.53549999999999998</v>
      </c>
      <c r="F45" t="s">
        <v>115</v>
      </c>
      <c r="G45" t="s">
        <v>116</v>
      </c>
      <c r="H45">
        <v>0</v>
      </c>
      <c r="I45">
        <v>0</v>
      </c>
      <c r="J45">
        <v>0</v>
      </c>
    </row>
    <row r="46" spans="1:10">
      <c r="A46" s="1">
        <v>44</v>
      </c>
      <c r="B46" t="s">
        <v>26</v>
      </c>
      <c r="C46">
        <v>24</v>
      </c>
      <c r="D46">
        <v>430.6</v>
      </c>
      <c r="E46">
        <v>0.53100000000000003</v>
      </c>
      <c r="F46" t="s">
        <v>115</v>
      </c>
      <c r="G46" t="s">
        <v>116</v>
      </c>
      <c r="H46">
        <v>0</v>
      </c>
      <c r="I46">
        <v>0</v>
      </c>
      <c r="J46">
        <v>0</v>
      </c>
    </row>
    <row r="47" spans="1:10">
      <c r="A47" s="1">
        <v>45</v>
      </c>
      <c r="B47" t="s">
        <v>26</v>
      </c>
      <c r="C47">
        <v>25</v>
      </c>
      <c r="D47">
        <v>533</v>
      </c>
      <c r="E47">
        <v>0.52649999999999997</v>
      </c>
      <c r="F47" t="s">
        <v>115</v>
      </c>
      <c r="G47" t="s">
        <v>116</v>
      </c>
      <c r="H47">
        <v>0</v>
      </c>
      <c r="I47">
        <v>0</v>
      </c>
      <c r="J47">
        <v>0</v>
      </c>
    </row>
    <row r="48" spans="1:10">
      <c r="A48" s="1">
        <v>46</v>
      </c>
      <c r="B48" t="s">
        <v>26</v>
      </c>
      <c r="C48">
        <v>26</v>
      </c>
      <c r="D48">
        <v>734</v>
      </c>
      <c r="E48">
        <v>0.52200000000000002</v>
      </c>
      <c r="F48" t="s">
        <v>115</v>
      </c>
      <c r="G48" t="s">
        <v>116</v>
      </c>
      <c r="H48">
        <v>0</v>
      </c>
      <c r="I48">
        <v>0</v>
      </c>
      <c r="J48">
        <v>0</v>
      </c>
    </row>
    <row r="49" spans="1:10">
      <c r="A49" s="1">
        <v>47</v>
      </c>
      <c r="B49" t="s">
        <v>26</v>
      </c>
      <c r="C49">
        <v>27</v>
      </c>
      <c r="D49">
        <v>360</v>
      </c>
      <c r="E49">
        <v>0.47999999999999993</v>
      </c>
      <c r="F49" t="s">
        <v>115</v>
      </c>
      <c r="G49" t="s">
        <v>116</v>
      </c>
      <c r="H49">
        <v>0</v>
      </c>
      <c r="I49">
        <v>0</v>
      </c>
      <c r="J49">
        <v>0</v>
      </c>
    </row>
    <row r="50" spans="1:10">
      <c r="A50" s="1">
        <v>48</v>
      </c>
      <c r="B50" t="s">
        <v>26</v>
      </c>
      <c r="C50">
        <v>28</v>
      </c>
      <c r="D50">
        <v>413.51</v>
      </c>
      <c r="E50">
        <v>0.51260921138545623</v>
      </c>
      <c r="F50" t="s">
        <v>115</v>
      </c>
      <c r="G50" t="s">
        <v>116</v>
      </c>
      <c r="H50">
        <v>0</v>
      </c>
      <c r="I50">
        <v>0</v>
      </c>
      <c r="J50">
        <v>0</v>
      </c>
    </row>
    <row r="51" spans="1:10">
      <c r="A51" s="1">
        <v>49</v>
      </c>
      <c r="B51" t="s">
        <v>26</v>
      </c>
      <c r="C51">
        <v>41</v>
      </c>
      <c r="D51">
        <v>125</v>
      </c>
      <c r="E51">
        <v>0.45450000000000002</v>
      </c>
      <c r="F51" t="s">
        <v>115</v>
      </c>
      <c r="G51" t="s">
        <v>116</v>
      </c>
      <c r="H51">
        <v>0</v>
      </c>
      <c r="I51">
        <v>0</v>
      </c>
      <c r="J51">
        <v>0</v>
      </c>
    </row>
    <row r="52" spans="1:10">
      <c r="A52" s="1">
        <v>50</v>
      </c>
      <c r="B52" t="s">
        <v>26</v>
      </c>
      <c r="C52">
        <v>42</v>
      </c>
      <c r="D52">
        <v>316.7</v>
      </c>
      <c r="E52">
        <v>0.45000000000000012</v>
      </c>
      <c r="F52" t="s">
        <v>115</v>
      </c>
      <c r="G52" t="s">
        <v>116</v>
      </c>
      <c r="H52">
        <v>0</v>
      </c>
      <c r="I52">
        <v>0</v>
      </c>
      <c r="J52">
        <v>0</v>
      </c>
    </row>
    <row r="53" spans="1:10">
      <c r="A53" s="1">
        <v>51</v>
      </c>
      <c r="B53" t="s">
        <v>26</v>
      </c>
      <c r="C53">
        <v>46</v>
      </c>
      <c r="D53">
        <v>775</v>
      </c>
      <c r="E53">
        <v>0.43199999999999988</v>
      </c>
      <c r="F53" t="s">
        <v>115</v>
      </c>
      <c r="G53" t="s">
        <v>116</v>
      </c>
      <c r="H53">
        <v>0</v>
      </c>
      <c r="I53">
        <v>0</v>
      </c>
      <c r="J53">
        <v>0</v>
      </c>
    </row>
    <row r="54" spans="1:10">
      <c r="A54" s="1">
        <v>52</v>
      </c>
      <c r="B54" t="s">
        <v>26</v>
      </c>
      <c r="C54">
        <v>48</v>
      </c>
      <c r="D54">
        <v>475</v>
      </c>
      <c r="E54">
        <v>0.42299999999999999</v>
      </c>
      <c r="F54" t="s">
        <v>115</v>
      </c>
      <c r="G54" t="s">
        <v>116</v>
      </c>
      <c r="H54">
        <v>0</v>
      </c>
      <c r="I54">
        <v>0</v>
      </c>
      <c r="J54">
        <v>0</v>
      </c>
    </row>
    <row r="55" spans="1:10">
      <c r="A55" s="1">
        <v>53</v>
      </c>
      <c r="B55" t="s">
        <v>26</v>
      </c>
      <c r="C55">
        <v>49</v>
      </c>
      <c r="D55">
        <v>1698</v>
      </c>
      <c r="E55">
        <v>0.41839399293286222</v>
      </c>
      <c r="F55" t="s">
        <v>115</v>
      </c>
      <c r="G55" t="s">
        <v>116</v>
      </c>
      <c r="H55">
        <v>0</v>
      </c>
      <c r="I55">
        <v>0</v>
      </c>
      <c r="J55">
        <v>0</v>
      </c>
    </row>
    <row r="56" spans="1:10">
      <c r="A56" s="1">
        <v>54</v>
      </c>
      <c r="B56" t="s">
        <v>23</v>
      </c>
      <c r="C56">
        <v>7</v>
      </c>
      <c r="D56">
        <v>3174</v>
      </c>
      <c r="E56">
        <v>0.46250000000000002</v>
      </c>
      <c r="F56" t="s">
        <v>115</v>
      </c>
      <c r="G56" t="s">
        <v>116</v>
      </c>
      <c r="H56">
        <v>0</v>
      </c>
      <c r="I56">
        <v>0</v>
      </c>
      <c r="J56">
        <v>0</v>
      </c>
    </row>
    <row r="57" spans="1:10">
      <c r="A57" s="1">
        <v>55</v>
      </c>
      <c r="B57" t="s">
        <v>23</v>
      </c>
      <c r="C57">
        <v>8</v>
      </c>
      <c r="D57">
        <v>1597.7</v>
      </c>
      <c r="E57">
        <v>0.46</v>
      </c>
      <c r="F57" t="s">
        <v>115</v>
      </c>
      <c r="G57" t="s">
        <v>116</v>
      </c>
      <c r="H57">
        <v>0</v>
      </c>
      <c r="I57">
        <v>0</v>
      </c>
      <c r="J57">
        <v>0</v>
      </c>
    </row>
    <row r="58" spans="1:10">
      <c r="A58" s="1">
        <v>56</v>
      </c>
      <c r="B58" t="s">
        <v>23</v>
      </c>
      <c r="C58">
        <v>9</v>
      </c>
      <c r="D58">
        <v>1909</v>
      </c>
      <c r="E58">
        <v>0.45750000000000002</v>
      </c>
      <c r="F58" t="s">
        <v>115</v>
      </c>
      <c r="G58" t="s">
        <v>116</v>
      </c>
      <c r="H58">
        <v>0</v>
      </c>
      <c r="I58">
        <v>0</v>
      </c>
      <c r="J58">
        <v>0</v>
      </c>
    </row>
    <row r="59" spans="1:10">
      <c r="A59" s="1">
        <v>57</v>
      </c>
      <c r="B59" t="s">
        <v>23</v>
      </c>
      <c r="C59">
        <v>10</v>
      </c>
      <c r="D59">
        <v>433</v>
      </c>
      <c r="E59">
        <v>0.45500000000000002</v>
      </c>
      <c r="F59" t="s">
        <v>115</v>
      </c>
      <c r="G59" t="s">
        <v>116</v>
      </c>
      <c r="H59">
        <v>0</v>
      </c>
      <c r="I59">
        <v>0</v>
      </c>
      <c r="J59">
        <v>0</v>
      </c>
    </row>
    <row r="60" spans="1:10">
      <c r="A60" s="1">
        <v>58</v>
      </c>
      <c r="B60" t="s">
        <v>23</v>
      </c>
      <c r="C60">
        <v>11</v>
      </c>
      <c r="D60">
        <v>716</v>
      </c>
      <c r="E60">
        <v>0.45250000000000001</v>
      </c>
      <c r="F60" t="s">
        <v>115</v>
      </c>
      <c r="G60" t="s">
        <v>116</v>
      </c>
      <c r="H60">
        <v>0</v>
      </c>
      <c r="I60">
        <v>0</v>
      </c>
      <c r="J60">
        <v>0</v>
      </c>
    </row>
    <row r="61" spans="1:10">
      <c r="A61" s="1">
        <v>59</v>
      </c>
      <c r="B61" t="s">
        <v>23</v>
      </c>
      <c r="C61">
        <v>12</v>
      </c>
      <c r="D61">
        <v>250</v>
      </c>
      <c r="E61">
        <v>0.45</v>
      </c>
      <c r="F61" t="s">
        <v>115</v>
      </c>
      <c r="G61" t="s">
        <v>116</v>
      </c>
      <c r="H61">
        <v>0</v>
      </c>
      <c r="I61">
        <v>0</v>
      </c>
      <c r="J61">
        <v>0</v>
      </c>
    </row>
    <row r="62" spans="1:10">
      <c r="A62" s="1">
        <v>60</v>
      </c>
      <c r="B62" t="s">
        <v>23</v>
      </c>
      <c r="C62">
        <v>13</v>
      </c>
      <c r="D62">
        <v>1572</v>
      </c>
      <c r="E62">
        <v>0.44750000000000001</v>
      </c>
      <c r="F62" t="s">
        <v>115</v>
      </c>
      <c r="G62" t="s">
        <v>116</v>
      </c>
      <c r="H62">
        <v>0</v>
      </c>
      <c r="I62">
        <v>0</v>
      </c>
      <c r="J62">
        <v>0</v>
      </c>
    </row>
    <row r="63" spans="1:10">
      <c r="A63" s="1">
        <v>61</v>
      </c>
      <c r="B63" t="s">
        <v>23</v>
      </c>
      <c r="C63">
        <v>15</v>
      </c>
      <c r="D63">
        <v>350</v>
      </c>
      <c r="E63">
        <v>0.4425</v>
      </c>
      <c r="F63" t="s">
        <v>115</v>
      </c>
      <c r="G63" t="s">
        <v>116</v>
      </c>
      <c r="H63">
        <v>0</v>
      </c>
      <c r="I63">
        <v>0</v>
      </c>
      <c r="J63">
        <v>0</v>
      </c>
    </row>
    <row r="64" spans="1:10">
      <c r="A64" s="1">
        <v>62</v>
      </c>
      <c r="B64" t="s">
        <v>23</v>
      </c>
      <c r="C64">
        <v>16</v>
      </c>
      <c r="D64">
        <v>336</v>
      </c>
      <c r="E64">
        <v>0.44</v>
      </c>
      <c r="F64" t="s">
        <v>115</v>
      </c>
      <c r="G64" t="s">
        <v>116</v>
      </c>
      <c r="H64">
        <v>0</v>
      </c>
      <c r="I64">
        <v>0</v>
      </c>
      <c r="J64">
        <v>0</v>
      </c>
    </row>
    <row r="65" spans="1:10">
      <c r="A65" s="1">
        <v>63</v>
      </c>
      <c r="B65" t="s">
        <v>23</v>
      </c>
      <c r="C65">
        <v>17</v>
      </c>
      <c r="D65">
        <v>822</v>
      </c>
      <c r="E65">
        <v>0.4375</v>
      </c>
      <c r="F65" t="s">
        <v>115</v>
      </c>
      <c r="G65" t="s">
        <v>116</v>
      </c>
      <c r="H65">
        <v>0</v>
      </c>
      <c r="I65">
        <v>0</v>
      </c>
      <c r="J65">
        <v>0</v>
      </c>
    </row>
    <row r="66" spans="1:10">
      <c r="A66" s="1">
        <v>64</v>
      </c>
      <c r="B66" t="s">
        <v>23</v>
      </c>
      <c r="C66">
        <v>19</v>
      </c>
      <c r="D66">
        <v>690</v>
      </c>
      <c r="E66">
        <v>0.4325</v>
      </c>
      <c r="F66" t="s">
        <v>115</v>
      </c>
      <c r="G66" t="s">
        <v>116</v>
      </c>
      <c r="H66">
        <v>0</v>
      </c>
      <c r="I66">
        <v>0</v>
      </c>
      <c r="J66">
        <v>0</v>
      </c>
    </row>
    <row r="67" spans="1:10">
      <c r="A67" s="1">
        <v>65</v>
      </c>
      <c r="B67" t="s">
        <v>23</v>
      </c>
      <c r="C67">
        <v>22</v>
      </c>
      <c r="D67">
        <v>123</v>
      </c>
      <c r="E67">
        <v>0.42499999999999999</v>
      </c>
      <c r="F67" t="s">
        <v>115</v>
      </c>
      <c r="G67" t="s">
        <v>116</v>
      </c>
      <c r="H67">
        <v>0</v>
      </c>
      <c r="I67">
        <v>0</v>
      </c>
      <c r="J67">
        <v>0</v>
      </c>
    </row>
    <row r="68" spans="1:10">
      <c r="A68" s="1">
        <v>66</v>
      </c>
      <c r="B68" t="s">
        <v>23</v>
      </c>
      <c r="C68">
        <v>28</v>
      </c>
      <c r="D68">
        <v>527.4</v>
      </c>
      <c r="E68">
        <v>0.41012703830109981</v>
      </c>
      <c r="F68" t="s">
        <v>115</v>
      </c>
      <c r="G68" t="s">
        <v>116</v>
      </c>
      <c r="H68">
        <v>0</v>
      </c>
      <c r="I68">
        <v>0</v>
      </c>
      <c r="J68">
        <v>0</v>
      </c>
    </row>
    <row r="69" spans="1:10">
      <c r="A69" s="1">
        <v>67</v>
      </c>
      <c r="B69" t="s">
        <v>23</v>
      </c>
      <c r="C69">
        <v>29</v>
      </c>
      <c r="D69">
        <v>889</v>
      </c>
      <c r="E69">
        <v>0.40749999999999992</v>
      </c>
      <c r="F69" t="s">
        <v>115</v>
      </c>
      <c r="G69" t="s">
        <v>116</v>
      </c>
      <c r="H69">
        <v>0</v>
      </c>
      <c r="I69">
        <v>0</v>
      </c>
      <c r="J69">
        <v>0</v>
      </c>
    </row>
    <row r="70" spans="1:10">
      <c r="A70" s="1">
        <v>68</v>
      </c>
      <c r="B70" t="s">
        <v>23</v>
      </c>
      <c r="C70">
        <v>30</v>
      </c>
      <c r="D70">
        <v>561.70000000000005</v>
      </c>
      <c r="E70">
        <v>0.41046377069610113</v>
      </c>
      <c r="F70" t="s">
        <v>115</v>
      </c>
      <c r="G70" t="s">
        <v>116</v>
      </c>
      <c r="H70">
        <v>0</v>
      </c>
      <c r="I70">
        <v>0</v>
      </c>
      <c r="J70">
        <v>0</v>
      </c>
    </row>
    <row r="71" spans="1:10">
      <c r="A71" s="1">
        <v>69</v>
      </c>
      <c r="B71" t="s">
        <v>23</v>
      </c>
      <c r="C71">
        <v>31</v>
      </c>
      <c r="D71">
        <v>332.7</v>
      </c>
      <c r="E71">
        <v>0.40250000000000002</v>
      </c>
      <c r="F71" t="s">
        <v>115</v>
      </c>
      <c r="G71" t="s">
        <v>116</v>
      </c>
      <c r="H71">
        <v>0</v>
      </c>
      <c r="I71">
        <v>0</v>
      </c>
      <c r="J71">
        <v>0</v>
      </c>
    </row>
    <row r="72" spans="1:10">
      <c r="A72" s="1">
        <v>70</v>
      </c>
      <c r="B72" t="s">
        <v>23</v>
      </c>
      <c r="C72">
        <v>32</v>
      </c>
      <c r="D72">
        <v>169.9</v>
      </c>
      <c r="E72">
        <v>0.4</v>
      </c>
      <c r="F72" t="s">
        <v>115</v>
      </c>
      <c r="G72" t="s">
        <v>116</v>
      </c>
      <c r="H72">
        <v>0</v>
      </c>
      <c r="I72">
        <v>0</v>
      </c>
      <c r="J72">
        <v>0</v>
      </c>
    </row>
    <row r="73" spans="1:10">
      <c r="A73" s="1">
        <v>71</v>
      </c>
      <c r="B73" t="s">
        <v>23</v>
      </c>
      <c r="C73">
        <v>33</v>
      </c>
      <c r="D73">
        <v>762.5</v>
      </c>
      <c r="E73">
        <v>0.40152491803278689</v>
      </c>
      <c r="F73" t="s">
        <v>115</v>
      </c>
      <c r="G73" t="s">
        <v>116</v>
      </c>
      <c r="H73">
        <v>0</v>
      </c>
      <c r="I73">
        <v>0</v>
      </c>
      <c r="J73">
        <v>0</v>
      </c>
    </row>
    <row r="74" spans="1:10">
      <c r="A74" s="1">
        <v>72</v>
      </c>
      <c r="B74" t="s">
        <v>23</v>
      </c>
      <c r="C74">
        <v>34</v>
      </c>
      <c r="D74">
        <v>713.5</v>
      </c>
      <c r="E74">
        <v>0.39500000000000007</v>
      </c>
      <c r="F74" t="s">
        <v>115</v>
      </c>
      <c r="G74" t="s">
        <v>116</v>
      </c>
      <c r="H74">
        <v>0</v>
      </c>
      <c r="I74">
        <v>0</v>
      </c>
      <c r="J74">
        <v>0</v>
      </c>
    </row>
    <row r="75" spans="1:10">
      <c r="A75" s="1">
        <v>73</v>
      </c>
      <c r="B75" t="s">
        <v>23</v>
      </c>
      <c r="C75">
        <v>35</v>
      </c>
      <c r="D75">
        <v>1157</v>
      </c>
      <c r="E75">
        <v>0.39250000000000002</v>
      </c>
      <c r="F75" t="s">
        <v>115</v>
      </c>
      <c r="G75" t="s">
        <v>116</v>
      </c>
      <c r="H75">
        <v>0</v>
      </c>
      <c r="I75">
        <v>0</v>
      </c>
      <c r="J75">
        <v>0</v>
      </c>
    </row>
    <row r="76" spans="1:10">
      <c r="A76" s="1">
        <v>74</v>
      </c>
      <c r="B76" t="s">
        <v>23</v>
      </c>
      <c r="C76">
        <v>37</v>
      </c>
      <c r="D76">
        <v>380</v>
      </c>
      <c r="E76">
        <v>0.39488157894736842</v>
      </c>
      <c r="F76" t="s">
        <v>115</v>
      </c>
      <c r="G76" t="s">
        <v>116</v>
      </c>
      <c r="H76">
        <v>0</v>
      </c>
      <c r="I76">
        <v>0</v>
      </c>
      <c r="J76">
        <v>0</v>
      </c>
    </row>
    <row r="77" spans="1:10">
      <c r="A77" s="1">
        <v>75</v>
      </c>
      <c r="B77" t="s">
        <v>23</v>
      </c>
      <c r="C77">
        <v>38</v>
      </c>
      <c r="D77">
        <v>88.3</v>
      </c>
      <c r="E77">
        <v>0.42570101925254811</v>
      </c>
      <c r="F77" t="s">
        <v>115</v>
      </c>
      <c r="G77" t="s">
        <v>116</v>
      </c>
      <c r="H77">
        <v>0</v>
      </c>
      <c r="I77">
        <v>0</v>
      </c>
      <c r="J77">
        <v>0</v>
      </c>
    </row>
    <row r="78" spans="1:10">
      <c r="A78" s="1">
        <v>76</v>
      </c>
      <c r="B78" t="s">
        <v>23</v>
      </c>
      <c r="C78">
        <v>39</v>
      </c>
      <c r="D78">
        <v>794.4</v>
      </c>
      <c r="E78">
        <v>0.38947432024169182</v>
      </c>
      <c r="F78" t="s">
        <v>115</v>
      </c>
      <c r="G78" t="s">
        <v>116</v>
      </c>
      <c r="H78">
        <v>0</v>
      </c>
      <c r="I78">
        <v>0</v>
      </c>
      <c r="J78">
        <v>0</v>
      </c>
    </row>
    <row r="79" spans="1:10">
      <c r="A79" s="1">
        <v>77</v>
      </c>
      <c r="B79" t="s">
        <v>23</v>
      </c>
      <c r="C79">
        <v>40</v>
      </c>
      <c r="D79">
        <v>666.4</v>
      </c>
      <c r="E79">
        <v>0.37999999999999989</v>
      </c>
      <c r="F79" t="s">
        <v>115</v>
      </c>
      <c r="G79" t="s">
        <v>116</v>
      </c>
      <c r="H79">
        <v>0</v>
      </c>
      <c r="I79">
        <v>0</v>
      </c>
      <c r="J79">
        <v>0</v>
      </c>
    </row>
    <row r="80" spans="1:10">
      <c r="A80" s="1">
        <v>78</v>
      </c>
      <c r="B80" t="s">
        <v>23</v>
      </c>
      <c r="C80">
        <v>41</v>
      </c>
      <c r="D80">
        <v>717</v>
      </c>
      <c r="E80">
        <v>0.3775</v>
      </c>
      <c r="F80" t="s">
        <v>115</v>
      </c>
      <c r="G80" t="s">
        <v>116</v>
      </c>
      <c r="H80">
        <v>0</v>
      </c>
      <c r="I80">
        <v>0</v>
      </c>
      <c r="J80">
        <v>0</v>
      </c>
    </row>
    <row r="81" spans="1:10">
      <c r="A81" s="1">
        <v>79</v>
      </c>
      <c r="B81" t="s">
        <v>23</v>
      </c>
      <c r="C81">
        <v>43</v>
      </c>
      <c r="D81">
        <v>303</v>
      </c>
      <c r="E81">
        <v>0.3725</v>
      </c>
      <c r="F81" t="s">
        <v>115</v>
      </c>
      <c r="G81" t="s">
        <v>116</v>
      </c>
      <c r="H81">
        <v>0</v>
      </c>
      <c r="I81">
        <v>0</v>
      </c>
      <c r="J81">
        <v>0</v>
      </c>
    </row>
    <row r="82" spans="1:10">
      <c r="A82" s="1">
        <v>80</v>
      </c>
      <c r="B82" t="s">
        <v>23</v>
      </c>
      <c r="C82">
        <v>46</v>
      </c>
      <c r="D82">
        <v>1412.6</v>
      </c>
      <c r="E82">
        <v>0.36499999999999999</v>
      </c>
      <c r="F82" t="s">
        <v>115</v>
      </c>
      <c r="G82" t="s">
        <v>116</v>
      </c>
      <c r="H82">
        <v>0</v>
      </c>
      <c r="I82">
        <v>0</v>
      </c>
      <c r="J82">
        <v>0</v>
      </c>
    </row>
    <row r="83" spans="1:10">
      <c r="A83" s="1">
        <v>81</v>
      </c>
      <c r="B83" t="s">
        <v>23</v>
      </c>
      <c r="C83">
        <v>51</v>
      </c>
      <c r="D83">
        <v>190.35</v>
      </c>
      <c r="E83">
        <v>0.36881176779616498</v>
      </c>
      <c r="F83" t="s">
        <v>115</v>
      </c>
      <c r="G83" t="s">
        <v>116</v>
      </c>
      <c r="H83">
        <v>0</v>
      </c>
      <c r="I83">
        <v>0</v>
      </c>
      <c r="J83">
        <v>0</v>
      </c>
    </row>
    <row r="84" spans="1:10">
      <c r="A84" s="1">
        <v>82</v>
      </c>
      <c r="B84" t="s">
        <v>23</v>
      </c>
      <c r="C84">
        <v>53</v>
      </c>
      <c r="D84">
        <v>345</v>
      </c>
      <c r="E84">
        <v>0.34749999999999998</v>
      </c>
      <c r="F84" t="s">
        <v>115</v>
      </c>
      <c r="G84" t="s">
        <v>116</v>
      </c>
      <c r="H84">
        <v>0</v>
      </c>
      <c r="I84">
        <v>0</v>
      </c>
      <c r="J84">
        <v>0</v>
      </c>
    </row>
    <row r="85" spans="1:10">
      <c r="A85" s="1">
        <v>83</v>
      </c>
      <c r="B85" t="s">
        <v>23</v>
      </c>
      <c r="C85">
        <v>54</v>
      </c>
      <c r="D85">
        <v>385</v>
      </c>
      <c r="E85">
        <v>0.34422077922077909</v>
      </c>
      <c r="F85" t="s">
        <v>115</v>
      </c>
      <c r="G85" t="s">
        <v>116</v>
      </c>
      <c r="H85">
        <v>0</v>
      </c>
      <c r="I85">
        <v>0</v>
      </c>
      <c r="J85">
        <v>0</v>
      </c>
    </row>
    <row r="86" spans="1:10">
      <c r="A86" s="1">
        <v>84</v>
      </c>
      <c r="B86" t="s">
        <v>23</v>
      </c>
      <c r="C86">
        <v>60</v>
      </c>
      <c r="D86">
        <v>129</v>
      </c>
      <c r="E86">
        <v>0.32748062015503882</v>
      </c>
      <c r="F86" t="s">
        <v>115</v>
      </c>
      <c r="G86" t="s">
        <v>116</v>
      </c>
      <c r="H86">
        <v>0</v>
      </c>
      <c r="I86">
        <v>0</v>
      </c>
      <c r="J86">
        <v>0</v>
      </c>
    </row>
    <row r="87" spans="1:10">
      <c r="A87" s="1">
        <v>85</v>
      </c>
      <c r="B87" t="s">
        <v>23</v>
      </c>
      <c r="C87">
        <v>82</v>
      </c>
      <c r="D87">
        <v>188.32</v>
      </c>
      <c r="E87">
        <v>0.26621654630416308</v>
      </c>
      <c r="F87" t="s">
        <v>115</v>
      </c>
      <c r="G87" t="s">
        <v>116</v>
      </c>
      <c r="H87">
        <v>0</v>
      </c>
      <c r="I87">
        <v>0</v>
      </c>
      <c r="J87">
        <v>0</v>
      </c>
    </row>
    <row r="88" spans="1:10">
      <c r="A88" s="1">
        <v>86</v>
      </c>
      <c r="B88" t="s">
        <v>117</v>
      </c>
      <c r="C88">
        <v>11</v>
      </c>
      <c r="D88">
        <v>83.8</v>
      </c>
      <c r="E88">
        <v>0.39710000000000001</v>
      </c>
      <c r="F88" t="s">
        <v>115</v>
      </c>
      <c r="G88" t="s">
        <v>116</v>
      </c>
      <c r="H88">
        <v>0</v>
      </c>
      <c r="I88">
        <v>0</v>
      </c>
      <c r="J88">
        <v>0</v>
      </c>
    </row>
    <row r="89" spans="1:10">
      <c r="A89" s="1">
        <v>87</v>
      </c>
      <c r="B89" t="s">
        <v>117</v>
      </c>
      <c r="C89">
        <v>14</v>
      </c>
      <c r="D89">
        <v>60</v>
      </c>
      <c r="E89">
        <v>0.38</v>
      </c>
      <c r="F89" t="s">
        <v>115</v>
      </c>
      <c r="G89" t="s">
        <v>116</v>
      </c>
      <c r="H89">
        <v>0</v>
      </c>
      <c r="I89">
        <v>0</v>
      </c>
      <c r="J89">
        <v>0</v>
      </c>
    </row>
    <row r="90" spans="1:10">
      <c r="A90" s="1">
        <v>88</v>
      </c>
      <c r="B90" t="s">
        <v>117</v>
      </c>
      <c r="C90">
        <v>18</v>
      </c>
      <c r="D90">
        <v>97.1</v>
      </c>
      <c r="E90">
        <v>0.38</v>
      </c>
      <c r="F90" t="s">
        <v>115</v>
      </c>
      <c r="G90" t="s">
        <v>116</v>
      </c>
      <c r="H90">
        <v>0</v>
      </c>
      <c r="I90">
        <v>0</v>
      </c>
      <c r="J90">
        <v>0</v>
      </c>
    </row>
    <row r="91" spans="1:10">
      <c r="A91" s="1">
        <v>89</v>
      </c>
      <c r="B91" t="s">
        <v>117</v>
      </c>
      <c r="C91">
        <v>24</v>
      </c>
      <c r="D91">
        <v>212</v>
      </c>
      <c r="E91">
        <v>0.38279999999999997</v>
      </c>
      <c r="F91" t="s">
        <v>115</v>
      </c>
      <c r="G91" t="s">
        <v>116</v>
      </c>
      <c r="H91">
        <v>0</v>
      </c>
      <c r="I91">
        <v>0</v>
      </c>
      <c r="J91">
        <v>0</v>
      </c>
    </row>
    <row r="92" spans="1:10">
      <c r="A92" s="1">
        <v>90</v>
      </c>
      <c r="B92" t="s">
        <v>117</v>
      </c>
      <c r="C92">
        <v>25</v>
      </c>
      <c r="D92">
        <v>97.3</v>
      </c>
      <c r="E92">
        <v>0.38008386433710178</v>
      </c>
      <c r="F92" t="s">
        <v>115</v>
      </c>
      <c r="G92" t="s">
        <v>116</v>
      </c>
      <c r="H92">
        <v>0</v>
      </c>
      <c r="I92">
        <v>0</v>
      </c>
      <c r="J92">
        <v>0</v>
      </c>
    </row>
    <row r="93" spans="1:10">
      <c r="A93" s="1">
        <v>91</v>
      </c>
      <c r="B93" t="s">
        <v>117</v>
      </c>
      <c r="C93">
        <v>27</v>
      </c>
      <c r="D93">
        <v>87.8</v>
      </c>
      <c r="E93">
        <v>0.37950000000000012</v>
      </c>
      <c r="F93" t="s">
        <v>115</v>
      </c>
      <c r="G93" t="s">
        <v>116</v>
      </c>
      <c r="H93">
        <v>0</v>
      </c>
      <c r="I93">
        <v>0</v>
      </c>
      <c r="J93">
        <v>0</v>
      </c>
    </row>
    <row r="94" spans="1:10">
      <c r="A94" s="1">
        <v>92</v>
      </c>
      <c r="B94" t="s">
        <v>117</v>
      </c>
      <c r="C94">
        <v>28</v>
      </c>
      <c r="D94">
        <v>190.4</v>
      </c>
      <c r="E94">
        <v>0.36544154411764712</v>
      </c>
      <c r="F94" t="s">
        <v>115</v>
      </c>
      <c r="G94" t="s">
        <v>116</v>
      </c>
      <c r="H94">
        <v>0</v>
      </c>
      <c r="I94">
        <v>0</v>
      </c>
      <c r="J94">
        <v>0</v>
      </c>
    </row>
    <row r="95" spans="1:10">
      <c r="A95" s="1">
        <v>93</v>
      </c>
      <c r="B95" t="s">
        <v>117</v>
      </c>
      <c r="C95">
        <v>40</v>
      </c>
      <c r="D95">
        <v>93.6</v>
      </c>
      <c r="E95">
        <v>0.3332</v>
      </c>
      <c r="F95" t="s">
        <v>115</v>
      </c>
      <c r="G95" t="s">
        <v>116</v>
      </c>
      <c r="H95">
        <v>0</v>
      </c>
      <c r="I95">
        <v>0</v>
      </c>
      <c r="J95">
        <v>0</v>
      </c>
    </row>
    <row r="96" spans="1:10">
      <c r="A96" s="1">
        <v>94</v>
      </c>
      <c r="B96" t="s">
        <v>117</v>
      </c>
      <c r="C96">
        <v>41</v>
      </c>
      <c r="D96">
        <v>136</v>
      </c>
      <c r="E96">
        <v>0.3306</v>
      </c>
      <c r="F96" t="s">
        <v>115</v>
      </c>
      <c r="G96" t="s">
        <v>116</v>
      </c>
      <c r="H96">
        <v>0</v>
      </c>
      <c r="I96">
        <v>0</v>
      </c>
      <c r="J96">
        <v>0</v>
      </c>
    </row>
    <row r="97" spans="1:10">
      <c r="A97" s="1">
        <v>95</v>
      </c>
      <c r="B97" t="s">
        <v>117</v>
      </c>
      <c r="C97">
        <v>45</v>
      </c>
      <c r="D97">
        <v>205.9</v>
      </c>
      <c r="E97">
        <v>0.32451830985915492</v>
      </c>
      <c r="F97" t="s">
        <v>115</v>
      </c>
      <c r="G97" t="s">
        <v>116</v>
      </c>
      <c r="H97">
        <v>0</v>
      </c>
      <c r="I97">
        <v>0</v>
      </c>
      <c r="J97">
        <v>0</v>
      </c>
    </row>
    <row r="98" spans="1:10">
      <c r="A98" s="1">
        <v>96</v>
      </c>
      <c r="B98" t="s">
        <v>117</v>
      </c>
      <c r="C98">
        <v>46</v>
      </c>
      <c r="D98">
        <v>50</v>
      </c>
      <c r="E98">
        <v>0.31759999999999999</v>
      </c>
      <c r="F98" t="s">
        <v>115</v>
      </c>
      <c r="G98" t="s">
        <v>116</v>
      </c>
      <c r="H98">
        <v>0</v>
      </c>
      <c r="I98">
        <v>0</v>
      </c>
      <c r="J98">
        <v>0</v>
      </c>
    </row>
    <row r="99" spans="1:10">
      <c r="A99" s="1">
        <v>97</v>
      </c>
      <c r="B99" t="s">
        <v>117</v>
      </c>
      <c r="C99">
        <v>47</v>
      </c>
      <c r="D99">
        <v>434.5</v>
      </c>
      <c r="E99">
        <v>0.3671346375143843</v>
      </c>
      <c r="F99" t="s">
        <v>115</v>
      </c>
      <c r="G99" t="s">
        <v>116</v>
      </c>
      <c r="H99">
        <v>0</v>
      </c>
      <c r="I99">
        <v>0</v>
      </c>
      <c r="J99">
        <v>0</v>
      </c>
    </row>
    <row r="100" spans="1:10">
      <c r="A100" s="1">
        <v>98</v>
      </c>
      <c r="B100" t="s">
        <v>117</v>
      </c>
      <c r="C100">
        <v>48</v>
      </c>
      <c r="D100">
        <v>870.9</v>
      </c>
      <c r="E100">
        <v>0.35639999999999999</v>
      </c>
      <c r="F100" t="s">
        <v>115</v>
      </c>
      <c r="G100" t="s">
        <v>116</v>
      </c>
      <c r="H100">
        <v>0</v>
      </c>
      <c r="I100">
        <v>0</v>
      </c>
      <c r="J100">
        <v>0</v>
      </c>
    </row>
    <row r="101" spans="1:10">
      <c r="A101" s="1">
        <v>99</v>
      </c>
      <c r="B101" t="s">
        <v>117</v>
      </c>
      <c r="C101">
        <v>49</v>
      </c>
      <c r="D101">
        <v>529</v>
      </c>
      <c r="E101">
        <v>0.35048336483931952</v>
      </c>
      <c r="F101" t="s">
        <v>115</v>
      </c>
      <c r="G101" t="s">
        <v>116</v>
      </c>
      <c r="H101">
        <v>0</v>
      </c>
      <c r="I101">
        <v>0</v>
      </c>
      <c r="J101">
        <v>0</v>
      </c>
    </row>
    <row r="102" spans="1:10">
      <c r="A102" s="1">
        <v>100</v>
      </c>
      <c r="B102" t="s">
        <v>117</v>
      </c>
      <c r="C102">
        <v>50</v>
      </c>
      <c r="D102">
        <v>303.2</v>
      </c>
      <c r="E102">
        <v>0.3251815303430079</v>
      </c>
      <c r="F102" t="s">
        <v>115</v>
      </c>
      <c r="G102" t="s">
        <v>116</v>
      </c>
      <c r="H102">
        <v>0</v>
      </c>
      <c r="I102">
        <v>0</v>
      </c>
      <c r="J102">
        <v>0</v>
      </c>
    </row>
    <row r="103" spans="1:10">
      <c r="A103" s="1">
        <v>101</v>
      </c>
      <c r="B103" t="s">
        <v>117</v>
      </c>
      <c r="C103">
        <v>51</v>
      </c>
      <c r="D103">
        <v>111.4</v>
      </c>
      <c r="E103">
        <v>0.30459999999999998</v>
      </c>
      <c r="F103" t="s">
        <v>115</v>
      </c>
      <c r="G103" t="s">
        <v>116</v>
      </c>
      <c r="H103">
        <v>0</v>
      </c>
      <c r="I103">
        <v>0</v>
      </c>
      <c r="J103">
        <v>0</v>
      </c>
    </row>
    <row r="104" spans="1:10">
      <c r="A104" s="1">
        <v>102</v>
      </c>
      <c r="B104" t="s">
        <v>117</v>
      </c>
      <c r="C104">
        <v>60</v>
      </c>
      <c r="D104">
        <v>90</v>
      </c>
      <c r="E104">
        <v>0.34320000000000001</v>
      </c>
      <c r="F104" t="s">
        <v>115</v>
      </c>
      <c r="G104" t="s">
        <v>116</v>
      </c>
      <c r="H104">
        <v>0</v>
      </c>
      <c r="I104">
        <v>0</v>
      </c>
      <c r="J104">
        <v>0</v>
      </c>
    </row>
    <row r="105" spans="1:10">
      <c r="A105" s="1">
        <v>103</v>
      </c>
      <c r="B105" t="s">
        <v>28</v>
      </c>
      <c r="C105">
        <v>2</v>
      </c>
      <c r="D105">
        <v>103.5</v>
      </c>
      <c r="E105">
        <v>0.80000000000000016</v>
      </c>
      <c r="F105" t="s">
        <v>115</v>
      </c>
      <c r="G105" t="s">
        <v>116</v>
      </c>
      <c r="H105">
        <v>0</v>
      </c>
      <c r="I105">
        <v>0</v>
      </c>
      <c r="J105">
        <v>0</v>
      </c>
    </row>
    <row r="106" spans="1:10">
      <c r="A106" s="1">
        <v>104</v>
      </c>
      <c r="B106" t="s">
        <v>28</v>
      </c>
      <c r="C106">
        <v>13</v>
      </c>
      <c r="D106">
        <v>681.6</v>
      </c>
      <c r="E106">
        <v>0.7541519953051643</v>
      </c>
      <c r="F106" t="s">
        <v>115</v>
      </c>
      <c r="G106" t="s">
        <v>116</v>
      </c>
      <c r="H106">
        <v>0</v>
      </c>
      <c r="I106">
        <v>0</v>
      </c>
      <c r="J106">
        <v>0</v>
      </c>
    </row>
    <row r="107" spans="1:10">
      <c r="A107" s="1">
        <v>105</v>
      </c>
      <c r="B107" t="s">
        <v>28</v>
      </c>
      <c r="C107">
        <v>18</v>
      </c>
      <c r="D107">
        <v>1052</v>
      </c>
      <c r="E107">
        <v>0.75</v>
      </c>
      <c r="F107" t="s">
        <v>115</v>
      </c>
      <c r="G107" t="s">
        <v>116</v>
      </c>
      <c r="H107">
        <v>0</v>
      </c>
      <c r="I107">
        <v>0</v>
      </c>
      <c r="J107">
        <v>0</v>
      </c>
    </row>
    <row r="108" spans="1:10">
      <c r="A108" s="1">
        <v>106</v>
      </c>
      <c r="B108" t="s">
        <v>28</v>
      </c>
      <c r="C108">
        <v>19</v>
      </c>
      <c r="D108">
        <v>138</v>
      </c>
      <c r="E108">
        <v>0.75</v>
      </c>
      <c r="F108" t="s">
        <v>115</v>
      </c>
      <c r="G108" t="s">
        <v>116</v>
      </c>
      <c r="H108">
        <v>0</v>
      </c>
      <c r="I108">
        <v>0</v>
      </c>
      <c r="J108">
        <v>0</v>
      </c>
    </row>
    <row r="109" spans="1:10">
      <c r="A109" s="1">
        <v>107</v>
      </c>
      <c r="B109" t="s">
        <v>28</v>
      </c>
      <c r="C109">
        <v>30</v>
      </c>
      <c r="D109">
        <v>117.4</v>
      </c>
      <c r="E109">
        <v>0.79999999999999993</v>
      </c>
      <c r="F109" t="s">
        <v>115</v>
      </c>
      <c r="G109" t="s">
        <v>116</v>
      </c>
      <c r="H109">
        <v>0</v>
      </c>
      <c r="I109">
        <v>0</v>
      </c>
      <c r="J109">
        <v>0</v>
      </c>
    </row>
    <row r="110" spans="1:10">
      <c r="A110" s="1">
        <v>108</v>
      </c>
      <c r="B110" t="s">
        <v>28</v>
      </c>
      <c r="C110">
        <v>33</v>
      </c>
      <c r="D110">
        <v>177.6</v>
      </c>
      <c r="E110">
        <v>0.75354729729729741</v>
      </c>
      <c r="F110" t="s">
        <v>115</v>
      </c>
      <c r="G110" t="s">
        <v>116</v>
      </c>
      <c r="H110">
        <v>0</v>
      </c>
      <c r="I110">
        <v>0</v>
      </c>
      <c r="J110">
        <v>0</v>
      </c>
    </row>
    <row r="111" spans="1:10">
      <c r="A111" s="1">
        <v>109</v>
      </c>
      <c r="B111" t="s">
        <v>28</v>
      </c>
      <c r="C111">
        <v>38</v>
      </c>
      <c r="D111">
        <v>91.800000000000011</v>
      </c>
      <c r="E111">
        <v>0.79999999999999982</v>
      </c>
      <c r="F111" t="s">
        <v>115</v>
      </c>
      <c r="G111" t="s">
        <v>116</v>
      </c>
      <c r="H111">
        <v>0</v>
      </c>
      <c r="I111">
        <v>0</v>
      </c>
      <c r="J111">
        <v>0</v>
      </c>
    </row>
    <row r="112" spans="1:10">
      <c r="A112" s="1">
        <v>110</v>
      </c>
      <c r="B112" t="s">
        <v>28</v>
      </c>
      <c r="C112">
        <v>39</v>
      </c>
      <c r="D112">
        <v>60.3</v>
      </c>
      <c r="E112">
        <v>0.76019900497512449</v>
      </c>
      <c r="F112" t="s">
        <v>115</v>
      </c>
      <c r="G112" t="s">
        <v>116</v>
      </c>
      <c r="H112">
        <v>0</v>
      </c>
      <c r="I112">
        <v>0</v>
      </c>
      <c r="J112">
        <v>0</v>
      </c>
    </row>
    <row r="113" spans="1:10">
      <c r="A113" s="1">
        <v>111</v>
      </c>
      <c r="B113" t="s">
        <v>28</v>
      </c>
      <c r="C113">
        <v>40</v>
      </c>
      <c r="D113">
        <v>70</v>
      </c>
      <c r="E113">
        <v>0.80000000000000016</v>
      </c>
      <c r="F113" t="s">
        <v>115</v>
      </c>
      <c r="G113" t="s">
        <v>116</v>
      </c>
      <c r="H113">
        <v>0</v>
      </c>
      <c r="I113">
        <v>0</v>
      </c>
      <c r="J113">
        <v>0</v>
      </c>
    </row>
    <row r="114" spans="1:10">
      <c r="A114" s="1">
        <v>112</v>
      </c>
      <c r="B114" t="s">
        <v>28</v>
      </c>
      <c r="C114">
        <v>43</v>
      </c>
      <c r="D114">
        <v>1057.4000000000001</v>
      </c>
      <c r="E114">
        <v>0.75057688670323441</v>
      </c>
      <c r="F114" t="s">
        <v>115</v>
      </c>
      <c r="G114" t="s">
        <v>116</v>
      </c>
      <c r="H114">
        <v>0</v>
      </c>
      <c r="I114">
        <v>0</v>
      </c>
      <c r="J114">
        <v>0</v>
      </c>
    </row>
    <row r="115" spans="1:10">
      <c r="A115" s="1">
        <v>113</v>
      </c>
      <c r="B115" t="s">
        <v>28</v>
      </c>
      <c r="C115">
        <v>44</v>
      </c>
      <c r="D115">
        <v>179.4</v>
      </c>
      <c r="E115">
        <v>0.8</v>
      </c>
      <c r="F115" t="s">
        <v>115</v>
      </c>
      <c r="G115" t="s">
        <v>116</v>
      </c>
      <c r="H115">
        <v>0</v>
      </c>
      <c r="I115">
        <v>0</v>
      </c>
      <c r="J115">
        <v>0</v>
      </c>
    </row>
    <row r="116" spans="1:10">
      <c r="A116" s="1">
        <v>114</v>
      </c>
      <c r="B116" t="s">
        <v>28</v>
      </c>
      <c r="C116">
        <v>47</v>
      </c>
      <c r="D116">
        <v>926.7</v>
      </c>
      <c r="E116">
        <v>0.75090104672493796</v>
      </c>
      <c r="F116" t="s">
        <v>115</v>
      </c>
      <c r="G116" t="s">
        <v>116</v>
      </c>
      <c r="H116">
        <v>0</v>
      </c>
      <c r="I116">
        <v>0</v>
      </c>
      <c r="J116">
        <v>0</v>
      </c>
    </row>
    <row r="117" spans="1:10">
      <c r="A117" s="1">
        <v>115</v>
      </c>
      <c r="B117" t="s">
        <v>28</v>
      </c>
      <c r="C117">
        <v>48</v>
      </c>
      <c r="D117">
        <v>164</v>
      </c>
      <c r="E117">
        <v>0.75</v>
      </c>
      <c r="F117" t="s">
        <v>115</v>
      </c>
      <c r="G117" t="s">
        <v>116</v>
      </c>
      <c r="H117">
        <v>0</v>
      </c>
      <c r="I117">
        <v>0</v>
      </c>
      <c r="J117">
        <v>0</v>
      </c>
    </row>
    <row r="118" spans="1:10">
      <c r="A118" s="1">
        <v>116</v>
      </c>
      <c r="B118" t="s">
        <v>28</v>
      </c>
      <c r="C118">
        <v>52</v>
      </c>
      <c r="D118">
        <v>121.1</v>
      </c>
      <c r="E118">
        <v>0.79999999999999993</v>
      </c>
      <c r="F118" t="s">
        <v>115</v>
      </c>
      <c r="G118" t="s">
        <v>116</v>
      </c>
      <c r="H118">
        <v>0</v>
      </c>
      <c r="I118">
        <v>0</v>
      </c>
      <c r="J118">
        <v>0</v>
      </c>
    </row>
    <row r="119" spans="1:10">
      <c r="A119" s="1">
        <v>117</v>
      </c>
      <c r="B119" t="s">
        <v>28</v>
      </c>
      <c r="C119">
        <v>55</v>
      </c>
      <c r="D119">
        <v>108.9</v>
      </c>
      <c r="E119">
        <v>0.76340679522497701</v>
      </c>
      <c r="F119" t="s">
        <v>115</v>
      </c>
      <c r="G119" t="s">
        <v>116</v>
      </c>
      <c r="H119">
        <v>0</v>
      </c>
      <c r="I119">
        <v>0</v>
      </c>
      <c r="J119">
        <v>0</v>
      </c>
    </row>
    <row r="120" spans="1:10">
      <c r="A120" s="1">
        <v>118</v>
      </c>
      <c r="B120" t="s">
        <v>28</v>
      </c>
      <c r="C120">
        <v>56</v>
      </c>
      <c r="D120">
        <v>441.7</v>
      </c>
      <c r="E120">
        <v>0.75924835861444406</v>
      </c>
      <c r="F120" t="s">
        <v>115</v>
      </c>
      <c r="G120" t="s">
        <v>116</v>
      </c>
      <c r="H120">
        <v>0</v>
      </c>
      <c r="I120">
        <v>0</v>
      </c>
      <c r="J120">
        <v>0</v>
      </c>
    </row>
    <row r="121" spans="1:10">
      <c r="A121" s="1">
        <v>119</v>
      </c>
      <c r="B121" t="s">
        <v>28</v>
      </c>
      <c r="C121">
        <v>57</v>
      </c>
      <c r="D121">
        <v>465.7</v>
      </c>
      <c r="E121">
        <v>0.772321236847756</v>
      </c>
      <c r="F121" t="s">
        <v>115</v>
      </c>
      <c r="G121" t="s">
        <v>116</v>
      </c>
      <c r="H121">
        <v>0</v>
      </c>
      <c r="I121">
        <v>0</v>
      </c>
      <c r="J121">
        <v>0</v>
      </c>
    </row>
    <row r="122" spans="1:10">
      <c r="A122" s="1">
        <v>120</v>
      </c>
      <c r="B122" t="s">
        <v>28</v>
      </c>
      <c r="C122">
        <v>58</v>
      </c>
      <c r="D122">
        <v>340</v>
      </c>
      <c r="E122">
        <v>0.75441176470588234</v>
      </c>
      <c r="F122" t="s">
        <v>115</v>
      </c>
      <c r="G122" t="s">
        <v>116</v>
      </c>
      <c r="H122">
        <v>0</v>
      </c>
      <c r="I122">
        <v>0</v>
      </c>
      <c r="J122">
        <v>0</v>
      </c>
    </row>
    <row r="123" spans="1:10">
      <c r="A123" s="1">
        <v>121</v>
      </c>
      <c r="B123" t="s">
        <v>28</v>
      </c>
      <c r="C123">
        <v>60</v>
      </c>
      <c r="D123">
        <v>62.8</v>
      </c>
      <c r="E123">
        <v>0.8</v>
      </c>
      <c r="F123" t="s">
        <v>115</v>
      </c>
      <c r="G123" t="s">
        <v>116</v>
      </c>
      <c r="H123">
        <v>0</v>
      </c>
      <c r="I123">
        <v>0</v>
      </c>
      <c r="J123">
        <v>0</v>
      </c>
    </row>
    <row r="124" spans="1:10">
      <c r="A124" s="1">
        <v>122</v>
      </c>
      <c r="B124" t="s">
        <v>28</v>
      </c>
      <c r="C124">
        <v>62</v>
      </c>
      <c r="D124">
        <v>95.7</v>
      </c>
      <c r="E124">
        <v>0.77701149425287364</v>
      </c>
      <c r="F124" t="s">
        <v>115</v>
      </c>
      <c r="G124" t="s">
        <v>116</v>
      </c>
      <c r="H124">
        <v>0</v>
      </c>
      <c r="I124">
        <v>0</v>
      </c>
      <c r="J124">
        <v>0</v>
      </c>
    </row>
    <row r="125" spans="1:10">
      <c r="A125" s="1">
        <v>123</v>
      </c>
      <c r="B125" t="s">
        <v>28</v>
      </c>
      <c r="C125">
        <v>63</v>
      </c>
      <c r="D125">
        <v>70.3</v>
      </c>
      <c r="E125">
        <v>0.75746799431009948</v>
      </c>
      <c r="F125" t="s">
        <v>115</v>
      </c>
      <c r="G125" t="s">
        <v>116</v>
      </c>
      <c r="H125">
        <v>0</v>
      </c>
      <c r="I125">
        <v>0</v>
      </c>
      <c r="J125">
        <v>0</v>
      </c>
    </row>
    <row r="126" spans="1:10">
      <c r="A126" s="1">
        <v>124</v>
      </c>
      <c r="B126" t="s">
        <v>28</v>
      </c>
      <c r="C126">
        <v>64</v>
      </c>
      <c r="D126">
        <v>376.7</v>
      </c>
      <c r="E126">
        <v>0.75395540217679824</v>
      </c>
      <c r="F126" t="s">
        <v>115</v>
      </c>
      <c r="G126" t="s">
        <v>116</v>
      </c>
      <c r="H126">
        <v>0</v>
      </c>
      <c r="I126">
        <v>0</v>
      </c>
      <c r="J126">
        <v>0</v>
      </c>
    </row>
    <row r="127" spans="1:10">
      <c r="A127" s="1">
        <v>125</v>
      </c>
      <c r="B127" t="s">
        <v>28</v>
      </c>
      <c r="C127">
        <v>67</v>
      </c>
      <c r="D127">
        <v>339.2</v>
      </c>
      <c r="E127">
        <v>0.78540683962264157</v>
      </c>
      <c r="F127" t="s">
        <v>115</v>
      </c>
      <c r="G127" t="s">
        <v>116</v>
      </c>
      <c r="H127">
        <v>0</v>
      </c>
      <c r="I127">
        <v>0</v>
      </c>
      <c r="J127">
        <v>0</v>
      </c>
    </row>
    <row r="128" spans="1:10">
      <c r="A128" s="1">
        <v>126</v>
      </c>
      <c r="B128" t="s">
        <v>28</v>
      </c>
      <c r="C128">
        <v>68</v>
      </c>
      <c r="D128">
        <v>57.4</v>
      </c>
      <c r="E128">
        <v>0.95853658536585373</v>
      </c>
      <c r="F128" t="s">
        <v>115</v>
      </c>
      <c r="G128" t="s">
        <v>116</v>
      </c>
      <c r="H128">
        <v>0</v>
      </c>
      <c r="I128">
        <v>0</v>
      </c>
      <c r="J128">
        <v>0</v>
      </c>
    </row>
    <row r="129" spans="1:10">
      <c r="A129" s="1">
        <v>127</v>
      </c>
      <c r="B129" t="s">
        <v>28</v>
      </c>
      <c r="C129">
        <v>69</v>
      </c>
      <c r="D129">
        <v>111.5</v>
      </c>
      <c r="E129">
        <v>0.8</v>
      </c>
      <c r="F129" t="s">
        <v>115</v>
      </c>
      <c r="G129" t="s">
        <v>116</v>
      </c>
      <c r="H129">
        <v>0</v>
      </c>
      <c r="I129">
        <v>0</v>
      </c>
      <c r="J129">
        <v>0</v>
      </c>
    </row>
    <row r="130" spans="1:10">
      <c r="A130" s="1">
        <v>128</v>
      </c>
      <c r="B130" t="s">
        <v>28</v>
      </c>
      <c r="C130">
        <v>71</v>
      </c>
      <c r="D130">
        <v>244.1</v>
      </c>
      <c r="E130">
        <v>0.76927488734125371</v>
      </c>
      <c r="F130" t="s">
        <v>115</v>
      </c>
      <c r="G130" t="s">
        <v>116</v>
      </c>
      <c r="H130">
        <v>0</v>
      </c>
      <c r="I130">
        <v>0</v>
      </c>
      <c r="J130">
        <v>0</v>
      </c>
    </row>
    <row r="131" spans="1:10">
      <c r="A131" s="1">
        <v>129</v>
      </c>
      <c r="B131" t="s">
        <v>28</v>
      </c>
      <c r="C131">
        <v>74</v>
      </c>
      <c r="D131">
        <v>100</v>
      </c>
      <c r="E131">
        <v>0.75</v>
      </c>
      <c r="F131" t="s">
        <v>115</v>
      </c>
      <c r="G131" t="s">
        <v>116</v>
      </c>
      <c r="H131">
        <v>0</v>
      </c>
      <c r="I131">
        <v>0</v>
      </c>
      <c r="J131">
        <v>0</v>
      </c>
    </row>
    <row r="132" spans="1:10">
      <c r="A132" s="1">
        <v>130</v>
      </c>
      <c r="B132" t="s">
        <v>28</v>
      </c>
      <c r="C132">
        <v>78</v>
      </c>
      <c r="D132">
        <v>84</v>
      </c>
      <c r="E132">
        <v>0.8</v>
      </c>
      <c r="F132" t="s">
        <v>115</v>
      </c>
      <c r="G132" t="s">
        <v>116</v>
      </c>
      <c r="H132">
        <v>0</v>
      </c>
      <c r="I132">
        <v>0</v>
      </c>
      <c r="J132">
        <v>0</v>
      </c>
    </row>
    <row r="133" spans="1:10">
      <c r="A133" s="1">
        <v>131</v>
      </c>
      <c r="B133" t="s">
        <v>28</v>
      </c>
      <c r="C133">
        <v>79</v>
      </c>
      <c r="D133">
        <v>220</v>
      </c>
      <c r="E133">
        <v>0.75</v>
      </c>
      <c r="F133" t="s">
        <v>115</v>
      </c>
      <c r="G133" t="s">
        <v>116</v>
      </c>
      <c r="H133">
        <v>0</v>
      </c>
      <c r="I133">
        <v>0</v>
      </c>
      <c r="J133">
        <v>0</v>
      </c>
    </row>
    <row r="134" spans="1:10">
      <c r="A134" s="1">
        <v>132</v>
      </c>
      <c r="B134" t="s">
        <v>28</v>
      </c>
      <c r="C134">
        <v>80</v>
      </c>
      <c r="D134">
        <v>91.5</v>
      </c>
      <c r="E134">
        <v>0.8</v>
      </c>
      <c r="F134" t="s">
        <v>115</v>
      </c>
      <c r="G134" t="s">
        <v>116</v>
      </c>
      <c r="H134">
        <v>0</v>
      </c>
      <c r="I134">
        <v>0</v>
      </c>
      <c r="J134">
        <v>0</v>
      </c>
    </row>
    <row r="135" spans="1:10">
      <c r="A135" s="1">
        <v>133</v>
      </c>
      <c r="B135" t="s">
        <v>28</v>
      </c>
      <c r="C135">
        <v>84</v>
      </c>
      <c r="D135">
        <v>88.1</v>
      </c>
      <c r="E135">
        <v>0.8</v>
      </c>
      <c r="F135" t="s">
        <v>115</v>
      </c>
      <c r="G135" t="s">
        <v>116</v>
      </c>
      <c r="H135">
        <v>0</v>
      </c>
      <c r="I135">
        <v>0</v>
      </c>
      <c r="J135">
        <v>0</v>
      </c>
    </row>
    <row r="136" spans="1:10">
      <c r="A136" s="1">
        <v>134</v>
      </c>
      <c r="B136" t="s">
        <v>28</v>
      </c>
      <c r="C136">
        <v>90</v>
      </c>
      <c r="D136">
        <v>104.8</v>
      </c>
      <c r="E136">
        <v>0.76192748091603046</v>
      </c>
      <c r="F136" t="s">
        <v>115</v>
      </c>
      <c r="G136" t="s">
        <v>116</v>
      </c>
      <c r="H136">
        <v>0</v>
      </c>
      <c r="I136">
        <v>0</v>
      </c>
      <c r="J136">
        <v>0</v>
      </c>
    </row>
    <row r="137" spans="1:10">
      <c r="A137" s="1">
        <v>135</v>
      </c>
      <c r="B137" t="s">
        <v>28</v>
      </c>
      <c r="C137">
        <v>95</v>
      </c>
      <c r="D137">
        <v>130</v>
      </c>
      <c r="E137">
        <v>0.78346153846153854</v>
      </c>
      <c r="F137" t="s">
        <v>115</v>
      </c>
      <c r="G137" t="s">
        <v>116</v>
      </c>
      <c r="H137">
        <v>0</v>
      </c>
      <c r="I137">
        <v>0</v>
      </c>
      <c r="J137">
        <v>0</v>
      </c>
    </row>
    <row r="138" spans="1:10">
      <c r="A138" s="1">
        <v>136</v>
      </c>
      <c r="B138" t="s">
        <v>28</v>
      </c>
      <c r="C138">
        <v>98</v>
      </c>
      <c r="D138">
        <v>164</v>
      </c>
      <c r="E138">
        <v>0.79999999999999993</v>
      </c>
      <c r="F138" t="s">
        <v>115</v>
      </c>
      <c r="G138" t="s">
        <v>116</v>
      </c>
      <c r="H138">
        <v>0</v>
      </c>
      <c r="I138">
        <v>0</v>
      </c>
      <c r="J138">
        <v>0</v>
      </c>
    </row>
    <row r="139" spans="1:10">
      <c r="A139" s="1">
        <v>137</v>
      </c>
      <c r="B139" t="s">
        <v>28</v>
      </c>
      <c r="C139">
        <v>100</v>
      </c>
      <c r="D139">
        <v>183.55</v>
      </c>
      <c r="E139">
        <v>0.82179242713157175</v>
      </c>
      <c r="F139" t="s">
        <v>115</v>
      </c>
      <c r="G139" t="s">
        <v>116</v>
      </c>
      <c r="H139">
        <v>0</v>
      </c>
      <c r="I139">
        <v>0</v>
      </c>
      <c r="J139">
        <v>0</v>
      </c>
    </row>
    <row r="140" spans="1:10">
      <c r="A140" s="1">
        <v>138</v>
      </c>
      <c r="B140" t="s">
        <v>118</v>
      </c>
      <c r="C140">
        <v>10</v>
      </c>
      <c r="D140">
        <v>2780.3</v>
      </c>
      <c r="E140">
        <v>0.42883504657770738</v>
      </c>
      <c r="F140" t="s">
        <v>115</v>
      </c>
      <c r="G140" t="s">
        <v>116</v>
      </c>
      <c r="H140">
        <v>0</v>
      </c>
      <c r="I140">
        <v>0</v>
      </c>
      <c r="J140">
        <v>0</v>
      </c>
    </row>
    <row r="141" spans="1:10">
      <c r="A141" s="1">
        <v>139</v>
      </c>
      <c r="B141" t="s">
        <v>118</v>
      </c>
      <c r="C141">
        <v>12</v>
      </c>
      <c r="D141">
        <v>94.8</v>
      </c>
      <c r="E141">
        <v>0.42399999999999999</v>
      </c>
      <c r="F141" t="s">
        <v>115</v>
      </c>
      <c r="G141" t="s">
        <v>116</v>
      </c>
      <c r="H141">
        <v>0</v>
      </c>
      <c r="I141">
        <v>0</v>
      </c>
      <c r="J141">
        <v>0</v>
      </c>
    </row>
    <row r="142" spans="1:10">
      <c r="A142" s="1">
        <v>140</v>
      </c>
      <c r="B142" t="s">
        <v>118</v>
      </c>
      <c r="C142">
        <v>13</v>
      </c>
      <c r="D142">
        <v>648</v>
      </c>
      <c r="E142">
        <v>0.42159999999999997</v>
      </c>
      <c r="F142" t="s">
        <v>115</v>
      </c>
      <c r="G142" t="s">
        <v>116</v>
      </c>
      <c r="H142">
        <v>0</v>
      </c>
      <c r="I142">
        <v>0</v>
      </c>
      <c r="J142">
        <v>0</v>
      </c>
    </row>
    <row r="143" spans="1:10">
      <c r="A143" s="1">
        <v>141</v>
      </c>
      <c r="B143" t="s">
        <v>118</v>
      </c>
      <c r="C143">
        <v>14</v>
      </c>
      <c r="D143">
        <v>628</v>
      </c>
      <c r="E143">
        <v>0.41920000000000002</v>
      </c>
      <c r="F143" t="s">
        <v>115</v>
      </c>
      <c r="G143" t="s">
        <v>116</v>
      </c>
      <c r="H143">
        <v>0</v>
      </c>
      <c r="I143">
        <v>0</v>
      </c>
      <c r="J143">
        <v>0</v>
      </c>
    </row>
    <row r="144" spans="1:10">
      <c r="A144" s="1">
        <v>142</v>
      </c>
      <c r="B144" t="s">
        <v>118</v>
      </c>
      <c r="C144">
        <v>20</v>
      </c>
      <c r="D144">
        <v>967.22</v>
      </c>
      <c r="E144">
        <v>0.40491523334918628</v>
      </c>
      <c r="F144" t="s">
        <v>115</v>
      </c>
      <c r="G144" t="s">
        <v>116</v>
      </c>
      <c r="H144">
        <v>0</v>
      </c>
      <c r="I144">
        <v>0</v>
      </c>
      <c r="J144">
        <v>0</v>
      </c>
    </row>
    <row r="145" spans="1:10">
      <c r="A145" s="1">
        <v>143</v>
      </c>
      <c r="B145" t="s">
        <v>118</v>
      </c>
      <c r="C145">
        <v>22</v>
      </c>
      <c r="D145">
        <v>1732</v>
      </c>
      <c r="E145">
        <v>0.4</v>
      </c>
      <c r="F145" t="s">
        <v>115</v>
      </c>
      <c r="G145" t="s">
        <v>116</v>
      </c>
      <c r="H145">
        <v>0</v>
      </c>
      <c r="I145">
        <v>0</v>
      </c>
      <c r="J145">
        <v>0</v>
      </c>
    </row>
    <row r="146" spans="1:10">
      <c r="A146" s="1">
        <v>144</v>
      </c>
      <c r="B146" t="s">
        <v>118</v>
      </c>
      <c r="C146">
        <v>23</v>
      </c>
      <c r="D146">
        <v>949</v>
      </c>
      <c r="E146">
        <v>0.39760000000000001</v>
      </c>
      <c r="F146" t="s">
        <v>115</v>
      </c>
      <c r="G146" t="s">
        <v>116</v>
      </c>
      <c r="H146">
        <v>0</v>
      </c>
      <c r="I146">
        <v>0</v>
      </c>
      <c r="J146">
        <v>0</v>
      </c>
    </row>
    <row r="147" spans="1:10">
      <c r="A147" s="1">
        <v>145</v>
      </c>
      <c r="B147" t="s">
        <v>118</v>
      </c>
      <c r="C147">
        <v>24</v>
      </c>
      <c r="D147">
        <v>750</v>
      </c>
      <c r="E147">
        <v>0.3952</v>
      </c>
      <c r="F147" t="s">
        <v>115</v>
      </c>
      <c r="G147" t="s">
        <v>116</v>
      </c>
      <c r="H147">
        <v>0</v>
      </c>
      <c r="I147">
        <v>0</v>
      </c>
      <c r="J147">
        <v>0</v>
      </c>
    </row>
    <row r="148" spans="1:10">
      <c r="A148" s="1">
        <v>146</v>
      </c>
      <c r="B148" t="s">
        <v>118</v>
      </c>
      <c r="C148">
        <v>25</v>
      </c>
      <c r="D148">
        <v>750</v>
      </c>
      <c r="E148">
        <v>0.39279999999999993</v>
      </c>
      <c r="F148" t="s">
        <v>115</v>
      </c>
      <c r="G148" t="s">
        <v>116</v>
      </c>
      <c r="H148">
        <v>0</v>
      </c>
      <c r="I148">
        <v>0</v>
      </c>
      <c r="J148">
        <v>0</v>
      </c>
    </row>
    <row r="149" spans="1:10">
      <c r="A149" s="1">
        <v>147</v>
      </c>
      <c r="B149" t="s">
        <v>118</v>
      </c>
      <c r="C149">
        <v>26</v>
      </c>
      <c r="D149">
        <v>2780</v>
      </c>
      <c r="E149">
        <v>0.39038273381294969</v>
      </c>
      <c r="F149" t="s">
        <v>115</v>
      </c>
      <c r="G149" t="s">
        <v>116</v>
      </c>
      <c r="H149">
        <v>0</v>
      </c>
      <c r="I149">
        <v>0</v>
      </c>
      <c r="J149">
        <v>0</v>
      </c>
    </row>
    <row r="150" spans="1:10">
      <c r="A150" s="1">
        <v>148</v>
      </c>
      <c r="B150" t="s">
        <v>118</v>
      </c>
      <c r="C150">
        <v>28</v>
      </c>
      <c r="D150">
        <v>496</v>
      </c>
      <c r="E150">
        <v>0.3856</v>
      </c>
      <c r="F150" t="s">
        <v>115</v>
      </c>
      <c r="G150" t="s">
        <v>116</v>
      </c>
      <c r="H150">
        <v>0</v>
      </c>
      <c r="I150">
        <v>0</v>
      </c>
      <c r="J150">
        <v>0</v>
      </c>
    </row>
    <row r="151" spans="1:10">
      <c r="A151" s="1">
        <v>149</v>
      </c>
      <c r="B151" t="s">
        <v>118</v>
      </c>
      <c r="C151">
        <v>29</v>
      </c>
      <c r="D151">
        <v>488.3</v>
      </c>
      <c r="E151">
        <v>0.38319999999999999</v>
      </c>
      <c r="F151" t="s">
        <v>115</v>
      </c>
      <c r="G151" t="s">
        <v>116</v>
      </c>
      <c r="H151">
        <v>0</v>
      </c>
      <c r="I151">
        <v>0</v>
      </c>
      <c r="J151">
        <v>0</v>
      </c>
    </row>
    <row r="152" spans="1:10">
      <c r="A152" s="1">
        <v>150</v>
      </c>
      <c r="B152" t="s">
        <v>118</v>
      </c>
      <c r="C152">
        <v>32</v>
      </c>
      <c r="D152">
        <v>652.79999999999995</v>
      </c>
      <c r="E152">
        <v>0.37600000000000011</v>
      </c>
      <c r="F152" t="s">
        <v>115</v>
      </c>
      <c r="G152" t="s">
        <v>116</v>
      </c>
      <c r="H152">
        <v>0</v>
      </c>
      <c r="I152">
        <v>0</v>
      </c>
      <c r="J152">
        <v>0</v>
      </c>
    </row>
    <row r="153" spans="1:10">
      <c r="A153" s="1">
        <v>151</v>
      </c>
      <c r="B153" t="s">
        <v>118</v>
      </c>
      <c r="C153">
        <v>33</v>
      </c>
      <c r="D153">
        <v>498.5</v>
      </c>
      <c r="E153">
        <v>0.37359999999999999</v>
      </c>
      <c r="F153" t="s">
        <v>115</v>
      </c>
      <c r="G153" t="s">
        <v>116</v>
      </c>
      <c r="H153">
        <v>0</v>
      </c>
      <c r="I153">
        <v>0</v>
      </c>
      <c r="J153">
        <v>0</v>
      </c>
    </row>
    <row r="154" spans="1:10">
      <c r="A154" s="1">
        <v>152</v>
      </c>
      <c r="B154" t="s">
        <v>118</v>
      </c>
      <c r="C154">
        <v>34</v>
      </c>
      <c r="D154">
        <v>232.8</v>
      </c>
      <c r="E154">
        <v>0.37119999999999997</v>
      </c>
      <c r="F154" t="s">
        <v>115</v>
      </c>
      <c r="G154" t="s">
        <v>116</v>
      </c>
      <c r="H154">
        <v>0</v>
      </c>
      <c r="I154">
        <v>0</v>
      </c>
      <c r="J154">
        <v>0</v>
      </c>
    </row>
    <row r="155" spans="1:10">
      <c r="A155" s="1">
        <v>153</v>
      </c>
      <c r="B155" t="s">
        <v>118</v>
      </c>
      <c r="C155">
        <v>35</v>
      </c>
      <c r="D155">
        <v>465</v>
      </c>
      <c r="E155">
        <v>0.36880000000000002</v>
      </c>
      <c r="F155" t="s">
        <v>115</v>
      </c>
      <c r="G155" t="s">
        <v>116</v>
      </c>
      <c r="H155">
        <v>0</v>
      </c>
      <c r="I155">
        <v>0</v>
      </c>
      <c r="J155">
        <v>0</v>
      </c>
    </row>
    <row r="156" spans="1:10">
      <c r="A156" s="1">
        <v>154</v>
      </c>
      <c r="B156" t="s">
        <v>118</v>
      </c>
      <c r="C156">
        <v>37</v>
      </c>
      <c r="D156">
        <v>361.3</v>
      </c>
      <c r="E156">
        <v>0.36387644616662052</v>
      </c>
      <c r="F156" t="s">
        <v>115</v>
      </c>
      <c r="G156" t="s">
        <v>116</v>
      </c>
      <c r="H156">
        <v>0</v>
      </c>
      <c r="I156">
        <v>0</v>
      </c>
      <c r="J156">
        <v>0</v>
      </c>
    </row>
    <row r="157" spans="1:10">
      <c r="A157" s="1">
        <v>155</v>
      </c>
      <c r="B157" t="s">
        <v>118</v>
      </c>
      <c r="C157">
        <v>43</v>
      </c>
      <c r="D157">
        <v>59.5</v>
      </c>
      <c r="E157">
        <v>0.34960000000000002</v>
      </c>
      <c r="F157" t="s">
        <v>115</v>
      </c>
      <c r="G157" t="s">
        <v>116</v>
      </c>
      <c r="H157">
        <v>0</v>
      </c>
      <c r="I157">
        <v>0</v>
      </c>
      <c r="J157">
        <v>0</v>
      </c>
    </row>
    <row r="158" spans="1:10">
      <c r="A158" s="1">
        <v>156</v>
      </c>
      <c r="B158" t="s">
        <v>118</v>
      </c>
      <c r="C158">
        <v>46</v>
      </c>
      <c r="D158">
        <v>604</v>
      </c>
      <c r="E158">
        <v>0.34239999999999998</v>
      </c>
      <c r="F158" t="s">
        <v>115</v>
      </c>
      <c r="G158" t="s">
        <v>116</v>
      </c>
      <c r="H158">
        <v>0</v>
      </c>
      <c r="I158">
        <v>0</v>
      </c>
      <c r="J158">
        <v>0</v>
      </c>
    </row>
    <row r="159" spans="1:10">
      <c r="A159" s="1">
        <v>157</v>
      </c>
      <c r="B159" t="s">
        <v>118</v>
      </c>
      <c r="C159">
        <v>47</v>
      </c>
      <c r="D159">
        <v>1263</v>
      </c>
      <c r="E159">
        <v>0.34000000000000008</v>
      </c>
      <c r="F159" t="s">
        <v>115</v>
      </c>
      <c r="G159" t="s">
        <v>116</v>
      </c>
      <c r="H159">
        <v>0</v>
      </c>
      <c r="I159">
        <v>0</v>
      </c>
      <c r="J159">
        <v>0</v>
      </c>
    </row>
    <row r="160" spans="1:10">
      <c r="A160" s="1">
        <v>158</v>
      </c>
      <c r="B160" t="s">
        <v>118</v>
      </c>
      <c r="C160">
        <v>48</v>
      </c>
      <c r="D160">
        <v>663</v>
      </c>
      <c r="E160">
        <v>0.33760000000000001</v>
      </c>
      <c r="F160" t="s">
        <v>115</v>
      </c>
      <c r="G160" t="s">
        <v>116</v>
      </c>
      <c r="H160">
        <v>0</v>
      </c>
      <c r="I160">
        <v>0</v>
      </c>
      <c r="J160">
        <v>0</v>
      </c>
    </row>
    <row r="161" spans="1:10">
      <c r="A161" s="1">
        <v>159</v>
      </c>
      <c r="B161" t="s">
        <v>118</v>
      </c>
      <c r="C161">
        <v>49</v>
      </c>
      <c r="D161">
        <v>292</v>
      </c>
      <c r="E161">
        <v>0.3352</v>
      </c>
      <c r="F161" t="s">
        <v>115</v>
      </c>
      <c r="G161" t="s">
        <v>116</v>
      </c>
      <c r="H161">
        <v>0</v>
      </c>
      <c r="I161">
        <v>0</v>
      </c>
      <c r="J161">
        <v>0</v>
      </c>
    </row>
    <row r="162" spans="1:10">
      <c r="A162" s="1">
        <v>160</v>
      </c>
      <c r="B162" t="s">
        <v>118</v>
      </c>
      <c r="C162">
        <v>50</v>
      </c>
      <c r="D162">
        <v>588</v>
      </c>
      <c r="E162">
        <v>0.33279999999999998</v>
      </c>
      <c r="F162" t="s">
        <v>115</v>
      </c>
      <c r="G162" t="s">
        <v>116</v>
      </c>
      <c r="H162">
        <v>0</v>
      </c>
      <c r="I162">
        <v>0</v>
      </c>
      <c r="J162">
        <v>0</v>
      </c>
    </row>
    <row r="163" spans="1:10">
      <c r="A163" s="1">
        <v>161</v>
      </c>
      <c r="B163" t="s">
        <v>118</v>
      </c>
      <c r="C163">
        <v>51</v>
      </c>
      <c r="D163">
        <v>299</v>
      </c>
      <c r="E163">
        <v>0.33040000000000003</v>
      </c>
      <c r="F163" t="s">
        <v>115</v>
      </c>
      <c r="G163" t="s">
        <v>116</v>
      </c>
      <c r="H163">
        <v>0</v>
      </c>
      <c r="I163">
        <v>0</v>
      </c>
      <c r="J163">
        <v>0</v>
      </c>
    </row>
    <row r="164" spans="1:10">
      <c r="A164" s="1">
        <v>162</v>
      </c>
      <c r="B164" t="s">
        <v>118</v>
      </c>
      <c r="C164">
        <v>52</v>
      </c>
      <c r="D164">
        <v>295</v>
      </c>
      <c r="E164">
        <v>0.32800000000000001</v>
      </c>
      <c r="F164" t="s">
        <v>115</v>
      </c>
      <c r="G164" t="s">
        <v>116</v>
      </c>
      <c r="H164">
        <v>0</v>
      </c>
      <c r="I164">
        <v>0</v>
      </c>
      <c r="J164">
        <v>0</v>
      </c>
    </row>
    <row r="165" spans="1:10">
      <c r="A165" s="1">
        <v>163</v>
      </c>
      <c r="B165" t="s">
        <v>118</v>
      </c>
      <c r="C165">
        <v>54</v>
      </c>
      <c r="D165">
        <v>297</v>
      </c>
      <c r="E165">
        <v>0.32319999999999999</v>
      </c>
      <c r="F165" t="s">
        <v>115</v>
      </c>
      <c r="G165" t="s">
        <v>116</v>
      </c>
      <c r="H165">
        <v>0</v>
      </c>
      <c r="I165">
        <v>0</v>
      </c>
      <c r="J165">
        <v>0</v>
      </c>
    </row>
    <row r="166" spans="1:10">
      <c r="A166" s="1">
        <v>164</v>
      </c>
      <c r="B166" t="s">
        <v>118</v>
      </c>
      <c r="C166">
        <v>55</v>
      </c>
      <c r="D166">
        <v>321</v>
      </c>
      <c r="E166">
        <v>0.32079999999999997</v>
      </c>
      <c r="F166" t="s">
        <v>115</v>
      </c>
      <c r="G166" t="s">
        <v>116</v>
      </c>
      <c r="H166">
        <v>0</v>
      </c>
      <c r="I166">
        <v>0</v>
      </c>
      <c r="J166">
        <v>0</v>
      </c>
    </row>
    <row r="167" spans="1:10">
      <c r="A167" s="1">
        <v>165</v>
      </c>
      <c r="B167" t="s">
        <v>118</v>
      </c>
      <c r="C167">
        <v>57</v>
      </c>
      <c r="D167">
        <v>643.5</v>
      </c>
      <c r="E167">
        <v>0.31589743589743591</v>
      </c>
      <c r="F167" t="s">
        <v>115</v>
      </c>
      <c r="G167" t="s">
        <v>116</v>
      </c>
      <c r="H167">
        <v>0</v>
      </c>
      <c r="I167">
        <v>0</v>
      </c>
      <c r="J167">
        <v>0</v>
      </c>
    </row>
    <row r="168" spans="1:10">
      <c r="A168" s="1">
        <v>166</v>
      </c>
      <c r="B168" t="s">
        <v>118</v>
      </c>
      <c r="C168">
        <v>86</v>
      </c>
      <c r="D168">
        <v>82</v>
      </c>
      <c r="E168">
        <v>0.24771707317073169</v>
      </c>
      <c r="F168" t="s">
        <v>115</v>
      </c>
      <c r="G168" t="s">
        <v>116</v>
      </c>
      <c r="H168">
        <v>0</v>
      </c>
      <c r="I168">
        <v>0</v>
      </c>
      <c r="J168">
        <v>0</v>
      </c>
    </row>
    <row r="169" spans="1:10">
      <c r="A169" s="1">
        <v>167</v>
      </c>
      <c r="B169" t="s">
        <v>118</v>
      </c>
      <c r="C169">
        <v>105</v>
      </c>
      <c r="D169">
        <v>98</v>
      </c>
      <c r="E169">
        <v>0.20080000000000001</v>
      </c>
      <c r="F169" t="s">
        <v>115</v>
      </c>
      <c r="G169" t="s">
        <v>116</v>
      </c>
      <c r="H169">
        <v>0</v>
      </c>
      <c r="I169">
        <v>0</v>
      </c>
      <c r="J169">
        <v>0</v>
      </c>
    </row>
    <row r="170" spans="1:10">
      <c r="A170" s="1">
        <v>168</v>
      </c>
      <c r="B170" t="s">
        <v>29</v>
      </c>
      <c r="C170">
        <v>33</v>
      </c>
      <c r="D170">
        <v>1310</v>
      </c>
      <c r="E170">
        <v>0.33</v>
      </c>
      <c r="F170" t="s">
        <v>115</v>
      </c>
      <c r="G170" t="s">
        <v>116</v>
      </c>
      <c r="H170">
        <v>0</v>
      </c>
      <c r="I170">
        <v>0</v>
      </c>
      <c r="J170">
        <v>0</v>
      </c>
    </row>
    <row r="171" spans="1:10">
      <c r="A171" s="1">
        <v>169</v>
      </c>
      <c r="B171" t="s">
        <v>29</v>
      </c>
      <c r="C171">
        <v>34</v>
      </c>
      <c r="D171">
        <v>2746</v>
      </c>
      <c r="E171">
        <v>0.33</v>
      </c>
      <c r="F171" t="s">
        <v>115</v>
      </c>
      <c r="G171" t="s">
        <v>116</v>
      </c>
      <c r="H171">
        <v>0</v>
      </c>
      <c r="I171">
        <v>0</v>
      </c>
      <c r="J171">
        <v>0</v>
      </c>
    </row>
    <row r="172" spans="1:10">
      <c r="A172" s="1">
        <v>170</v>
      </c>
      <c r="B172" t="s">
        <v>29</v>
      </c>
      <c r="C172">
        <v>36</v>
      </c>
      <c r="D172">
        <v>1410</v>
      </c>
      <c r="E172">
        <v>0.33</v>
      </c>
      <c r="F172" t="s">
        <v>115</v>
      </c>
      <c r="G172" t="s">
        <v>116</v>
      </c>
      <c r="H172">
        <v>0</v>
      </c>
      <c r="I172">
        <v>0</v>
      </c>
      <c r="J172">
        <v>0</v>
      </c>
    </row>
    <row r="173" spans="1:10">
      <c r="A173" s="1">
        <v>171</v>
      </c>
      <c r="B173" t="s">
        <v>29</v>
      </c>
      <c r="C173">
        <v>37</v>
      </c>
      <c r="D173">
        <v>1360</v>
      </c>
      <c r="E173">
        <v>0.33</v>
      </c>
      <c r="F173" t="s">
        <v>115</v>
      </c>
      <c r="G173" t="s">
        <v>116</v>
      </c>
      <c r="H173">
        <v>0</v>
      </c>
      <c r="I173">
        <v>0</v>
      </c>
      <c r="J173">
        <v>0</v>
      </c>
    </row>
    <row r="174" spans="1:10">
      <c r="A174" s="1">
        <v>172</v>
      </c>
      <c r="B174" t="s">
        <v>29</v>
      </c>
      <c r="C174">
        <v>38</v>
      </c>
      <c r="D174">
        <v>1288</v>
      </c>
      <c r="E174">
        <v>0.33</v>
      </c>
      <c r="F174" t="s">
        <v>115</v>
      </c>
      <c r="G174" t="s">
        <v>116</v>
      </c>
      <c r="H174">
        <v>0</v>
      </c>
      <c r="I174">
        <v>0</v>
      </c>
      <c r="J174">
        <v>0</v>
      </c>
    </row>
    <row r="175" spans="1:10">
      <c r="A175" s="1">
        <v>173</v>
      </c>
      <c r="B175" t="s">
        <v>11</v>
      </c>
      <c r="C175">
        <v>3</v>
      </c>
      <c r="D175">
        <v>535.20000000000005</v>
      </c>
      <c r="E175">
        <v>0.40589999999999993</v>
      </c>
      <c r="F175" t="s">
        <v>115</v>
      </c>
      <c r="G175" t="s">
        <v>116</v>
      </c>
      <c r="H175">
        <v>0</v>
      </c>
      <c r="I175">
        <v>0</v>
      </c>
      <c r="J175">
        <v>0</v>
      </c>
    </row>
    <row r="176" spans="1:10">
      <c r="A176" s="1">
        <v>174</v>
      </c>
      <c r="B176" t="s">
        <v>11</v>
      </c>
      <c r="C176">
        <v>4</v>
      </c>
      <c r="D176">
        <v>167.45099999999999</v>
      </c>
      <c r="E176">
        <v>0.40479999999999988</v>
      </c>
      <c r="F176" t="s">
        <v>115</v>
      </c>
      <c r="G176" t="s">
        <v>116</v>
      </c>
      <c r="H176">
        <v>0</v>
      </c>
      <c r="I176">
        <v>0</v>
      </c>
      <c r="J176">
        <v>0</v>
      </c>
    </row>
    <row r="177" spans="1:10">
      <c r="A177" s="1">
        <v>175</v>
      </c>
      <c r="B177" t="s">
        <v>11</v>
      </c>
      <c r="C177">
        <v>5</v>
      </c>
      <c r="D177">
        <v>220.2</v>
      </c>
      <c r="E177">
        <v>0.4037</v>
      </c>
      <c r="F177" t="s">
        <v>115</v>
      </c>
      <c r="G177" t="s">
        <v>116</v>
      </c>
      <c r="H177">
        <v>0</v>
      </c>
      <c r="I177">
        <v>0</v>
      </c>
      <c r="J177">
        <v>0</v>
      </c>
    </row>
    <row r="178" spans="1:10">
      <c r="A178" s="1">
        <v>176</v>
      </c>
      <c r="B178" t="s">
        <v>11</v>
      </c>
      <c r="C178">
        <v>6</v>
      </c>
      <c r="D178">
        <v>574.30999999999995</v>
      </c>
      <c r="E178">
        <v>0.40260000000000012</v>
      </c>
      <c r="F178" t="s">
        <v>115</v>
      </c>
      <c r="G178" t="s">
        <v>116</v>
      </c>
      <c r="H178">
        <v>0</v>
      </c>
      <c r="I178">
        <v>0</v>
      </c>
      <c r="J178">
        <v>0</v>
      </c>
    </row>
    <row r="179" spans="1:10">
      <c r="A179" s="1">
        <v>177</v>
      </c>
      <c r="B179" t="s">
        <v>11</v>
      </c>
      <c r="C179">
        <v>8</v>
      </c>
      <c r="D179">
        <v>141.6</v>
      </c>
      <c r="E179">
        <v>0.40260338983050842</v>
      </c>
      <c r="F179" t="s">
        <v>115</v>
      </c>
      <c r="G179" t="s">
        <v>116</v>
      </c>
      <c r="H179">
        <v>0</v>
      </c>
      <c r="I179">
        <v>0</v>
      </c>
      <c r="J179">
        <v>0</v>
      </c>
    </row>
    <row r="180" spans="1:10">
      <c r="A180" s="1">
        <v>178</v>
      </c>
      <c r="B180" t="s">
        <v>11</v>
      </c>
      <c r="C180">
        <v>9</v>
      </c>
      <c r="D180">
        <v>454.24</v>
      </c>
      <c r="E180">
        <v>0.40355321415991552</v>
      </c>
      <c r="F180" t="s">
        <v>115</v>
      </c>
      <c r="G180" t="s">
        <v>116</v>
      </c>
      <c r="H180">
        <v>0</v>
      </c>
      <c r="I180">
        <v>0</v>
      </c>
      <c r="J180">
        <v>0</v>
      </c>
    </row>
    <row r="181" spans="1:10">
      <c r="A181" s="1">
        <v>179</v>
      </c>
      <c r="B181" t="s">
        <v>11</v>
      </c>
      <c r="C181">
        <v>10</v>
      </c>
      <c r="D181">
        <v>275.77999999999997</v>
      </c>
      <c r="E181">
        <v>0.40463723257669171</v>
      </c>
      <c r="F181" t="s">
        <v>115</v>
      </c>
      <c r="G181" t="s">
        <v>116</v>
      </c>
      <c r="H181">
        <v>0</v>
      </c>
      <c r="I181">
        <v>0</v>
      </c>
      <c r="J181">
        <v>0</v>
      </c>
    </row>
    <row r="182" spans="1:10">
      <c r="A182" s="1">
        <v>180</v>
      </c>
      <c r="B182" t="s">
        <v>11</v>
      </c>
      <c r="C182">
        <v>15</v>
      </c>
      <c r="D182">
        <v>158</v>
      </c>
      <c r="E182">
        <v>0.39478481012658229</v>
      </c>
      <c r="F182" t="s">
        <v>115</v>
      </c>
      <c r="G182" t="s">
        <v>116</v>
      </c>
      <c r="H182">
        <v>0</v>
      </c>
      <c r="I182">
        <v>0</v>
      </c>
      <c r="J182">
        <v>0</v>
      </c>
    </row>
    <row r="183" spans="1:10">
      <c r="A183" s="1">
        <v>181</v>
      </c>
      <c r="B183" t="s">
        <v>11</v>
      </c>
      <c r="C183">
        <v>16</v>
      </c>
      <c r="D183">
        <v>746.01499999999999</v>
      </c>
      <c r="E183">
        <v>0.39546587401057631</v>
      </c>
      <c r="F183" t="s">
        <v>115</v>
      </c>
      <c r="G183" t="s">
        <v>116</v>
      </c>
      <c r="H183">
        <v>0</v>
      </c>
      <c r="I183">
        <v>0</v>
      </c>
      <c r="J183">
        <v>0</v>
      </c>
    </row>
    <row r="184" spans="1:10">
      <c r="A184" s="1">
        <v>182</v>
      </c>
      <c r="B184" t="s">
        <v>11</v>
      </c>
      <c r="C184">
        <v>17</v>
      </c>
      <c r="D184">
        <v>163.9</v>
      </c>
      <c r="E184">
        <v>0.39117876754118369</v>
      </c>
      <c r="F184" t="s">
        <v>115</v>
      </c>
      <c r="G184" t="s">
        <v>116</v>
      </c>
      <c r="H184">
        <v>0</v>
      </c>
      <c r="I184">
        <v>0</v>
      </c>
      <c r="J184">
        <v>0</v>
      </c>
    </row>
    <row r="185" spans="1:10">
      <c r="A185" s="1">
        <v>183</v>
      </c>
      <c r="B185" t="s">
        <v>11</v>
      </c>
      <c r="C185">
        <v>18</v>
      </c>
      <c r="D185">
        <v>126.7</v>
      </c>
      <c r="E185">
        <v>0.38964230465666932</v>
      </c>
      <c r="F185" t="s">
        <v>115</v>
      </c>
      <c r="G185" t="s">
        <v>116</v>
      </c>
      <c r="H185">
        <v>0</v>
      </c>
      <c r="I185">
        <v>0</v>
      </c>
      <c r="J185">
        <v>0</v>
      </c>
    </row>
    <row r="186" spans="1:10">
      <c r="A186" s="1">
        <v>184</v>
      </c>
      <c r="B186" t="s">
        <v>11</v>
      </c>
      <c r="C186">
        <v>19</v>
      </c>
      <c r="D186">
        <v>110.55</v>
      </c>
      <c r="E186">
        <v>0.38829999999999998</v>
      </c>
      <c r="F186" t="s">
        <v>115</v>
      </c>
      <c r="G186" t="s">
        <v>116</v>
      </c>
      <c r="H186">
        <v>0</v>
      </c>
      <c r="I186">
        <v>0</v>
      </c>
      <c r="J186">
        <v>0</v>
      </c>
    </row>
    <row r="187" spans="1:10">
      <c r="A187" s="1">
        <v>185</v>
      </c>
      <c r="B187" t="s">
        <v>11</v>
      </c>
      <c r="C187">
        <v>20</v>
      </c>
      <c r="D187">
        <v>124.5</v>
      </c>
      <c r="E187">
        <v>0.38719999999999988</v>
      </c>
      <c r="F187" t="s">
        <v>115</v>
      </c>
      <c r="G187" t="s">
        <v>116</v>
      </c>
      <c r="H187">
        <v>0</v>
      </c>
      <c r="I187">
        <v>0</v>
      </c>
      <c r="J187">
        <v>0</v>
      </c>
    </row>
    <row r="188" spans="1:10">
      <c r="A188" s="1">
        <v>186</v>
      </c>
      <c r="B188" t="s">
        <v>11</v>
      </c>
      <c r="C188">
        <v>21</v>
      </c>
      <c r="D188">
        <v>115.8</v>
      </c>
      <c r="E188">
        <v>0.38573238341968907</v>
      </c>
      <c r="F188" t="s">
        <v>115</v>
      </c>
      <c r="G188" t="s">
        <v>116</v>
      </c>
      <c r="H188">
        <v>0</v>
      </c>
      <c r="I188">
        <v>0</v>
      </c>
      <c r="J188">
        <v>0</v>
      </c>
    </row>
    <row r="189" spans="1:10">
      <c r="A189" s="1">
        <v>187</v>
      </c>
      <c r="B189" t="s">
        <v>11</v>
      </c>
      <c r="C189">
        <v>23</v>
      </c>
      <c r="D189">
        <v>72.599999999999994</v>
      </c>
      <c r="E189">
        <v>0.39393856749311301</v>
      </c>
      <c r="F189" t="s">
        <v>115</v>
      </c>
      <c r="G189" t="s">
        <v>116</v>
      </c>
      <c r="H189">
        <v>0</v>
      </c>
      <c r="I189">
        <v>0</v>
      </c>
      <c r="J189">
        <v>0</v>
      </c>
    </row>
    <row r="190" spans="1:10">
      <c r="A190" s="1">
        <v>188</v>
      </c>
      <c r="B190" t="s">
        <v>11</v>
      </c>
      <c r="C190">
        <v>24</v>
      </c>
      <c r="D190">
        <v>53.099999999999987</v>
      </c>
      <c r="E190">
        <v>0.38279999999999997</v>
      </c>
      <c r="F190" t="s">
        <v>115</v>
      </c>
      <c r="G190" t="s">
        <v>116</v>
      </c>
      <c r="H190">
        <v>0</v>
      </c>
      <c r="I190">
        <v>0</v>
      </c>
      <c r="J190">
        <v>0</v>
      </c>
    </row>
    <row r="191" spans="1:10">
      <c r="A191" s="1">
        <v>189</v>
      </c>
      <c r="B191" t="s">
        <v>11</v>
      </c>
      <c r="C191">
        <v>25</v>
      </c>
      <c r="D191">
        <v>159.72</v>
      </c>
      <c r="E191">
        <v>0.37783385925369389</v>
      </c>
      <c r="F191" t="s">
        <v>115</v>
      </c>
      <c r="G191" t="s">
        <v>116</v>
      </c>
      <c r="H191">
        <v>0</v>
      </c>
      <c r="I191">
        <v>0</v>
      </c>
      <c r="J191">
        <v>0</v>
      </c>
    </row>
    <row r="192" spans="1:10">
      <c r="A192" s="1">
        <v>190</v>
      </c>
      <c r="B192" t="s">
        <v>11</v>
      </c>
      <c r="C192">
        <v>26</v>
      </c>
      <c r="D192">
        <v>352.5</v>
      </c>
      <c r="E192">
        <v>0.37810042553191492</v>
      </c>
      <c r="F192" t="s">
        <v>115</v>
      </c>
      <c r="G192" t="s">
        <v>116</v>
      </c>
      <c r="H192">
        <v>0</v>
      </c>
      <c r="I192">
        <v>0</v>
      </c>
      <c r="J192">
        <v>0</v>
      </c>
    </row>
    <row r="193" spans="1:10">
      <c r="A193" s="1">
        <v>191</v>
      </c>
      <c r="B193" t="s">
        <v>11</v>
      </c>
      <c r="C193">
        <v>27</v>
      </c>
      <c r="D193">
        <v>65.599999999999994</v>
      </c>
      <c r="E193">
        <v>0.37852820121951231</v>
      </c>
      <c r="F193" t="s">
        <v>115</v>
      </c>
      <c r="G193" t="s">
        <v>116</v>
      </c>
      <c r="H193">
        <v>0</v>
      </c>
      <c r="I193">
        <v>0</v>
      </c>
      <c r="J193">
        <v>0</v>
      </c>
    </row>
    <row r="194" spans="1:10">
      <c r="A194" s="1">
        <v>192</v>
      </c>
      <c r="B194" t="s">
        <v>11</v>
      </c>
      <c r="C194">
        <v>28</v>
      </c>
      <c r="D194">
        <v>261.10000000000002</v>
      </c>
      <c r="E194">
        <v>0.37812654155495989</v>
      </c>
      <c r="F194" t="s">
        <v>115</v>
      </c>
      <c r="G194" t="s">
        <v>116</v>
      </c>
      <c r="H194">
        <v>0</v>
      </c>
      <c r="I194">
        <v>0</v>
      </c>
      <c r="J194">
        <v>0</v>
      </c>
    </row>
    <row r="195" spans="1:10">
      <c r="A195" s="1">
        <v>193</v>
      </c>
      <c r="B195" t="s">
        <v>11</v>
      </c>
      <c r="C195">
        <v>29</v>
      </c>
      <c r="D195">
        <v>163</v>
      </c>
      <c r="E195">
        <v>0.37650122699386512</v>
      </c>
      <c r="F195" t="s">
        <v>115</v>
      </c>
      <c r="G195" t="s">
        <v>116</v>
      </c>
      <c r="H195">
        <v>0</v>
      </c>
      <c r="I195">
        <v>0</v>
      </c>
      <c r="J195">
        <v>0</v>
      </c>
    </row>
    <row r="196" spans="1:10">
      <c r="A196" s="1">
        <v>194</v>
      </c>
      <c r="B196" t="s">
        <v>11</v>
      </c>
      <c r="C196">
        <v>30</v>
      </c>
      <c r="D196">
        <v>97.079000000000008</v>
      </c>
      <c r="E196">
        <v>0.36577992974793722</v>
      </c>
      <c r="F196" t="s">
        <v>115</v>
      </c>
      <c r="G196" t="s">
        <v>116</v>
      </c>
      <c r="H196">
        <v>0</v>
      </c>
      <c r="I196">
        <v>0</v>
      </c>
      <c r="J196">
        <v>0</v>
      </c>
    </row>
    <row r="197" spans="1:10">
      <c r="A197" s="1">
        <v>195</v>
      </c>
      <c r="B197" t="s">
        <v>11</v>
      </c>
      <c r="C197">
        <v>33</v>
      </c>
      <c r="D197">
        <v>120.4</v>
      </c>
      <c r="E197">
        <v>0.36632416943521601</v>
      </c>
      <c r="F197" t="s">
        <v>115</v>
      </c>
      <c r="G197" t="s">
        <v>116</v>
      </c>
      <c r="H197">
        <v>0</v>
      </c>
      <c r="I197">
        <v>0</v>
      </c>
      <c r="J197">
        <v>0</v>
      </c>
    </row>
    <row r="198" spans="1:10">
      <c r="A198" s="1">
        <v>196</v>
      </c>
      <c r="B198" t="s">
        <v>11</v>
      </c>
      <c r="C198">
        <v>34</v>
      </c>
      <c r="D198">
        <v>60.491</v>
      </c>
      <c r="E198">
        <v>0.37180000000000007</v>
      </c>
      <c r="F198" t="s">
        <v>115</v>
      </c>
      <c r="G198" t="s">
        <v>116</v>
      </c>
      <c r="H198">
        <v>0</v>
      </c>
      <c r="I198">
        <v>0</v>
      </c>
      <c r="J198">
        <v>0</v>
      </c>
    </row>
    <row r="199" spans="1:10">
      <c r="A199" s="1">
        <v>197</v>
      </c>
      <c r="B199" t="s">
        <v>11</v>
      </c>
      <c r="C199">
        <v>35</v>
      </c>
      <c r="D199">
        <v>146</v>
      </c>
      <c r="E199">
        <v>0.34620000000000001</v>
      </c>
      <c r="F199" t="s">
        <v>115</v>
      </c>
      <c r="G199" t="s">
        <v>116</v>
      </c>
      <c r="H199">
        <v>0</v>
      </c>
      <c r="I199">
        <v>0</v>
      </c>
      <c r="J199">
        <v>0</v>
      </c>
    </row>
    <row r="200" spans="1:10">
      <c r="A200" s="1">
        <v>198</v>
      </c>
      <c r="B200" t="s">
        <v>11</v>
      </c>
      <c r="C200">
        <v>38</v>
      </c>
      <c r="D200">
        <v>156.5</v>
      </c>
      <c r="E200">
        <v>0.34654057507987218</v>
      </c>
      <c r="F200" t="s">
        <v>115</v>
      </c>
      <c r="G200" t="s">
        <v>116</v>
      </c>
      <c r="H200">
        <v>0</v>
      </c>
      <c r="I200">
        <v>0</v>
      </c>
      <c r="J200">
        <v>0</v>
      </c>
    </row>
    <row r="201" spans="1:10">
      <c r="A201" s="1">
        <v>199</v>
      </c>
      <c r="B201" t="s">
        <v>11</v>
      </c>
      <c r="C201">
        <v>43</v>
      </c>
      <c r="D201">
        <v>100.78</v>
      </c>
      <c r="E201">
        <v>0.36255598333002581</v>
      </c>
      <c r="F201" t="s">
        <v>115</v>
      </c>
      <c r="G201" t="s">
        <v>116</v>
      </c>
      <c r="H201">
        <v>0</v>
      </c>
      <c r="I201">
        <v>0</v>
      </c>
      <c r="J201">
        <v>0</v>
      </c>
    </row>
    <row r="202" spans="1:10">
      <c r="A202" s="1">
        <v>200</v>
      </c>
      <c r="B202" t="s">
        <v>11</v>
      </c>
      <c r="C202">
        <v>45</v>
      </c>
      <c r="D202">
        <v>619.4</v>
      </c>
      <c r="E202">
        <v>0.35966377139166938</v>
      </c>
      <c r="F202" t="s">
        <v>115</v>
      </c>
      <c r="G202" t="s">
        <v>116</v>
      </c>
      <c r="H202">
        <v>0</v>
      </c>
      <c r="I202">
        <v>0</v>
      </c>
      <c r="J202">
        <v>0</v>
      </c>
    </row>
    <row r="203" spans="1:10">
      <c r="A203" s="1">
        <v>201</v>
      </c>
      <c r="B203" t="s">
        <v>11</v>
      </c>
      <c r="C203">
        <v>47</v>
      </c>
      <c r="D203">
        <v>289.7</v>
      </c>
      <c r="E203">
        <v>0.33612530203658958</v>
      </c>
      <c r="F203" t="s">
        <v>115</v>
      </c>
      <c r="G203" t="s">
        <v>116</v>
      </c>
      <c r="H203">
        <v>0</v>
      </c>
      <c r="I203">
        <v>0</v>
      </c>
      <c r="J203">
        <v>0</v>
      </c>
    </row>
    <row r="204" spans="1:10">
      <c r="A204" s="1">
        <v>202</v>
      </c>
      <c r="B204" t="s">
        <v>11</v>
      </c>
      <c r="C204">
        <v>48</v>
      </c>
      <c r="D204">
        <v>77.7</v>
      </c>
      <c r="E204">
        <v>0.31862908622908631</v>
      </c>
      <c r="F204" t="s">
        <v>115</v>
      </c>
      <c r="G204" t="s">
        <v>116</v>
      </c>
      <c r="H204">
        <v>0</v>
      </c>
      <c r="I204">
        <v>0</v>
      </c>
      <c r="J204">
        <v>0</v>
      </c>
    </row>
    <row r="205" spans="1:10">
      <c r="A205" s="1">
        <v>203</v>
      </c>
      <c r="B205" t="s">
        <v>11</v>
      </c>
      <c r="C205">
        <v>49</v>
      </c>
      <c r="D205">
        <v>183</v>
      </c>
      <c r="E205">
        <v>0.32711420765027333</v>
      </c>
      <c r="F205" t="s">
        <v>115</v>
      </c>
      <c r="G205" t="s">
        <v>116</v>
      </c>
      <c r="H205">
        <v>0</v>
      </c>
      <c r="I205">
        <v>0</v>
      </c>
      <c r="J205">
        <v>0</v>
      </c>
    </row>
    <row r="206" spans="1:10">
      <c r="A206" s="1">
        <v>204</v>
      </c>
      <c r="B206" t="s">
        <v>11</v>
      </c>
      <c r="C206">
        <v>51</v>
      </c>
      <c r="D206">
        <v>173.28649999999999</v>
      </c>
      <c r="E206">
        <v>0.33726830520554107</v>
      </c>
      <c r="F206" t="s">
        <v>115</v>
      </c>
      <c r="G206" t="s">
        <v>116</v>
      </c>
      <c r="H206">
        <v>0</v>
      </c>
      <c r="I206">
        <v>0</v>
      </c>
      <c r="J206">
        <v>0</v>
      </c>
    </row>
    <row r="207" spans="1:10">
      <c r="A207" s="1">
        <v>205</v>
      </c>
      <c r="B207" t="s">
        <v>11</v>
      </c>
      <c r="C207">
        <v>61</v>
      </c>
      <c r="D207">
        <v>149</v>
      </c>
      <c r="E207">
        <v>0.33307986577181209</v>
      </c>
      <c r="F207" t="s">
        <v>115</v>
      </c>
      <c r="G207" t="s">
        <v>116</v>
      </c>
      <c r="H207">
        <v>0</v>
      </c>
      <c r="I207">
        <v>0</v>
      </c>
      <c r="J207">
        <v>0</v>
      </c>
    </row>
    <row r="208" spans="1:10">
      <c r="A208" s="1">
        <v>206</v>
      </c>
      <c r="B208" t="s">
        <v>11</v>
      </c>
      <c r="C208">
        <v>68</v>
      </c>
      <c r="D208">
        <v>94.6</v>
      </c>
      <c r="E208">
        <v>0.33404418604651159</v>
      </c>
      <c r="F208" t="s">
        <v>115</v>
      </c>
      <c r="G208" t="s">
        <v>116</v>
      </c>
      <c r="H208">
        <v>0</v>
      </c>
      <c r="I208">
        <v>0</v>
      </c>
      <c r="J208">
        <v>0</v>
      </c>
    </row>
    <row r="209" spans="1:10">
      <c r="A209" s="1">
        <v>207</v>
      </c>
      <c r="B209" t="s">
        <v>11</v>
      </c>
      <c r="C209">
        <v>74</v>
      </c>
      <c r="D209">
        <v>135.5</v>
      </c>
      <c r="E209">
        <v>0.32421992619926199</v>
      </c>
      <c r="F209" t="s">
        <v>115</v>
      </c>
      <c r="G209" t="s">
        <v>116</v>
      </c>
      <c r="H209">
        <v>0</v>
      </c>
      <c r="I209">
        <v>0</v>
      </c>
      <c r="J209">
        <v>0</v>
      </c>
    </row>
    <row r="210" spans="1:10">
      <c r="A210" s="1">
        <v>208</v>
      </c>
      <c r="B210" t="s">
        <v>30</v>
      </c>
      <c r="C210">
        <v>18</v>
      </c>
      <c r="D210">
        <v>632.34350900002573</v>
      </c>
      <c r="E210">
        <v>1</v>
      </c>
      <c r="F210" t="s">
        <v>115</v>
      </c>
      <c r="G210" t="s">
        <v>116</v>
      </c>
      <c r="H210">
        <v>0</v>
      </c>
      <c r="I210">
        <v>0</v>
      </c>
      <c r="J210">
        <v>0</v>
      </c>
    </row>
    <row r="211" spans="1:10">
      <c r="A211" s="1">
        <v>209</v>
      </c>
      <c r="B211" t="s">
        <v>30</v>
      </c>
      <c r="C211">
        <v>19</v>
      </c>
      <c r="D211">
        <v>122.12090299971361</v>
      </c>
      <c r="E211">
        <v>1</v>
      </c>
      <c r="F211" t="s">
        <v>115</v>
      </c>
      <c r="G211" t="s">
        <v>116</v>
      </c>
      <c r="H211">
        <v>0</v>
      </c>
      <c r="I211">
        <v>0</v>
      </c>
      <c r="J211">
        <v>0</v>
      </c>
    </row>
    <row r="212" spans="1:10">
      <c r="A212" s="1">
        <v>210</v>
      </c>
      <c r="B212" t="s">
        <v>30</v>
      </c>
      <c r="C212">
        <v>20</v>
      </c>
      <c r="D212">
        <v>93.425178999952891</v>
      </c>
      <c r="E212">
        <v>1</v>
      </c>
      <c r="F212" t="s">
        <v>115</v>
      </c>
      <c r="G212" t="s">
        <v>116</v>
      </c>
      <c r="H212">
        <v>0</v>
      </c>
      <c r="I212">
        <v>0</v>
      </c>
      <c r="J212">
        <v>0</v>
      </c>
    </row>
    <row r="213" spans="1:10">
      <c r="A213" s="1">
        <v>211</v>
      </c>
      <c r="B213" t="s">
        <v>30</v>
      </c>
      <c r="C213">
        <v>21</v>
      </c>
      <c r="D213">
        <v>171.92399300525551</v>
      </c>
      <c r="E213">
        <v>1</v>
      </c>
      <c r="F213" t="s">
        <v>115</v>
      </c>
      <c r="G213" t="s">
        <v>116</v>
      </c>
      <c r="H213">
        <v>0</v>
      </c>
      <c r="I213">
        <v>0</v>
      </c>
      <c r="J213">
        <v>0</v>
      </c>
    </row>
    <row r="214" spans="1:10">
      <c r="A214" s="1">
        <v>212</v>
      </c>
      <c r="B214" t="s">
        <v>30</v>
      </c>
      <c r="C214">
        <v>17</v>
      </c>
      <c r="D214">
        <v>139</v>
      </c>
      <c r="E214">
        <v>1</v>
      </c>
      <c r="F214" t="s">
        <v>115</v>
      </c>
      <c r="G214" t="s">
        <v>116</v>
      </c>
      <c r="H214">
        <v>0</v>
      </c>
      <c r="I214">
        <v>0</v>
      </c>
      <c r="J214">
        <v>0</v>
      </c>
    </row>
    <row r="215" spans="1:10">
      <c r="A215" s="1">
        <v>213</v>
      </c>
      <c r="B215" t="s">
        <v>30</v>
      </c>
      <c r="C215">
        <v>16</v>
      </c>
      <c r="D215">
        <v>669.99999999999989</v>
      </c>
      <c r="E215">
        <v>1</v>
      </c>
      <c r="F215" t="s">
        <v>115</v>
      </c>
      <c r="G215" t="s">
        <v>116</v>
      </c>
      <c r="H215">
        <v>0</v>
      </c>
      <c r="I215">
        <v>0</v>
      </c>
      <c r="J215">
        <v>0</v>
      </c>
    </row>
    <row r="216" spans="1:10">
      <c r="A216" s="1">
        <v>214</v>
      </c>
      <c r="B216" t="s">
        <v>30</v>
      </c>
      <c r="C216">
        <v>15</v>
      </c>
      <c r="D216">
        <v>951.00000000000011</v>
      </c>
      <c r="E216">
        <v>1</v>
      </c>
      <c r="F216" t="s">
        <v>115</v>
      </c>
      <c r="G216" t="s">
        <v>116</v>
      </c>
      <c r="H216">
        <v>0</v>
      </c>
      <c r="I216">
        <v>0</v>
      </c>
      <c r="J216">
        <v>0</v>
      </c>
    </row>
    <row r="217" spans="1:10">
      <c r="A217" s="1">
        <v>215</v>
      </c>
      <c r="B217" t="s">
        <v>30</v>
      </c>
      <c r="C217">
        <v>14</v>
      </c>
      <c r="D217">
        <v>843</v>
      </c>
      <c r="E217">
        <v>1</v>
      </c>
      <c r="F217" t="s">
        <v>115</v>
      </c>
      <c r="G217" t="s">
        <v>116</v>
      </c>
      <c r="H217">
        <v>0</v>
      </c>
      <c r="I217">
        <v>0</v>
      </c>
      <c r="J217">
        <v>0</v>
      </c>
    </row>
    <row r="218" spans="1:10">
      <c r="A218" s="1">
        <v>216</v>
      </c>
      <c r="B218" t="s">
        <v>30</v>
      </c>
      <c r="C218">
        <v>13</v>
      </c>
      <c r="D218">
        <v>1271</v>
      </c>
      <c r="E218">
        <v>1</v>
      </c>
      <c r="F218" t="s">
        <v>115</v>
      </c>
      <c r="G218" t="s">
        <v>116</v>
      </c>
      <c r="H218">
        <v>0</v>
      </c>
      <c r="I218">
        <v>0</v>
      </c>
      <c r="J218">
        <v>0</v>
      </c>
    </row>
    <row r="219" spans="1:10">
      <c r="A219" s="1">
        <v>217</v>
      </c>
      <c r="B219" t="s">
        <v>30</v>
      </c>
      <c r="C219">
        <v>12</v>
      </c>
      <c r="D219">
        <v>1950.0000000000002</v>
      </c>
      <c r="E219">
        <v>1</v>
      </c>
      <c r="F219" t="s">
        <v>115</v>
      </c>
      <c r="G219" t="s">
        <v>116</v>
      </c>
      <c r="H219">
        <v>0</v>
      </c>
      <c r="I219">
        <v>0</v>
      </c>
      <c r="J219">
        <v>0</v>
      </c>
    </row>
    <row r="220" spans="1:10">
      <c r="A220" s="1">
        <v>218</v>
      </c>
      <c r="B220" t="s">
        <v>30</v>
      </c>
      <c r="C220">
        <v>11</v>
      </c>
      <c r="D220">
        <v>4446.0000000000009</v>
      </c>
      <c r="E220">
        <v>1</v>
      </c>
      <c r="F220" t="s">
        <v>115</v>
      </c>
      <c r="G220" t="s">
        <v>116</v>
      </c>
      <c r="H220">
        <v>0</v>
      </c>
      <c r="I220">
        <v>0</v>
      </c>
      <c r="J220">
        <v>0</v>
      </c>
    </row>
    <row r="221" spans="1:10">
      <c r="A221" s="1">
        <v>219</v>
      </c>
      <c r="B221" t="s">
        <v>30</v>
      </c>
      <c r="C221">
        <v>10</v>
      </c>
      <c r="D221">
        <v>7439.9999999999991</v>
      </c>
      <c r="E221">
        <v>1</v>
      </c>
      <c r="F221" t="s">
        <v>115</v>
      </c>
      <c r="G221" t="s">
        <v>116</v>
      </c>
      <c r="H221">
        <v>0</v>
      </c>
      <c r="I221">
        <v>0</v>
      </c>
      <c r="J221">
        <v>0</v>
      </c>
    </row>
    <row r="222" spans="1:10">
      <c r="A222" s="1">
        <v>220</v>
      </c>
      <c r="B222" t="s">
        <v>30</v>
      </c>
      <c r="C222">
        <v>9</v>
      </c>
      <c r="D222">
        <v>7422.9999999999982</v>
      </c>
      <c r="E222">
        <v>1</v>
      </c>
      <c r="F222" t="s">
        <v>115</v>
      </c>
      <c r="G222" t="s">
        <v>116</v>
      </c>
      <c r="H222">
        <v>0</v>
      </c>
      <c r="I222">
        <v>0</v>
      </c>
      <c r="J222">
        <v>0</v>
      </c>
    </row>
    <row r="223" spans="1:10">
      <c r="A223" s="1">
        <v>221</v>
      </c>
      <c r="B223" t="s">
        <v>30</v>
      </c>
      <c r="C223">
        <v>8</v>
      </c>
      <c r="D223">
        <v>7604.0000000000027</v>
      </c>
      <c r="E223">
        <v>1</v>
      </c>
      <c r="F223" t="s">
        <v>115</v>
      </c>
      <c r="G223" t="s">
        <v>116</v>
      </c>
      <c r="H223">
        <v>0</v>
      </c>
      <c r="I223">
        <v>0</v>
      </c>
      <c r="J223">
        <v>0</v>
      </c>
    </row>
    <row r="224" spans="1:10">
      <c r="A224" s="1">
        <v>222</v>
      </c>
      <c r="B224" t="s">
        <v>30</v>
      </c>
      <c r="C224">
        <v>7</v>
      </c>
      <c r="D224">
        <v>3676.9999999999995</v>
      </c>
      <c r="E224">
        <v>1</v>
      </c>
      <c r="F224" t="s">
        <v>115</v>
      </c>
      <c r="G224" t="s">
        <v>116</v>
      </c>
      <c r="H224">
        <v>0</v>
      </c>
      <c r="I224">
        <v>0</v>
      </c>
      <c r="J224">
        <v>0</v>
      </c>
    </row>
    <row r="225" spans="1:10">
      <c r="A225" s="1">
        <v>223</v>
      </c>
      <c r="B225" t="s">
        <v>30</v>
      </c>
      <c r="C225">
        <v>6</v>
      </c>
      <c r="D225">
        <v>1189.9999999999977</v>
      </c>
      <c r="E225">
        <v>1</v>
      </c>
      <c r="F225" t="s">
        <v>115</v>
      </c>
      <c r="G225" t="s">
        <v>116</v>
      </c>
      <c r="H225">
        <v>0</v>
      </c>
      <c r="I225">
        <v>0</v>
      </c>
      <c r="J225">
        <v>0</v>
      </c>
    </row>
    <row r="226" spans="1:10">
      <c r="A226" s="1">
        <v>224</v>
      </c>
      <c r="B226" t="s">
        <v>30</v>
      </c>
      <c r="C226">
        <v>5</v>
      </c>
      <c r="D226">
        <v>1323.9999999999982</v>
      </c>
      <c r="E226">
        <v>1</v>
      </c>
      <c r="F226" t="s">
        <v>115</v>
      </c>
      <c r="G226" t="s">
        <v>116</v>
      </c>
      <c r="H226">
        <v>0</v>
      </c>
      <c r="I226">
        <v>0</v>
      </c>
      <c r="J226">
        <v>0</v>
      </c>
    </row>
    <row r="227" spans="1:10">
      <c r="A227" s="1">
        <v>225</v>
      </c>
      <c r="B227" t="s">
        <v>30</v>
      </c>
      <c r="C227">
        <v>4</v>
      </c>
      <c r="D227">
        <v>1455.0000000000055</v>
      </c>
      <c r="E227">
        <v>1</v>
      </c>
      <c r="F227" t="s">
        <v>115</v>
      </c>
      <c r="G227" t="s">
        <v>116</v>
      </c>
      <c r="H227">
        <v>0</v>
      </c>
      <c r="I227">
        <v>0</v>
      </c>
      <c r="J227">
        <v>0</v>
      </c>
    </row>
    <row r="228" spans="1:10">
      <c r="A228" s="1">
        <v>226</v>
      </c>
      <c r="B228" t="s">
        <v>30</v>
      </c>
      <c r="C228">
        <v>3</v>
      </c>
      <c r="D228">
        <v>1612.9999999999995</v>
      </c>
      <c r="E228">
        <v>1</v>
      </c>
      <c r="F228" t="s">
        <v>115</v>
      </c>
      <c r="G228" t="s">
        <v>116</v>
      </c>
      <c r="H228">
        <v>0</v>
      </c>
      <c r="I228">
        <v>0</v>
      </c>
      <c r="J228">
        <v>0</v>
      </c>
    </row>
    <row r="229" spans="1:10">
      <c r="A229" s="1">
        <v>227</v>
      </c>
      <c r="B229" t="s">
        <v>30</v>
      </c>
      <c r="C229">
        <v>2</v>
      </c>
      <c r="D229">
        <v>2914.9999999999991</v>
      </c>
      <c r="E229">
        <v>1</v>
      </c>
      <c r="F229" t="s">
        <v>115</v>
      </c>
      <c r="G229" t="s">
        <v>116</v>
      </c>
      <c r="H229">
        <v>0</v>
      </c>
      <c r="I229">
        <v>0</v>
      </c>
      <c r="J229">
        <v>0</v>
      </c>
    </row>
    <row r="230" spans="1:10">
      <c r="A230" s="1">
        <v>228</v>
      </c>
      <c r="B230" t="s">
        <v>30</v>
      </c>
      <c r="C230">
        <v>1</v>
      </c>
      <c r="D230">
        <v>3888.9999999999959</v>
      </c>
      <c r="E230">
        <v>1</v>
      </c>
      <c r="F230" t="s">
        <v>115</v>
      </c>
      <c r="G230" t="s">
        <v>116</v>
      </c>
      <c r="H230">
        <v>0</v>
      </c>
      <c r="I230">
        <v>0</v>
      </c>
      <c r="J230">
        <v>0</v>
      </c>
    </row>
    <row r="231" spans="1:10">
      <c r="A231" s="1">
        <v>229</v>
      </c>
      <c r="B231" t="s">
        <v>30</v>
      </c>
      <c r="C231">
        <v>0</v>
      </c>
      <c r="D231">
        <v>4625</v>
      </c>
      <c r="E231">
        <v>1</v>
      </c>
      <c r="F231" t="s">
        <v>115</v>
      </c>
      <c r="G231" t="s">
        <v>116</v>
      </c>
      <c r="H231">
        <v>0</v>
      </c>
      <c r="I231">
        <v>0</v>
      </c>
      <c r="J231">
        <v>0</v>
      </c>
    </row>
    <row r="232" spans="1:10">
      <c r="A232" s="1">
        <v>230</v>
      </c>
      <c r="B232" t="s">
        <v>14</v>
      </c>
      <c r="C232">
        <v>11</v>
      </c>
      <c r="D232">
        <v>35</v>
      </c>
      <c r="E232">
        <v>1</v>
      </c>
      <c r="F232" t="s">
        <v>115</v>
      </c>
      <c r="G232" t="s">
        <v>116</v>
      </c>
      <c r="H232">
        <v>0</v>
      </c>
      <c r="I232">
        <v>0</v>
      </c>
      <c r="J232">
        <v>0</v>
      </c>
    </row>
    <row r="233" spans="1:10">
      <c r="A233" s="1">
        <v>231</v>
      </c>
      <c r="B233" t="s">
        <v>14</v>
      </c>
      <c r="C233">
        <v>10</v>
      </c>
      <c r="D233">
        <v>45</v>
      </c>
      <c r="E233">
        <v>1</v>
      </c>
      <c r="F233" t="s">
        <v>115</v>
      </c>
      <c r="G233" t="s">
        <v>116</v>
      </c>
      <c r="H233">
        <v>0</v>
      </c>
      <c r="I233">
        <v>0</v>
      </c>
      <c r="J233">
        <v>0</v>
      </c>
    </row>
    <row r="234" spans="1:10">
      <c r="A234" s="1">
        <v>232</v>
      </c>
      <c r="B234" t="s">
        <v>14</v>
      </c>
      <c r="C234">
        <v>9</v>
      </c>
      <c r="D234">
        <v>108</v>
      </c>
      <c r="E234">
        <v>1</v>
      </c>
      <c r="F234" t="s">
        <v>115</v>
      </c>
      <c r="G234" t="s">
        <v>116</v>
      </c>
      <c r="H234">
        <v>0</v>
      </c>
      <c r="I234">
        <v>0</v>
      </c>
      <c r="J234">
        <v>0</v>
      </c>
    </row>
    <row r="235" spans="1:10">
      <c r="A235" s="1">
        <v>233</v>
      </c>
      <c r="B235" t="s">
        <v>14</v>
      </c>
      <c r="C235">
        <v>8</v>
      </c>
      <c r="D235">
        <v>80.000000000000014</v>
      </c>
      <c r="E235">
        <v>1</v>
      </c>
      <c r="F235" t="s">
        <v>115</v>
      </c>
      <c r="G235" t="s">
        <v>116</v>
      </c>
      <c r="H235">
        <v>0</v>
      </c>
      <c r="I235">
        <v>0</v>
      </c>
      <c r="J235">
        <v>0</v>
      </c>
    </row>
    <row r="236" spans="1:10">
      <c r="A236" s="1">
        <v>234</v>
      </c>
      <c r="B236" t="s">
        <v>14</v>
      </c>
      <c r="C236">
        <v>7</v>
      </c>
      <c r="D236">
        <v>240</v>
      </c>
      <c r="E236">
        <v>1</v>
      </c>
      <c r="F236" t="s">
        <v>115</v>
      </c>
      <c r="G236" t="s">
        <v>116</v>
      </c>
      <c r="H236">
        <v>0</v>
      </c>
      <c r="I236">
        <v>0</v>
      </c>
      <c r="J236">
        <v>0</v>
      </c>
    </row>
    <row r="237" spans="1:10">
      <c r="A237" s="1">
        <v>235</v>
      </c>
      <c r="B237" t="s">
        <v>14</v>
      </c>
      <c r="C237">
        <v>6</v>
      </c>
      <c r="D237">
        <v>486</v>
      </c>
      <c r="E237">
        <v>1</v>
      </c>
      <c r="F237" t="s">
        <v>115</v>
      </c>
      <c r="G237" t="s">
        <v>116</v>
      </c>
      <c r="H237">
        <v>0</v>
      </c>
      <c r="I237">
        <v>0</v>
      </c>
      <c r="J237">
        <v>0</v>
      </c>
    </row>
    <row r="238" spans="1:10">
      <c r="A238" s="1">
        <v>236</v>
      </c>
      <c r="B238" t="s">
        <v>14</v>
      </c>
      <c r="C238">
        <v>5</v>
      </c>
      <c r="D238">
        <v>2288.9999999999995</v>
      </c>
      <c r="E238">
        <v>1</v>
      </c>
      <c r="F238" t="s">
        <v>115</v>
      </c>
      <c r="G238" t="s">
        <v>116</v>
      </c>
      <c r="H238">
        <v>0</v>
      </c>
      <c r="I238">
        <v>0</v>
      </c>
      <c r="J238">
        <v>0</v>
      </c>
    </row>
    <row r="239" spans="1:10">
      <c r="A239" s="1">
        <v>237</v>
      </c>
      <c r="B239" t="s">
        <v>14</v>
      </c>
      <c r="C239">
        <v>4</v>
      </c>
      <c r="D239">
        <v>869.00000000000023</v>
      </c>
      <c r="E239">
        <v>1</v>
      </c>
      <c r="F239" t="s">
        <v>115</v>
      </c>
      <c r="G239" t="s">
        <v>116</v>
      </c>
      <c r="H239">
        <v>0</v>
      </c>
      <c r="I239">
        <v>0</v>
      </c>
      <c r="J239">
        <v>0</v>
      </c>
    </row>
    <row r="240" spans="1:10">
      <c r="A240" s="1">
        <v>238</v>
      </c>
      <c r="B240" t="s">
        <v>14</v>
      </c>
      <c r="C240">
        <v>3</v>
      </c>
      <c r="D240">
        <v>1253.9999999999995</v>
      </c>
      <c r="E240">
        <v>1</v>
      </c>
      <c r="F240" t="s">
        <v>115</v>
      </c>
      <c r="G240" t="s">
        <v>116</v>
      </c>
      <c r="H240">
        <v>0</v>
      </c>
      <c r="I240">
        <v>0</v>
      </c>
      <c r="J240">
        <v>0</v>
      </c>
    </row>
    <row r="241" spans="1:10">
      <c r="A241" s="1">
        <v>239</v>
      </c>
      <c r="B241" t="s">
        <v>14</v>
      </c>
      <c r="C241">
        <v>2</v>
      </c>
      <c r="D241">
        <v>987.00000000000011</v>
      </c>
      <c r="E241">
        <v>1</v>
      </c>
      <c r="F241" t="s">
        <v>115</v>
      </c>
      <c r="G241" t="s">
        <v>116</v>
      </c>
      <c r="H241">
        <v>0</v>
      </c>
      <c r="I241">
        <v>0</v>
      </c>
      <c r="J241">
        <v>0</v>
      </c>
    </row>
    <row r="242" spans="1:10">
      <c r="A242" s="1">
        <v>240</v>
      </c>
      <c r="B242" t="s">
        <v>14</v>
      </c>
      <c r="C242">
        <v>1</v>
      </c>
      <c r="D242">
        <v>1134.9999999999998</v>
      </c>
      <c r="E242">
        <v>1</v>
      </c>
      <c r="F242" t="s">
        <v>115</v>
      </c>
      <c r="G242" t="s">
        <v>116</v>
      </c>
      <c r="H242">
        <v>0</v>
      </c>
      <c r="I242">
        <v>0</v>
      </c>
      <c r="J242">
        <v>0</v>
      </c>
    </row>
    <row r="243" spans="1:10">
      <c r="A243" s="1">
        <v>241</v>
      </c>
      <c r="B243" t="s">
        <v>14</v>
      </c>
      <c r="C243">
        <v>0</v>
      </c>
      <c r="D243">
        <v>246.00000000000045</v>
      </c>
      <c r="E243">
        <v>1</v>
      </c>
      <c r="F243" t="s">
        <v>115</v>
      </c>
      <c r="G243" t="s">
        <v>116</v>
      </c>
      <c r="H243">
        <v>0</v>
      </c>
      <c r="I243">
        <v>0</v>
      </c>
      <c r="J243">
        <v>0</v>
      </c>
    </row>
    <row r="244" spans="1:10">
      <c r="A244" s="1">
        <v>242</v>
      </c>
      <c r="B244" t="s">
        <v>31</v>
      </c>
      <c r="C244">
        <v>18</v>
      </c>
      <c r="D244">
        <v>1434.670999999991</v>
      </c>
      <c r="E244">
        <v>1</v>
      </c>
      <c r="F244" t="s">
        <v>115</v>
      </c>
      <c r="G244" t="s">
        <v>116</v>
      </c>
      <c r="H244">
        <v>0</v>
      </c>
      <c r="I244">
        <v>0</v>
      </c>
      <c r="J244">
        <v>0</v>
      </c>
    </row>
    <row r="245" spans="1:10">
      <c r="A245" s="1">
        <v>243</v>
      </c>
      <c r="B245" t="s">
        <v>31</v>
      </c>
      <c r="C245">
        <v>19</v>
      </c>
      <c r="D245">
        <v>1773.431999999988</v>
      </c>
      <c r="E245">
        <v>1</v>
      </c>
      <c r="F245" t="s">
        <v>115</v>
      </c>
      <c r="G245" t="s">
        <v>116</v>
      </c>
      <c r="H245">
        <v>0</v>
      </c>
      <c r="I245">
        <v>0</v>
      </c>
      <c r="J245">
        <v>0</v>
      </c>
    </row>
    <row r="246" spans="1:10">
      <c r="A246" s="1">
        <v>244</v>
      </c>
      <c r="B246" t="s">
        <v>31</v>
      </c>
      <c r="C246">
        <v>20</v>
      </c>
      <c r="D246">
        <v>1975.2310899999791</v>
      </c>
      <c r="E246">
        <v>1</v>
      </c>
      <c r="F246" t="s">
        <v>115</v>
      </c>
      <c r="G246" t="s">
        <v>116</v>
      </c>
      <c r="H246">
        <v>0</v>
      </c>
      <c r="I246">
        <v>0</v>
      </c>
      <c r="J246">
        <v>0</v>
      </c>
    </row>
    <row r="247" spans="1:10">
      <c r="A247" s="1">
        <v>245</v>
      </c>
      <c r="B247" t="s">
        <v>31</v>
      </c>
      <c r="C247">
        <v>21</v>
      </c>
      <c r="D247">
        <v>1648.599299999983</v>
      </c>
      <c r="E247">
        <v>1</v>
      </c>
      <c r="F247" t="s">
        <v>115</v>
      </c>
      <c r="G247" t="s">
        <v>116</v>
      </c>
      <c r="H247">
        <v>0</v>
      </c>
      <c r="I247">
        <v>0</v>
      </c>
      <c r="J247">
        <v>0</v>
      </c>
    </row>
    <row r="248" spans="1:10">
      <c r="A248" s="1">
        <v>246</v>
      </c>
      <c r="B248" t="s">
        <v>31</v>
      </c>
      <c r="C248">
        <v>22</v>
      </c>
      <c r="D248">
        <v>853.38700000000108</v>
      </c>
      <c r="E248">
        <v>1</v>
      </c>
      <c r="F248" t="s">
        <v>115</v>
      </c>
      <c r="G248" t="s">
        <v>116</v>
      </c>
      <c r="H248">
        <v>0</v>
      </c>
      <c r="I248">
        <v>0</v>
      </c>
      <c r="J248">
        <v>0</v>
      </c>
    </row>
    <row r="249" spans="1:10">
      <c r="A249" s="1">
        <v>247</v>
      </c>
      <c r="B249" t="s">
        <v>31</v>
      </c>
      <c r="C249">
        <v>23</v>
      </c>
      <c r="D249">
        <v>564.2280000000012</v>
      </c>
      <c r="E249">
        <v>1</v>
      </c>
      <c r="F249" t="s">
        <v>115</v>
      </c>
      <c r="G249" t="s">
        <v>116</v>
      </c>
      <c r="H249">
        <v>0</v>
      </c>
      <c r="I249">
        <v>0</v>
      </c>
      <c r="J249">
        <v>0</v>
      </c>
    </row>
    <row r="250" spans="1:10">
      <c r="A250" s="1">
        <v>248</v>
      </c>
      <c r="B250" t="s">
        <v>31</v>
      </c>
      <c r="C250">
        <v>24</v>
      </c>
      <c r="D250">
        <v>233.93539999999979</v>
      </c>
      <c r="E250">
        <v>1</v>
      </c>
      <c r="F250" t="s">
        <v>115</v>
      </c>
      <c r="G250" t="s">
        <v>116</v>
      </c>
      <c r="H250">
        <v>0</v>
      </c>
      <c r="I250">
        <v>0</v>
      </c>
      <c r="J250">
        <v>0</v>
      </c>
    </row>
    <row r="251" spans="1:10">
      <c r="A251" s="1">
        <v>249</v>
      </c>
      <c r="B251" t="s">
        <v>31</v>
      </c>
      <c r="C251">
        <v>25</v>
      </c>
      <c r="D251">
        <v>170.86999999999969</v>
      </c>
      <c r="E251">
        <v>1</v>
      </c>
      <c r="F251" t="s">
        <v>115</v>
      </c>
      <c r="G251" t="s">
        <v>116</v>
      </c>
      <c r="H251">
        <v>0</v>
      </c>
      <c r="I251">
        <v>0</v>
      </c>
      <c r="J251">
        <v>0</v>
      </c>
    </row>
    <row r="252" spans="1:10">
      <c r="A252" s="1">
        <v>250</v>
      </c>
      <c r="B252" t="s">
        <v>31</v>
      </c>
      <c r="C252">
        <v>26</v>
      </c>
      <c r="D252">
        <v>157.89503999999971</v>
      </c>
      <c r="E252">
        <v>1</v>
      </c>
      <c r="F252" t="s">
        <v>115</v>
      </c>
      <c r="G252" t="s">
        <v>116</v>
      </c>
      <c r="H252">
        <v>0</v>
      </c>
      <c r="I252">
        <v>0</v>
      </c>
      <c r="J252">
        <v>0</v>
      </c>
    </row>
    <row r="253" spans="1:10">
      <c r="A253" s="1">
        <v>251</v>
      </c>
      <c r="B253" t="s">
        <v>31</v>
      </c>
      <c r="C253">
        <v>27</v>
      </c>
      <c r="D253">
        <v>172.67299999999949</v>
      </c>
      <c r="E253">
        <v>1</v>
      </c>
      <c r="F253" t="s">
        <v>115</v>
      </c>
      <c r="G253" t="s">
        <v>116</v>
      </c>
      <c r="H253">
        <v>0</v>
      </c>
      <c r="I253">
        <v>0</v>
      </c>
      <c r="J253">
        <v>0</v>
      </c>
    </row>
    <row r="254" spans="1:10">
      <c r="A254" s="1">
        <v>252</v>
      </c>
      <c r="B254" t="s">
        <v>31</v>
      </c>
      <c r="C254">
        <v>28</v>
      </c>
      <c r="D254">
        <v>133.46791999999999</v>
      </c>
      <c r="E254">
        <v>1</v>
      </c>
      <c r="F254" t="s">
        <v>115</v>
      </c>
      <c r="G254" t="s">
        <v>116</v>
      </c>
      <c r="H254">
        <v>0</v>
      </c>
      <c r="I254">
        <v>0</v>
      </c>
      <c r="J254">
        <v>0</v>
      </c>
    </row>
    <row r="255" spans="1:10">
      <c r="A255" s="1">
        <v>253</v>
      </c>
      <c r="B255" t="s">
        <v>31</v>
      </c>
      <c r="C255">
        <v>17</v>
      </c>
      <c r="D255">
        <v>2404.9999999999995</v>
      </c>
      <c r="E255">
        <v>1</v>
      </c>
      <c r="F255" t="s">
        <v>115</v>
      </c>
      <c r="G255" t="s">
        <v>116</v>
      </c>
      <c r="H255">
        <v>0</v>
      </c>
      <c r="I255">
        <v>0</v>
      </c>
      <c r="J255">
        <v>0</v>
      </c>
    </row>
    <row r="256" spans="1:10">
      <c r="A256" s="1">
        <v>254</v>
      </c>
      <c r="B256" t="s">
        <v>31</v>
      </c>
      <c r="C256">
        <v>16</v>
      </c>
      <c r="D256">
        <v>2038.0000000000002</v>
      </c>
      <c r="E256">
        <v>1</v>
      </c>
      <c r="F256" t="s">
        <v>115</v>
      </c>
      <c r="G256" t="s">
        <v>116</v>
      </c>
      <c r="H256">
        <v>0</v>
      </c>
      <c r="I256">
        <v>0</v>
      </c>
      <c r="J256">
        <v>0</v>
      </c>
    </row>
    <row r="257" spans="1:10">
      <c r="A257" s="1">
        <v>255</v>
      </c>
      <c r="B257" t="s">
        <v>31</v>
      </c>
      <c r="C257">
        <v>15</v>
      </c>
      <c r="D257">
        <v>1829.0000000000007</v>
      </c>
      <c r="E257">
        <v>1</v>
      </c>
      <c r="F257" t="s">
        <v>115</v>
      </c>
      <c r="G257" t="s">
        <v>116</v>
      </c>
      <c r="H257">
        <v>0</v>
      </c>
      <c r="I257">
        <v>0</v>
      </c>
      <c r="J257">
        <v>0</v>
      </c>
    </row>
    <row r="258" spans="1:10">
      <c r="A258" s="1">
        <v>256</v>
      </c>
      <c r="B258" t="s">
        <v>31</v>
      </c>
      <c r="C258">
        <v>14</v>
      </c>
      <c r="D258">
        <v>2225.9999999999991</v>
      </c>
      <c r="E258">
        <v>1</v>
      </c>
      <c r="F258" t="s">
        <v>115</v>
      </c>
      <c r="G258" t="s">
        <v>116</v>
      </c>
      <c r="H258">
        <v>0</v>
      </c>
      <c r="I258">
        <v>0</v>
      </c>
      <c r="J258">
        <v>0</v>
      </c>
    </row>
    <row r="259" spans="1:10">
      <c r="A259" s="1">
        <v>257</v>
      </c>
      <c r="B259" t="s">
        <v>31</v>
      </c>
      <c r="C259">
        <v>13</v>
      </c>
      <c r="D259">
        <v>1641.9999999999995</v>
      </c>
      <c r="E259">
        <v>1</v>
      </c>
      <c r="F259" t="s">
        <v>115</v>
      </c>
      <c r="G259" t="s">
        <v>116</v>
      </c>
      <c r="H259">
        <v>0</v>
      </c>
      <c r="I259">
        <v>0</v>
      </c>
      <c r="J259">
        <v>0</v>
      </c>
    </row>
    <row r="260" spans="1:10">
      <c r="A260" s="1">
        <v>258</v>
      </c>
      <c r="B260" t="s">
        <v>31</v>
      </c>
      <c r="C260">
        <v>12</v>
      </c>
      <c r="D260">
        <v>678.0000000000008</v>
      </c>
      <c r="E260">
        <v>1</v>
      </c>
      <c r="F260" t="s">
        <v>115</v>
      </c>
      <c r="G260" t="s">
        <v>116</v>
      </c>
      <c r="H260">
        <v>0</v>
      </c>
      <c r="I260">
        <v>0</v>
      </c>
      <c r="J260">
        <v>0</v>
      </c>
    </row>
    <row r="261" spans="1:10">
      <c r="A261" s="1">
        <v>259</v>
      </c>
      <c r="B261" t="s">
        <v>31</v>
      </c>
      <c r="C261">
        <v>11</v>
      </c>
      <c r="D261">
        <v>2902.9999999999986</v>
      </c>
      <c r="E261">
        <v>1</v>
      </c>
      <c r="F261" t="s">
        <v>115</v>
      </c>
      <c r="G261" t="s">
        <v>116</v>
      </c>
      <c r="H261">
        <v>0</v>
      </c>
      <c r="I261">
        <v>0</v>
      </c>
      <c r="J261">
        <v>0</v>
      </c>
    </row>
    <row r="262" spans="1:10">
      <c r="A262" s="1">
        <v>260</v>
      </c>
      <c r="B262" t="s">
        <v>31</v>
      </c>
      <c r="C262">
        <v>10</v>
      </c>
      <c r="D262">
        <v>1126.0000000000011</v>
      </c>
      <c r="E262">
        <v>1</v>
      </c>
      <c r="F262" t="s">
        <v>115</v>
      </c>
      <c r="G262" t="s">
        <v>116</v>
      </c>
      <c r="H262">
        <v>0</v>
      </c>
      <c r="I262">
        <v>0</v>
      </c>
      <c r="J262">
        <v>0</v>
      </c>
    </row>
    <row r="263" spans="1:10">
      <c r="A263" s="1">
        <v>261</v>
      </c>
      <c r="B263" t="s">
        <v>31</v>
      </c>
      <c r="C263">
        <v>9</v>
      </c>
      <c r="D263">
        <v>1756.0000000000002</v>
      </c>
      <c r="E263">
        <v>1</v>
      </c>
      <c r="F263" t="s">
        <v>115</v>
      </c>
      <c r="G263" t="s">
        <v>116</v>
      </c>
      <c r="H263">
        <v>0</v>
      </c>
      <c r="I263">
        <v>0</v>
      </c>
      <c r="J263">
        <v>0</v>
      </c>
    </row>
    <row r="264" spans="1:10">
      <c r="A264" s="1">
        <v>262</v>
      </c>
      <c r="B264" t="s">
        <v>31</v>
      </c>
      <c r="C264">
        <v>8</v>
      </c>
      <c r="D264">
        <v>1977.0000000000002</v>
      </c>
      <c r="E264">
        <v>1</v>
      </c>
      <c r="F264" t="s">
        <v>115</v>
      </c>
      <c r="G264" t="s">
        <v>116</v>
      </c>
      <c r="H264">
        <v>0</v>
      </c>
      <c r="I264">
        <v>0</v>
      </c>
      <c r="J264">
        <v>0</v>
      </c>
    </row>
    <row r="265" spans="1:10">
      <c r="A265" s="1">
        <v>263</v>
      </c>
      <c r="B265" t="s">
        <v>31</v>
      </c>
      <c r="C265">
        <v>7</v>
      </c>
      <c r="D265">
        <v>2413.0000000000005</v>
      </c>
      <c r="E265">
        <v>1</v>
      </c>
      <c r="F265" t="s">
        <v>115</v>
      </c>
      <c r="G265" t="s">
        <v>116</v>
      </c>
      <c r="H265">
        <v>0</v>
      </c>
      <c r="I265">
        <v>0</v>
      </c>
      <c r="J265">
        <v>0</v>
      </c>
    </row>
    <row r="266" spans="1:10">
      <c r="A266" s="1">
        <v>264</v>
      </c>
      <c r="B266" t="s">
        <v>31</v>
      </c>
      <c r="C266">
        <v>6</v>
      </c>
      <c r="D266">
        <v>4652.0000000000009</v>
      </c>
      <c r="E266">
        <v>1</v>
      </c>
      <c r="F266" t="s">
        <v>115</v>
      </c>
      <c r="G266" t="s">
        <v>116</v>
      </c>
      <c r="H266">
        <v>0</v>
      </c>
      <c r="I266">
        <v>0</v>
      </c>
      <c r="J266">
        <v>0</v>
      </c>
    </row>
    <row r="267" spans="1:10">
      <c r="A267" s="1">
        <v>265</v>
      </c>
      <c r="B267" t="s">
        <v>31</v>
      </c>
      <c r="C267">
        <v>5</v>
      </c>
      <c r="D267">
        <v>3675.999999999995</v>
      </c>
      <c r="E267">
        <v>1</v>
      </c>
      <c r="F267" t="s">
        <v>115</v>
      </c>
      <c r="G267" t="s">
        <v>116</v>
      </c>
      <c r="H267">
        <v>0</v>
      </c>
      <c r="I267">
        <v>0</v>
      </c>
      <c r="J267">
        <v>0</v>
      </c>
    </row>
    <row r="268" spans="1:10">
      <c r="A268" s="1">
        <v>266</v>
      </c>
      <c r="B268" t="s">
        <v>31</v>
      </c>
      <c r="C268">
        <v>4</v>
      </c>
      <c r="D268">
        <v>3986.0000000000041</v>
      </c>
      <c r="E268">
        <v>1</v>
      </c>
      <c r="F268" t="s">
        <v>115</v>
      </c>
      <c r="G268" t="s">
        <v>116</v>
      </c>
      <c r="H268">
        <v>0</v>
      </c>
      <c r="I268">
        <v>0</v>
      </c>
      <c r="J268">
        <v>0</v>
      </c>
    </row>
    <row r="269" spans="1:10">
      <c r="A269" s="1">
        <v>267</v>
      </c>
      <c r="B269" t="s">
        <v>31</v>
      </c>
      <c r="C269">
        <v>3</v>
      </c>
      <c r="D269">
        <v>4890.9999999999982</v>
      </c>
      <c r="E269">
        <v>1</v>
      </c>
      <c r="F269" t="s">
        <v>115</v>
      </c>
      <c r="G269" t="s">
        <v>116</v>
      </c>
      <c r="H269">
        <v>0</v>
      </c>
      <c r="I269">
        <v>0</v>
      </c>
      <c r="J269">
        <v>0</v>
      </c>
    </row>
    <row r="270" spans="1:10">
      <c r="A270" s="1">
        <v>268</v>
      </c>
      <c r="B270" t="s">
        <v>31</v>
      </c>
      <c r="C270">
        <v>2</v>
      </c>
      <c r="D270">
        <v>2154.0000000000036</v>
      </c>
      <c r="E270">
        <v>1</v>
      </c>
      <c r="F270" t="s">
        <v>115</v>
      </c>
      <c r="G270" t="s">
        <v>116</v>
      </c>
      <c r="H270">
        <v>0</v>
      </c>
      <c r="I270">
        <v>0</v>
      </c>
      <c r="J270">
        <v>0</v>
      </c>
    </row>
    <row r="271" spans="1:10">
      <c r="A271" s="1">
        <v>269</v>
      </c>
      <c r="B271" t="s">
        <v>31</v>
      </c>
      <c r="C271">
        <v>1</v>
      </c>
      <c r="D271">
        <v>864.99999999999488</v>
      </c>
      <c r="E271">
        <v>1</v>
      </c>
      <c r="F271" t="s">
        <v>115</v>
      </c>
      <c r="G271" t="s">
        <v>116</v>
      </c>
      <c r="H271">
        <v>0</v>
      </c>
      <c r="I271">
        <v>0</v>
      </c>
      <c r="J271">
        <v>0</v>
      </c>
    </row>
    <row r="272" spans="1:10">
      <c r="A272" s="1">
        <v>270</v>
      </c>
      <c r="B272" t="s">
        <v>31</v>
      </c>
      <c r="C272">
        <v>0</v>
      </c>
      <c r="D272">
        <v>1221.0000000000036</v>
      </c>
      <c r="E272">
        <v>1</v>
      </c>
      <c r="F272" t="s">
        <v>115</v>
      </c>
      <c r="G272" t="s">
        <v>116</v>
      </c>
      <c r="H272">
        <v>0</v>
      </c>
      <c r="I272">
        <v>0</v>
      </c>
      <c r="J272">
        <v>0</v>
      </c>
    </row>
  </sheetData>
  <autoFilter ref="B1:J272" xr:uid="{00000000-0001-0000-0000-000000000000}">
    <sortState xmlns:xlrd2="http://schemas.microsoft.com/office/spreadsheetml/2017/richdata2" ref="B2:J272">
      <sortCondition ref="B1:B272"/>
    </sortState>
  </autoFilter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F7B89-3137-4483-A2A9-559F907A912A}">
  <dimension ref="A1:I34"/>
  <sheetViews>
    <sheetView zoomScaleNormal="100" workbookViewId="0">
      <selection activeCell="J17" sqref="J17"/>
    </sheetView>
  </sheetViews>
  <sheetFormatPr defaultRowHeight="15"/>
  <cols>
    <col min="2" max="2" width="30.28515625" customWidth="1"/>
    <col min="7" max="7" width="12.28515625" customWidth="1"/>
  </cols>
  <sheetData>
    <row r="1" spans="1:9"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113</v>
      </c>
      <c r="I1" s="9" t="s">
        <v>8</v>
      </c>
    </row>
    <row r="2" spans="1:9">
      <c r="A2" s="1">
        <v>0</v>
      </c>
      <c r="B2" s="3" t="s">
        <v>22</v>
      </c>
      <c r="C2">
        <v>15.931034482758621</v>
      </c>
      <c r="D2">
        <v>3232.5011333333327</v>
      </c>
      <c r="E2">
        <v>0.34272443418830756</v>
      </c>
      <c r="F2" t="s">
        <v>115</v>
      </c>
      <c r="G2" t="s">
        <v>116</v>
      </c>
      <c r="H2">
        <v>0</v>
      </c>
      <c r="I2">
        <v>0</v>
      </c>
    </row>
    <row r="3" spans="1:9">
      <c r="A3" s="1">
        <v>1</v>
      </c>
      <c r="B3" s="3" t="s">
        <v>26</v>
      </c>
      <c r="C3">
        <v>22.6</v>
      </c>
      <c r="D3">
        <v>5667.1096666666672</v>
      </c>
      <c r="E3">
        <v>0.53574015315305035</v>
      </c>
      <c r="F3" t="s">
        <v>115</v>
      </c>
      <c r="G3" t="s">
        <v>116</v>
      </c>
      <c r="H3">
        <v>0</v>
      </c>
      <c r="I3">
        <v>0</v>
      </c>
    </row>
    <row r="4" spans="1:9">
      <c r="A4" s="1">
        <v>2</v>
      </c>
      <c r="B4" s="3" t="s">
        <v>23</v>
      </c>
      <c r="C4">
        <v>31.09375</v>
      </c>
      <c r="D4">
        <v>7561.9233333333332</v>
      </c>
      <c r="E4">
        <v>0.40441882371711696</v>
      </c>
      <c r="F4" t="s">
        <v>115</v>
      </c>
      <c r="G4" t="s">
        <v>116</v>
      </c>
      <c r="H4">
        <v>0</v>
      </c>
      <c r="I4">
        <v>0</v>
      </c>
    </row>
    <row r="5" spans="1:9">
      <c r="A5" s="1">
        <v>3</v>
      </c>
      <c r="B5" s="3" t="s">
        <v>117</v>
      </c>
      <c r="C5">
        <v>36.705882352941174</v>
      </c>
      <c r="D5">
        <v>1217.6333333333334</v>
      </c>
      <c r="E5">
        <v>0.35399077947121271</v>
      </c>
      <c r="F5" t="s">
        <v>115</v>
      </c>
      <c r="G5" t="s">
        <v>116</v>
      </c>
      <c r="H5">
        <v>0</v>
      </c>
      <c r="I5">
        <v>0</v>
      </c>
    </row>
    <row r="6" spans="1:9">
      <c r="A6" s="1">
        <v>4</v>
      </c>
      <c r="B6" s="3" t="s">
        <v>28</v>
      </c>
      <c r="C6">
        <v>56.971428571428568</v>
      </c>
      <c r="D6">
        <v>2940.2499999999995</v>
      </c>
      <c r="E6">
        <v>0.78107425817078524</v>
      </c>
      <c r="F6" t="s">
        <v>115</v>
      </c>
      <c r="G6" t="s">
        <v>116</v>
      </c>
      <c r="H6">
        <v>0</v>
      </c>
      <c r="I6">
        <v>0</v>
      </c>
    </row>
    <row r="7" spans="1:9">
      <c r="A7" s="1">
        <v>5</v>
      </c>
      <c r="B7" s="3" t="s">
        <v>118</v>
      </c>
      <c r="C7">
        <v>38.666666666666664</v>
      </c>
      <c r="D7">
        <v>6926.3399999999992</v>
      </c>
      <c r="E7">
        <v>0.36004079896582097</v>
      </c>
      <c r="F7" t="s">
        <v>115</v>
      </c>
      <c r="G7" t="s">
        <v>116</v>
      </c>
      <c r="H7">
        <v>0</v>
      </c>
      <c r="I7">
        <v>0</v>
      </c>
    </row>
    <row r="8" spans="1:9">
      <c r="A8" s="1">
        <v>6</v>
      </c>
      <c r="B8" s="3" t="s">
        <v>29</v>
      </c>
      <c r="C8">
        <v>35.6</v>
      </c>
      <c r="D8">
        <v>2704.6666666666665</v>
      </c>
      <c r="E8">
        <v>0.33</v>
      </c>
      <c r="F8" t="s">
        <v>115</v>
      </c>
      <c r="G8" t="s">
        <v>116</v>
      </c>
      <c r="H8">
        <v>0</v>
      </c>
      <c r="I8">
        <v>0</v>
      </c>
    </row>
    <row r="9" spans="1:9">
      <c r="A9" s="1">
        <v>7</v>
      </c>
      <c r="B9" s="3" t="s">
        <v>11</v>
      </c>
      <c r="C9">
        <v>28.828571428571429</v>
      </c>
      <c r="D9">
        <v>2481.7674999999999</v>
      </c>
      <c r="E9">
        <v>0.37300777447121924</v>
      </c>
      <c r="F9" t="s">
        <v>115</v>
      </c>
      <c r="G9" t="s">
        <v>116</v>
      </c>
      <c r="H9">
        <v>0</v>
      </c>
      <c r="I9">
        <v>0</v>
      </c>
    </row>
    <row r="10" spans="1:9">
      <c r="A10" s="1">
        <v>8</v>
      </c>
      <c r="B10" s="3" t="s">
        <v>30</v>
      </c>
      <c r="C10">
        <v>10.5</v>
      </c>
      <c r="D10">
        <v>18148.271194668316</v>
      </c>
      <c r="E10">
        <v>1</v>
      </c>
      <c r="F10" t="s">
        <v>115</v>
      </c>
      <c r="G10" t="s">
        <v>116</v>
      </c>
      <c r="H10">
        <v>0</v>
      </c>
      <c r="I10">
        <v>0</v>
      </c>
    </row>
    <row r="11" spans="1:9">
      <c r="A11" s="1">
        <v>9</v>
      </c>
      <c r="B11" s="3" t="s">
        <v>14</v>
      </c>
      <c r="C11">
        <v>5.5</v>
      </c>
      <c r="D11">
        <v>2591.3333333333335</v>
      </c>
      <c r="E11">
        <v>1</v>
      </c>
      <c r="F11" t="s">
        <v>115</v>
      </c>
      <c r="G11" t="s">
        <v>116</v>
      </c>
      <c r="H11">
        <v>0</v>
      </c>
      <c r="I11">
        <v>0</v>
      </c>
    </row>
    <row r="12" spans="1:9">
      <c r="A12" s="1">
        <v>10</v>
      </c>
      <c r="B12" s="3" t="s">
        <v>31</v>
      </c>
      <c r="C12">
        <v>14</v>
      </c>
      <c r="D12">
        <v>17185.463249999983</v>
      </c>
      <c r="E12">
        <v>1</v>
      </c>
      <c r="F12" t="s">
        <v>115</v>
      </c>
      <c r="G12" t="s">
        <v>116</v>
      </c>
      <c r="H12">
        <v>0</v>
      </c>
      <c r="I12">
        <v>0</v>
      </c>
    </row>
    <row r="13" spans="1:9">
      <c r="A13" s="1">
        <v>11</v>
      </c>
      <c r="B13" s="3" t="s">
        <v>22</v>
      </c>
      <c r="C13">
        <f>C2-5</f>
        <v>10.931034482758621</v>
      </c>
      <c r="D13">
        <v>3232.5011333333327</v>
      </c>
      <c r="E13">
        <v>0.34272443418830756</v>
      </c>
      <c r="F13" t="s">
        <v>115</v>
      </c>
      <c r="G13" t="s">
        <v>116</v>
      </c>
      <c r="H13">
        <v>0</v>
      </c>
      <c r="I13">
        <v>0</v>
      </c>
    </row>
    <row r="14" spans="1:9">
      <c r="A14" s="1">
        <v>12</v>
      </c>
      <c r="B14" s="3" t="s">
        <v>26</v>
      </c>
      <c r="C14">
        <f t="shared" ref="C14:C23" si="0">C3-5</f>
        <v>17.600000000000001</v>
      </c>
      <c r="D14">
        <v>5667.1096666666672</v>
      </c>
      <c r="E14">
        <v>0.53574015315305035</v>
      </c>
      <c r="F14" t="s">
        <v>115</v>
      </c>
      <c r="G14" t="s">
        <v>116</v>
      </c>
      <c r="H14">
        <v>0</v>
      </c>
      <c r="I14">
        <v>0</v>
      </c>
    </row>
    <row r="15" spans="1:9">
      <c r="A15" s="1">
        <v>13</v>
      </c>
      <c r="B15" s="3" t="s">
        <v>23</v>
      </c>
      <c r="C15">
        <f t="shared" si="0"/>
        <v>26.09375</v>
      </c>
      <c r="D15">
        <v>7561.9233333333332</v>
      </c>
      <c r="E15">
        <v>0.40441882371711696</v>
      </c>
      <c r="F15" t="s">
        <v>115</v>
      </c>
      <c r="G15" t="s">
        <v>116</v>
      </c>
      <c r="H15">
        <v>0</v>
      </c>
      <c r="I15">
        <v>0</v>
      </c>
    </row>
    <row r="16" spans="1:9">
      <c r="A16" s="1">
        <v>14</v>
      </c>
      <c r="B16" s="3" t="s">
        <v>117</v>
      </c>
      <c r="C16">
        <f t="shared" si="0"/>
        <v>31.705882352941174</v>
      </c>
      <c r="D16">
        <v>1217.6333333333334</v>
      </c>
      <c r="E16">
        <v>0.35399077947121271</v>
      </c>
      <c r="F16" t="s">
        <v>115</v>
      </c>
      <c r="G16" t="s">
        <v>116</v>
      </c>
      <c r="H16">
        <v>0</v>
      </c>
      <c r="I16">
        <v>0</v>
      </c>
    </row>
    <row r="17" spans="1:9">
      <c r="A17" s="1">
        <v>15</v>
      </c>
      <c r="B17" s="3" t="s">
        <v>28</v>
      </c>
      <c r="C17">
        <f t="shared" si="0"/>
        <v>51.971428571428568</v>
      </c>
      <c r="D17">
        <v>2940.2499999999995</v>
      </c>
      <c r="E17">
        <v>0.78107425817078524</v>
      </c>
      <c r="F17" t="s">
        <v>115</v>
      </c>
      <c r="G17" t="s">
        <v>116</v>
      </c>
      <c r="H17">
        <v>0</v>
      </c>
      <c r="I17">
        <v>0</v>
      </c>
    </row>
    <row r="18" spans="1:9">
      <c r="A18" s="1">
        <v>16</v>
      </c>
      <c r="B18" s="3" t="s">
        <v>118</v>
      </c>
      <c r="C18">
        <f t="shared" si="0"/>
        <v>33.666666666666664</v>
      </c>
      <c r="D18">
        <v>6926.3399999999992</v>
      </c>
      <c r="E18">
        <v>0.36004079896582097</v>
      </c>
      <c r="F18" t="s">
        <v>115</v>
      </c>
      <c r="G18" t="s">
        <v>116</v>
      </c>
      <c r="H18">
        <v>0</v>
      </c>
      <c r="I18">
        <v>0</v>
      </c>
    </row>
    <row r="19" spans="1:9">
      <c r="A19" s="1">
        <v>17</v>
      </c>
      <c r="B19" s="3" t="s">
        <v>29</v>
      </c>
      <c r="C19">
        <f t="shared" si="0"/>
        <v>30.6</v>
      </c>
      <c r="D19">
        <v>2704.6666666666665</v>
      </c>
      <c r="E19">
        <v>0.33</v>
      </c>
      <c r="F19" t="s">
        <v>115</v>
      </c>
      <c r="G19" t="s">
        <v>116</v>
      </c>
      <c r="H19">
        <v>0</v>
      </c>
      <c r="I19">
        <v>0</v>
      </c>
    </row>
    <row r="20" spans="1:9">
      <c r="A20" s="1">
        <v>18</v>
      </c>
      <c r="B20" s="3" t="s">
        <v>11</v>
      </c>
      <c r="C20">
        <f t="shared" si="0"/>
        <v>23.828571428571429</v>
      </c>
      <c r="D20">
        <v>2481.7674999999999</v>
      </c>
      <c r="E20">
        <v>0.37300777447121924</v>
      </c>
      <c r="F20" t="s">
        <v>115</v>
      </c>
      <c r="G20" t="s">
        <v>116</v>
      </c>
      <c r="H20">
        <v>0</v>
      </c>
      <c r="I20">
        <v>0</v>
      </c>
    </row>
    <row r="21" spans="1:9">
      <c r="A21" s="1">
        <v>19</v>
      </c>
      <c r="B21" s="3" t="s">
        <v>30</v>
      </c>
      <c r="C21">
        <f t="shared" si="0"/>
        <v>5.5</v>
      </c>
      <c r="D21">
        <v>18148.271194668316</v>
      </c>
      <c r="E21">
        <v>1</v>
      </c>
      <c r="F21" t="s">
        <v>115</v>
      </c>
      <c r="G21" t="s">
        <v>116</v>
      </c>
      <c r="H21">
        <v>0</v>
      </c>
      <c r="I21">
        <v>0</v>
      </c>
    </row>
    <row r="22" spans="1:9">
      <c r="A22" s="1">
        <v>20</v>
      </c>
      <c r="B22" s="3" t="s">
        <v>14</v>
      </c>
      <c r="C22">
        <f t="shared" si="0"/>
        <v>0.5</v>
      </c>
      <c r="D22">
        <v>2591.3333333333335</v>
      </c>
      <c r="E22">
        <v>1</v>
      </c>
      <c r="F22" t="s">
        <v>115</v>
      </c>
      <c r="G22" t="s">
        <v>116</v>
      </c>
      <c r="H22">
        <v>0</v>
      </c>
      <c r="I22">
        <v>0</v>
      </c>
    </row>
    <row r="23" spans="1:9">
      <c r="A23" s="1">
        <v>21</v>
      </c>
      <c r="B23" s="3" t="s">
        <v>31</v>
      </c>
      <c r="C23">
        <f t="shared" si="0"/>
        <v>9</v>
      </c>
      <c r="D23">
        <v>17185.463249999983</v>
      </c>
      <c r="E23">
        <v>1</v>
      </c>
      <c r="F23" t="s">
        <v>115</v>
      </c>
      <c r="G23" t="s">
        <v>116</v>
      </c>
      <c r="H23">
        <v>0</v>
      </c>
      <c r="I23">
        <v>0</v>
      </c>
    </row>
    <row r="24" spans="1:9">
      <c r="A24" s="1">
        <v>22</v>
      </c>
      <c r="B24" s="3" t="s">
        <v>22</v>
      </c>
      <c r="C24">
        <f>C2+5</f>
        <v>20.931034482758619</v>
      </c>
      <c r="D24">
        <v>3232.5011333333327</v>
      </c>
      <c r="E24">
        <v>0.34272443418830756</v>
      </c>
      <c r="F24" t="s">
        <v>115</v>
      </c>
      <c r="G24" t="s">
        <v>116</v>
      </c>
      <c r="H24">
        <v>0</v>
      </c>
      <c r="I24">
        <v>0</v>
      </c>
    </row>
    <row r="25" spans="1:9">
      <c r="A25" s="1">
        <v>23</v>
      </c>
      <c r="B25" s="3" t="s">
        <v>26</v>
      </c>
      <c r="C25">
        <f t="shared" ref="C25:C34" si="1">C3+5</f>
        <v>27.6</v>
      </c>
      <c r="D25">
        <v>5667.1096666666672</v>
      </c>
      <c r="E25">
        <v>0.53574015315305035</v>
      </c>
      <c r="F25" t="s">
        <v>115</v>
      </c>
      <c r="G25" t="s">
        <v>116</v>
      </c>
      <c r="H25">
        <v>0</v>
      </c>
      <c r="I25">
        <v>0</v>
      </c>
    </row>
    <row r="26" spans="1:9">
      <c r="A26" s="1">
        <v>24</v>
      </c>
      <c r="B26" s="3" t="s">
        <v>23</v>
      </c>
      <c r="C26">
        <f t="shared" si="1"/>
        <v>36.09375</v>
      </c>
      <c r="D26">
        <v>7561.9233333333332</v>
      </c>
      <c r="E26">
        <v>0.40441882371711696</v>
      </c>
      <c r="F26" t="s">
        <v>115</v>
      </c>
      <c r="G26" t="s">
        <v>116</v>
      </c>
      <c r="H26">
        <v>0</v>
      </c>
      <c r="I26">
        <v>0</v>
      </c>
    </row>
    <row r="27" spans="1:9">
      <c r="A27" s="1">
        <v>25</v>
      </c>
      <c r="B27" s="3" t="s">
        <v>117</v>
      </c>
      <c r="C27">
        <f t="shared" si="1"/>
        <v>41.705882352941174</v>
      </c>
      <c r="D27">
        <v>1217.6333333333334</v>
      </c>
      <c r="E27">
        <v>0.35399077947121271</v>
      </c>
      <c r="F27" t="s">
        <v>115</v>
      </c>
      <c r="G27" t="s">
        <v>116</v>
      </c>
      <c r="H27">
        <v>0</v>
      </c>
      <c r="I27">
        <v>0</v>
      </c>
    </row>
    <row r="28" spans="1:9">
      <c r="A28" s="1">
        <v>26</v>
      </c>
      <c r="B28" s="3" t="s">
        <v>28</v>
      </c>
      <c r="C28">
        <f t="shared" si="1"/>
        <v>61.971428571428568</v>
      </c>
      <c r="D28">
        <v>2940.2499999999995</v>
      </c>
      <c r="E28">
        <v>0.78107425817078524</v>
      </c>
      <c r="F28" t="s">
        <v>115</v>
      </c>
      <c r="G28" t="s">
        <v>116</v>
      </c>
      <c r="H28">
        <v>0</v>
      </c>
      <c r="I28">
        <v>0</v>
      </c>
    </row>
    <row r="29" spans="1:9">
      <c r="A29" s="1">
        <v>27</v>
      </c>
      <c r="B29" s="3" t="s">
        <v>118</v>
      </c>
      <c r="C29">
        <f t="shared" si="1"/>
        <v>43.666666666666664</v>
      </c>
      <c r="D29">
        <v>6926.3399999999992</v>
      </c>
      <c r="E29">
        <v>0.36004079896582097</v>
      </c>
      <c r="F29" t="s">
        <v>115</v>
      </c>
      <c r="G29" t="s">
        <v>116</v>
      </c>
      <c r="H29">
        <v>0</v>
      </c>
      <c r="I29">
        <v>0</v>
      </c>
    </row>
    <row r="30" spans="1:9">
      <c r="A30" s="1">
        <v>28</v>
      </c>
      <c r="B30" s="3" t="s">
        <v>29</v>
      </c>
      <c r="C30">
        <f t="shared" si="1"/>
        <v>40.6</v>
      </c>
      <c r="D30">
        <v>2704.6666666666665</v>
      </c>
      <c r="E30">
        <v>0.33</v>
      </c>
      <c r="F30" t="s">
        <v>115</v>
      </c>
      <c r="G30" t="s">
        <v>116</v>
      </c>
      <c r="H30">
        <v>0</v>
      </c>
      <c r="I30">
        <v>0</v>
      </c>
    </row>
    <row r="31" spans="1:9">
      <c r="A31" s="1">
        <v>29</v>
      </c>
      <c r="B31" s="3" t="s">
        <v>11</v>
      </c>
      <c r="C31">
        <f t="shared" si="1"/>
        <v>33.828571428571429</v>
      </c>
      <c r="D31">
        <v>2481.7674999999999</v>
      </c>
      <c r="E31">
        <v>0.37300777447121924</v>
      </c>
      <c r="F31" t="s">
        <v>115</v>
      </c>
      <c r="G31" t="s">
        <v>116</v>
      </c>
      <c r="H31">
        <v>0</v>
      </c>
      <c r="I31">
        <v>0</v>
      </c>
    </row>
    <row r="32" spans="1:9">
      <c r="A32" s="1">
        <v>30</v>
      </c>
      <c r="B32" s="3" t="s">
        <v>30</v>
      </c>
      <c r="C32">
        <f t="shared" si="1"/>
        <v>15.5</v>
      </c>
      <c r="D32">
        <v>18148.271194668316</v>
      </c>
      <c r="E32">
        <v>1</v>
      </c>
      <c r="F32" t="s">
        <v>115</v>
      </c>
      <c r="G32" t="s">
        <v>116</v>
      </c>
      <c r="H32">
        <v>0</v>
      </c>
      <c r="I32">
        <v>0</v>
      </c>
    </row>
    <row r="33" spans="1:9">
      <c r="A33" s="1">
        <v>31</v>
      </c>
      <c r="B33" s="3" t="s">
        <v>14</v>
      </c>
      <c r="C33">
        <f t="shared" si="1"/>
        <v>10.5</v>
      </c>
      <c r="D33">
        <v>2591.3333333333335</v>
      </c>
      <c r="E33">
        <v>1</v>
      </c>
      <c r="F33" t="s">
        <v>115</v>
      </c>
      <c r="G33" t="s">
        <v>116</v>
      </c>
      <c r="H33">
        <v>0</v>
      </c>
      <c r="I33">
        <v>0</v>
      </c>
    </row>
    <row r="34" spans="1:9">
      <c r="A34" s="1">
        <v>32</v>
      </c>
      <c r="B34" s="3" t="s">
        <v>31</v>
      </c>
      <c r="C34">
        <f t="shared" si="1"/>
        <v>19</v>
      </c>
      <c r="D34">
        <v>17185.463249999983</v>
      </c>
      <c r="E34">
        <v>1</v>
      </c>
      <c r="F34" t="s">
        <v>115</v>
      </c>
      <c r="G34" t="s">
        <v>116</v>
      </c>
      <c r="H34">
        <v>0</v>
      </c>
      <c r="I34">
        <v>0</v>
      </c>
    </row>
  </sheetData>
  <phoneticPr fontId="2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B8469-CA4D-495B-9C72-1DE61BB7D586}">
  <dimension ref="A1:Z17"/>
  <sheetViews>
    <sheetView workbookViewId="0">
      <selection activeCell="P35" sqref="P35"/>
    </sheetView>
  </sheetViews>
  <sheetFormatPr defaultRowHeight="15"/>
  <cols>
    <col min="2" max="2" width="30.140625" customWidth="1"/>
    <col min="7" max="7" width="17.7109375" customWidth="1"/>
    <col min="8" max="8" width="13.28515625" customWidth="1"/>
    <col min="9" max="10" width="5.140625" customWidth="1"/>
    <col min="11" max="11" width="10.140625" customWidth="1"/>
    <col min="12" max="12" width="13.7109375" customWidth="1"/>
    <col min="13" max="14" width="5.42578125" customWidth="1"/>
  </cols>
  <sheetData>
    <row r="1" spans="1:26">
      <c r="A1" t="s">
        <v>119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10</v>
      </c>
      <c r="M1" s="1" t="s">
        <v>120</v>
      </c>
      <c r="N1" s="5" t="s">
        <v>121</v>
      </c>
      <c r="O1" s="5" t="s">
        <v>122</v>
      </c>
    </row>
    <row r="2" spans="1:26">
      <c r="A2" s="1">
        <v>0</v>
      </c>
      <c r="B2" s="3" t="s">
        <v>22</v>
      </c>
      <c r="C2" s="4">
        <v>8</v>
      </c>
      <c r="D2" s="4">
        <v>7908</v>
      </c>
      <c r="E2" s="8"/>
      <c r="F2" t="s">
        <v>115</v>
      </c>
      <c r="G2" t="s">
        <v>116</v>
      </c>
      <c r="O2" t="s">
        <v>123</v>
      </c>
    </row>
    <row r="3" spans="1:26">
      <c r="A3" s="1">
        <v>1</v>
      </c>
      <c r="B3" s="3" t="s">
        <v>23</v>
      </c>
      <c r="C3" s="4">
        <v>8</v>
      </c>
      <c r="D3" s="4">
        <v>22051</v>
      </c>
      <c r="E3" s="8">
        <v>0.4</v>
      </c>
      <c r="F3" t="s">
        <v>115</v>
      </c>
      <c r="G3" t="s">
        <v>116</v>
      </c>
      <c r="N3">
        <v>2.5</v>
      </c>
      <c r="O3" s="7" t="s">
        <v>124</v>
      </c>
    </row>
    <row r="4" spans="1:26">
      <c r="A4" s="1">
        <v>2</v>
      </c>
      <c r="B4" s="3" t="s">
        <v>117</v>
      </c>
      <c r="C4" s="4">
        <v>8</v>
      </c>
      <c r="D4" s="4">
        <v>3747</v>
      </c>
      <c r="E4" s="8">
        <v>0.35</v>
      </c>
      <c r="F4" t="s">
        <v>115</v>
      </c>
      <c r="G4" t="s">
        <v>116</v>
      </c>
      <c r="N4">
        <v>1.2</v>
      </c>
      <c r="O4" s="6" t="s">
        <v>125</v>
      </c>
    </row>
    <row r="5" spans="1:26">
      <c r="A5" s="1">
        <v>3</v>
      </c>
      <c r="B5" s="3" t="s">
        <v>126</v>
      </c>
      <c r="C5" s="4">
        <v>8</v>
      </c>
      <c r="D5" s="4">
        <v>8000</v>
      </c>
      <c r="E5" s="8"/>
      <c r="F5" t="s">
        <v>115</v>
      </c>
      <c r="G5" t="s">
        <v>116</v>
      </c>
      <c r="H5">
        <v>30000</v>
      </c>
    </row>
    <row r="6" spans="1:26">
      <c r="A6" s="1">
        <v>4</v>
      </c>
      <c r="B6" s="3" t="s">
        <v>118</v>
      </c>
      <c r="C6" s="4">
        <v>8</v>
      </c>
      <c r="D6" s="4">
        <v>18049</v>
      </c>
      <c r="E6" s="8">
        <v>0.35</v>
      </c>
      <c r="F6" t="s">
        <v>115</v>
      </c>
      <c r="G6" t="s">
        <v>116</v>
      </c>
      <c r="N6">
        <v>2</v>
      </c>
    </row>
    <row r="7" spans="1:26">
      <c r="A7" s="1">
        <v>5</v>
      </c>
      <c r="B7" s="3" t="s">
        <v>29</v>
      </c>
      <c r="C7" s="4">
        <v>8</v>
      </c>
      <c r="D7" s="4">
        <v>9516</v>
      </c>
      <c r="E7" s="8">
        <v>0.33</v>
      </c>
      <c r="F7" t="s">
        <v>115</v>
      </c>
      <c r="G7" t="s">
        <v>116</v>
      </c>
      <c r="N7">
        <v>0.5</v>
      </c>
    </row>
    <row r="8" spans="1:26">
      <c r="A8" s="1">
        <v>6</v>
      </c>
      <c r="B8" s="3" t="s">
        <v>26</v>
      </c>
      <c r="C8" s="4">
        <v>8</v>
      </c>
      <c r="D8" s="4">
        <v>7820.6</v>
      </c>
      <c r="E8" s="8">
        <v>0.4</v>
      </c>
      <c r="F8" t="s">
        <v>115</v>
      </c>
      <c r="G8" t="s">
        <v>116</v>
      </c>
      <c r="N8">
        <v>1.2</v>
      </c>
      <c r="O8" t="s">
        <v>127</v>
      </c>
    </row>
    <row r="9" spans="1:26">
      <c r="A9" s="1">
        <v>7</v>
      </c>
      <c r="B9" s="3" t="s">
        <v>11</v>
      </c>
      <c r="C9" s="4">
        <v>8</v>
      </c>
      <c r="D9" s="4">
        <v>16062.2</v>
      </c>
      <c r="E9" s="8">
        <v>0.5</v>
      </c>
      <c r="F9" t="s">
        <v>115</v>
      </c>
      <c r="G9" t="s">
        <v>116</v>
      </c>
      <c r="N9">
        <v>1.2</v>
      </c>
      <c r="P9" s="6"/>
    </row>
    <row r="10" spans="1:26">
      <c r="A10" s="1">
        <v>8</v>
      </c>
      <c r="B10" s="3" t="s">
        <v>30</v>
      </c>
      <c r="C10" s="4">
        <v>8</v>
      </c>
      <c r="D10" s="4">
        <f>197+806+1229 +4257 +8015</f>
        <v>14504</v>
      </c>
      <c r="E10" s="8"/>
      <c r="F10" t="s">
        <v>115</v>
      </c>
      <c r="G10" t="s">
        <v>116</v>
      </c>
      <c r="P10" s="6"/>
    </row>
    <row r="11" spans="1:26">
      <c r="A11" s="1">
        <v>9</v>
      </c>
      <c r="B11" s="3" t="s">
        <v>30</v>
      </c>
      <c r="C11" s="4">
        <v>8</v>
      </c>
      <c r="D11" s="4">
        <v>30932</v>
      </c>
      <c r="E11" s="8"/>
      <c r="F11" t="s">
        <v>115</v>
      </c>
      <c r="G11" t="s">
        <v>116</v>
      </c>
      <c r="O11" t="s">
        <v>128</v>
      </c>
    </row>
    <row r="12" spans="1:26">
      <c r="A12" s="1">
        <v>10</v>
      </c>
      <c r="B12" s="3" t="s">
        <v>31</v>
      </c>
      <c r="C12" s="4">
        <v>8</v>
      </c>
      <c r="D12" s="4">
        <v>2328</v>
      </c>
      <c r="E12" s="8"/>
      <c r="F12" t="s">
        <v>115</v>
      </c>
      <c r="G12" t="s">
        <v>116</v>
      </c>
    </row>
    <row r="13" spans="1:26">
      <c r="A13" s="1">
        <v>11</v>
      </c>
      <c r="B13" s="3" t="s">
        <v>31</v>
      </c>
      <c r="C13" s="4">
        <v>8</v>
      </c>
      <c r="D13" s="4">
        <f>12666 +14503 +13974 +5670 + 3804</f>
        <v>50617</v>
      </c>
      <c r="E13" s="8"/>
      <c r="F13" t="s">
        <v>115</v>
      </c>
      <c r="G13" t="s">
        <v>116</v>
      </c>
    </row>
    <row r="14" spans="1:26">
      <c r="A14" s="1">
        <v>12</v>
      </c>
      <c r="B14" s="3" t="s">
        <v>14</v>
      </c>
      <c r="C14" s="4">
        <v>8</v>
      </c>
      <c r="D14" s="4">
        <f>2108 + 79 +672</f>
        <v>2859</v>
      </c>
      <c r="E14" s="8"/>
      <c r="F14" t="s">
        <v>115</v>
      </c>
      <c r="G14" t="s">
        <v>116</v>
      </c>
    </row>
    <row r="15" spans="1:26">
      <c r="A15" s="1">
        <v>13</v>
      </c>
      <c r="B15" s="3" t="s">
        <v>14</v>
      </c>
      <c r="C15" s="4">
        <v>8</v>
      </c>
      <c r="D15" s="4">
        <v>4644</v>
      </c>
      <c r="E15" s="8"/>
      <c r="F15" t="s">
        <v>115</v>
      </c>
      <c r="G15" t="s">
        <v>116</v>
      </c>
      <c r="N15" s="3" t="s">
        <v>129</v>
      </c>
      <c r="O15" s="4">
        <v>8</v>
      </c>
      <c r="P15" s="4">
        <v>471</v>
      </c>
      <c r="R15" t="s">
        <v>115</v>
      </c>
      <c r="S15" t="s">
        <v>116</v>
      </c>
      <c r="T15">
        <v>0</v>
      </c>
      <c r="Z15">
        <v>1.2</v>
      </c>
    </row>
    <row r="16" spans="1:26">
      <c r="A16" s="1">
        <v>14</v>
      </c>
      <c r="B16" s="3" t="s">
        <v>75</v>
      </c>
      <c r="C16" s="4">
        <v>8</v>
      </c>
      <c r="D16" s="4">
        <v>5317</v>
      </c>
      <c r="F16" t="s">
        <v>115</v>
      </c>
      <c r="G16" t="s">
        <v>116</v>
      </c>
    </row>
    <row r="17" spans="1:1">
      <c r="A17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2FE5B-BFDE-4C21-9291-DDF53677D345}">
  <dimension ref="A1:K381"/>
  <sheetViews>
    <sheetView zoomScale="85" zoomScaleNormal="85" workbookViewId="0">
      <pane ySplit="1" topLeftCell="A22" activePane="bottomLeft" state="frozen"/>
      <selection pane="bottomLeft" activeCell="N36" sqref="N36"/>
    </sheetView>
  </sheetViews>
  <sheetFormatPr defaultRowHeight="15"/>
  <cols>
    <col min="1" max="1" width="25.28515625" customWidth="1"/>
    <col min="2" max="2" width="18.28515625" customWidth="1"/>
    <col min="3" max="3" width="19.42578125" customWidth="1"/>
    <col min="6" max="6" width="21.7109375" customWidth="1"/>
    <col min="7" max="7" width="25" customWidth="1"/>
    <col min="10" max="10" width="19.28515625" bestFit="1" customWidth="1"/>
    <col min="11" max="11" width="18.7109375" bestFit="1" customWidth="1"/>
    <col min="14" max="14" width="17" customWidth="1"/>
  </cols>
  <sheetData>
    <row r="1" spans="1:9">
      <c r="A1" t="s">
        <v>130</v>
      </c>
      <c r="B1" t="s">
        <v>131</v>
      </c>
      <c r="C1" t="s">
        <v>1</v>
      </c>
      <c r="D1" t="s">
        <v>6</v>
      </c>
      <c r="E1" t="s">
        <v>2</v>
      </c>
      <c r="F1" t="s">
        <v>7</v>
      </c>
      <c r="G1" s="7" t="s">
        <v>3</v>
      </c>
      <c r="H1" t="s">
        <v>4</v>
      </c>
      <c r="I1" t="s">
        <v>113</v>
      </c>
    </row>
    <row r="2" spans="1:9">
      <c r="A2" t="s">
        <v>132</v>
      </c>
      <c r="B2" t="s">
        <v>11</v>
      </c>
      <c r="C2" t="str">
        <f>VLOOKUP(B2,[1]dictTech!$A$2:$B$32,2,FALSE)</f>
        <v>Undefined</v>
      </c>
      <c r="D2" t="s">
        <v>133</v>
      </c>
      <c r="E2">
        <v>5</v>
      </c>
      <c r="F2" t="s">
        <v>134</v>
      </c>
      <c r="G2">
        <v>96.5</v>
      </c>
      <c r="H2">
        <v>0.41099999999999998</v>
      </c>
    </row>
    <row r="3" spans="1:9">
      <c r="A3" t="s">
        <v>135</v>
      </c>
      <c r="B3" t="s">
        <v>117</v>
      </c>
      <c r="C3" t="e">
        <f>VLOOKUP(B3,[1]dictTech!$A$2:$B$32,2,FALSE)</f>
        <v>#N/A</v>
      </c>
      <c r="D3" t="s">
        <v>133</v>
      </c>
      <c r="E3">
        <v>19</v>
      </c>
      <c r="F3" t="s">
        <v>134</v>
      </c>
      <c r="G3">
        <v>87</v>
      </c>
      <c r="H3">
        <v>0.35499999999999998</v>
      </c>
    </row>
    <row r="4" spans="1:9">
      <c r="A4" t="s">
        <v>136</v>
      </c>
      <c r="B4" t="s">
        <v>23</v>
      </c>
      <c r="C4" t="e">
        <f>VLOOKUP(B4,[1]dictTech!$A$2:$B$32,2,FALSE)</f>
        <v>#N/A</v>
      </c>
      <c r="D4" t="s">
        <v>133</v>
      </c>
      <c r="E4">
        <v>31</v>
      </c>
      <c r="F4" t="s">
        <v>134</v>
      </c>
      <c r="G4">
        <v>717</v>
      </c>
      <c r="H4">
        <v>0.378</v>
      </c>
    </row>
    <row r="5" spans="1:9">
      <c r="A5" t="s">
        <v>137</v>
      </c>
      <c r="B5" t="s">
        <v>138</v>
      </c>
      <c r="C5" t="e">
        <f>VLOOKUP(B5,[1]dictTech!$A$2:$B$32,2,FALSE)</f>
        <v>#N/A</v>
      </c>
      <c r="D5" t="s">
        <v>133</v>
      </c>
      <c r="E5">
        <v>5</v>
      </c>
      <c r="F5" t="s">
        <v>134</v>
      </c>
      <c r="G5">
        <v>500</v>
      </c>
      <c r="H5">
        <v>0.38</v>
      </c>
    </row>
    <row r="6" spans="1:9">
      <c r="A6" t="s">
        <v>139</v>
      </c>
      <c r="B6" t="s">
        <v>138</v>
      </c>
      <c r="C6" t="e">
        <f>VLOOKUP(B6,[1]dictTech!$A$2:$B$32,2,FALSE)</f>
        <v>#N/A</v>
      </c>
      <c r="D6" t="s">
        <v>133</v>
      </c>
      <c r="E6">
        <v>23</v>
      </c>
      <c r="F6" t="s">
        <v>134</v>
      </c>
      <c r="G6">
        <v>500</v>
      </c>
      <c r="H6">
        <v>0.38</v>
      </c>
    </row>
    <row r="7" spans="1:9">
      <c r="A7" t="s">
        <v>140</v>
      </c>
      <c r="B7" t="s">
        <v>138</v>
      </c>
      <c r="C7" t="e">
        <f>VLOOKUP(B7,[1]dictTech!$A$2:$B$32,2,FALSE)</f>
        <v>#N/A</v>
      </c>
      <c r="D7" t="s">
        <v>133</v>
      </c>
      <c r="E7">
        <v>15</v>
      </c>
      <c r="F7" t="s">
        <v>134</v>
      </c>
      <c r="G7">
        <v>500</v>
      </c>
      <c r="H7">
        <v>0.38</v>
      </c>
    </row>
    <row r="8" spans="1:9">
      <c r="A8" t="s">
        <v>141</v>
      </c>
      <c r="B8" t="s">
        <v>138</v>
      </c>
      <c r="C8" t="e">
        <f>VLOOKUP(B8,[1]dictTech!$A$2:$B$32,2,FALSE)</f>
        <v>#N/A</v>
      </c>
      <c r="D8" t="s">
        <v>133</v>
      </c>
      <c r="E8">
        <v>17</v>
      </c>
      <c r="F8" t="s">
        <v>134</v>
      </c>
      <c r="G8">
        <v>500</v>
      </c>
      <c r="H8">
        <v>0.38</v>
      </c>
    </row>
    <row r="9" spans="1:9">
      <c r="A9" t="s">
        <v>142</v>
      </c>
      <c r="B9" t="s">
        <v>138</v>
      </c>
      <c r="C9" t="e">
        <f>VLOOKUP(B9,[1]dictTech!$A$2:$B$32,2,FALSE)</f>
        <v>#N/A</v>
      </c>
      <c r="D9" t="s">
        <v>133</v>
      </c>
      <c r="E9">
        <v>7</v>
      </c>
      <c r="F9" t="s">
        <v>134</v>
      </c>
      <c r="G9">
        <v>500</v>
      </c>
      <c r="H9">
        <v>0.38</v>
      </c>
    </row>
    <row r="10" spans="1:9">
      <c r="A10" t="s">
        <v>143</v>
      </c>
      <c r="B10" t="s">
        <v>138</v>
      </c>
      <c r="C10" t="e">
        <f>VLOOKUP(B10,[1]dictTech!$A$2:$B$32,2,FALSE)</f>
        <v>#N/A</v>
      </c>
      <c r="D10" t="s">
        <v>133</v>
      </c>
      <c r="E10">
        <v>9</v>
      </c>
      <c r="F10" t="s">
        <v>134</v>
      </c>
      <c r="G10">
        <v>500</v>
      </c>
      <c r="H10">
        <v>0.38</v>
      </c>
    </row>
    <row r="11" spans="1:9">
      <c r="A11" t="s">
        <v>144</v>
      </c>
      <c r="B11" t="s">
        <v>138</v>
      </c>
      <c r="C11" t="e">
        <f>VLOOKUP(B11,[1]dictTech!$A$2:$B$32,2,FALSE)</f>
        <v>#N/A</v>
      </c>
      <c r="D11" t="s">
        <v>133</v>
      </c>
      <c r="E11">
        <v>11</v>
      </c>
      <c r="F11" t="s">
        <v>134</v>
      </c>
      <c r="G11">
        <v>500</v>
      </c>
      <c r="H11">
        <v>0.38</v>
      </c>
    </row>
    <row r="12" spans="1:9">
      <c r="A12" t="s">
        <v>145</v>
      </c>
      <c r="B12" t="s">
        <v>138</v>
      </c>
      <c r="C12" t="e">
        <f>VLOOKUP(B12,[1]dictTech!$A$2:$B$32,2,FALSE)</f>
        <v>#N/A</v>
      </c>
      <c r="D12" t="s">
        <v>133</v>
      </c>
      <c r="E12">
        <v>13</v>
      </c>
      <c r="F12" t="s">
        <v>134</v>
      </c>
      <c r="G12">
        <v>500</v>
      </c>
      <c r="H12">
        <v>0.38</v>
      </c>
    </row>
    <row r="13" spans="1:9">
      <c r="A13" t="s">
        <v>146</v>
      </c>
      <c r="B13" t="s">
        <v>138</v>
      </c>
      <c r="C13" t="e">
        <f>VLOOKUP(B13,[1]dictTech!$A$2:$B$32,2,FALSE)</f>
        <v>#N/A</v>
      </c>
      <c r="D13" t="s">
        <v>133</v>
      </c>
      <c r="E13">
        <v>15</v>
      </c>
      <c r="F13" t="s">
        <v>134</v>
      </c>
      <c r="G13">
        <v>500</v>
      </c>
      <c r="H13">
        <v>0.38</v>
      </c>
    </row>
    <row r="14" spans="1:9">
      <c r="A14" t="s">
        <v>147</v>
      </c>
      <c r="B14" t="s">
        <v>138</v>
      </c>
      <c r="C14" t="e">
        <f>VLOOKUP(B14,[1]dictTech!$A$2:$B$32,2,FALSE)</f>
        <v>#N/A</v>
      </c>
      <c r="D14" t="s">
        <v>133</v>
      </c>
      <c r="E14">
        <v>17</v>
      </c>
      <c r="F14" t="s">
        <v>134</v>
      </c>
      <c r="G14">
        <v>500</v>
      </c>
      <c r="H14">
        <v>0.38</v>
      </c>
    </row>
    <row r="15" spans="1:9">
      <c r="A15" t="s">
        <v>148</v>
      </c>
      <c r="B15" t="s">
        <v>138</v>
      </c>
      <c r="C15" t="e">
        <f>VLOOKUP(B15,[1]dictTech!$A$2:$B$32,2,FALSE)</f>
        <v>#N/A</v>
      </c>
      <c r="D15" t="s">
        <v>133</v>
      </c>
      <c r="E15">
        <v>19</v>
      </c>
      <c r="F15" t="s">
        <v>134</v>
      </c>
      <c r="G15">
        <v>500</v>
      </c>
      <c r="H15">
        <v>0.38</v>
      </c>
    </row>
    <row r="16" spans="1:9">
      <c r="A16" t="s">
        <v>149</v>
      </c>
      <c r="B16" t="s">
        <v>138</v>
      </c>
      <c r="C16" t="e">
        <f>VLOOKUP(B16,[1]dictTech!$A$2:$B$32,2,FALSE)</f>
        <v>#N/A</v>
      </c>
      <c r="D16" t="s">
        <v>133</v>
      </c>
      <c r="E16">
        <v>21</v>
      </c>
      <c r="F16" t="s">
        <v>134</v>
      </c>
      <c r="G16">
        <v>500</v>
      </c>
      <c r="H16">
        <v>0.38</v>
      </c>
    </row>
    <row r="17" spans="1:8">
      <c r="A17" t="s">
        <v>150</v>
      </c>
      <c r="B17" t="s">
        <v>26</v>
      </c>
      <c r="C17" t="str">
        <f>VLOOKUP(B17,[1]dictTech!$A$2:$B$32,2,FALSE)</f>
        <v>Undefined</v>
      </c>
      <c r="D17" t="s">
        <v>133</v>
      </c>
      <c r="E17">
        <v>6</v>
      </c>
      <c r="F17" t="s">
        <v>134</v>
      </c>
      <c r="G17">
        <v>500</v>
      </c>
      <c r="H17">
        <v>0.55000000000000004</v>
      </c>
    </row>
    <row r="18" spans="1:8">
      <c r="A18" t="s">
        <v>151</v>
      </c>
      <c r="B18" t="s">
        <v>26</v>
      </c>
      <c r="C18" t="str">
        <f>VLOOKUP(B18,[1]dictTech!$A$2:$B$32,2,FALSE)</f>
        <v>Undefined</v>
      </c>
      <c r="D18" t="s">
        <v>133</v>
      </c>
      <c r="E18">
        <v>8</v>
      </c>
      <c r="F18" t="s">
        <v>134</v>
      </c>
      <c r="G18">
        <v>500</v>
      </c>
      <c r="H18">
        <v>0.55000000000000004</v>
      </c>
    </row>
    <row r="19" spans="1:8">
      <c r="A19" t="s">
        <v>152</v>
      </c>
      <c r="B19" t="s">
        <v>26</v>
      </c>
      <c r="C19" t="str">
        <f>VLOOKUP(B19,[1]dictTech!$A$2:$B$32,2,FALSE)</f>
        <v>Undefined</v>
      </c>
      <c r="D19" t="s">
        <v>133</v>
      </c>
      <c r="E19">
        <v>12</v>
      </c>
      <c r="F19" t="s">
        <v>134</v>
      </c>
      <c r="G19">
        <v>500</v>
      </c>
      <c r="H19">
        <v>0.55000000000000004</v>
      </c>
    </row>
    <row r="20" spans="1:8">
      <c r="A20" t="s">
        <v>153</v>
      </c>
      <c r="B20" t="s">
        <v>26</v>
      </c>
      <c r="C20" t="str">
        <f>VLOOKUP(B20,[1]dictTech!$A$2:$B$32,2,FALSE)</f>
        <v>Undefined</v>
      </c>
      <c r="D20" t="s">
        <v>133</v>
      </c>
      <c r="E20">
        <v>14</v>
      </c>
      <c r="F20" t="s">
        <v>134</v>
      </c>
      <c r="G20">
        <v>500</v>
      </c>
      <c r="H20">
        <v>0.55000000000000004</v>
      </c>
    </row>
    <row r="21" spans="1:8">
      <c r="A21" t="s">
        <v>154</v>
      </c>
      <c r="B21" t="s">
        <v>26</v>
      </c>
      <c r="C21" t="str">
        <f>VLOOKUP(B21,[1]dictTech!$A$2:$B$32,2,FALSE)</f>
        <v>Undefined</v>
      </c>
      <c r="D21" t="s">
        <v>133</v>
      </c>
      <c r="E21">
        <v>16</v>
      </c>
      <c r="F21" t="s">
        <v>134</v>
      </c>
      <c r="G21">
        <v>500</v>
      </c>
      <c r="H21">
        <v>0.55000000000000004</v>
      </c>
    </row>
    <row r="22" spans="1:8">
      <c r="A22" t="s">
        <v>155</v>
      </c>
      <c r="B22" t="s">
        <v>26</v>
      </c>
      <c r="C22" t="str">
        <f>VLOOKUP(B22,[1]dictTech!$A$2:$B$32,2,FALSE)</f>
        <v>Undefined</v>
      </c>
      <c r="D22" t="s">
        <v>133</v>
      </c>
      <c r="E22">
        <v>18</v>
      </c>
      <c r="F22" t="s">
        <v>134</v>
      </c>
      <c r="G22">
        <v>500</v>
      </c>
      <c r="H22">
        <v>0.55000000000000004</v>
      </c>
    </row>
    <row r="23" spans="1:8">
      <c r="A23" t="s">
        <v>156</v>
      </c>
      <c r="B23" t="s">
        <v>26</v>
      </c>
      <c r="C23" t="str">
        <f>VLOOKUP(B23,[1]dictTech!$A$2:$B$32,2,FALSE)</f>
        <v>Undefined</v>
      </c>
      <c r="D23" t="s">
        <v>133</v>
      </c>
      <c r="E23">
        <v>20</v>
      </c>
      <c r="F23" t="s">
        <v>134</v>
      </c>
      <c r="G23">
        <v>500</v>
      </c>
      <c r="H23">
        <v>0.55000000000000004</v>
      </c>
    </row>
    <row r="24" spans="1:8">
      <c r="A24" t="s">
        <v>157</v>
      </c>
      <c r="B24" t="s">
        <v>23</v>
      </c>
      <c r="C24" t="e">
        <f>VLOOKUP(B24,[1]dictTech!$A$2:$B$32,2,FALSE)</f>
        <v>#N/A</v>
      </c>
      <c r="D24" t="s">
        <v>133</v>
      </c>
      <c r="E24">
        <v>11</v>
      </c>
      <c r="F24" t="s">
        <v>134</v>
      </c>
      <c r="G24">
        <v>341.4</v>
      </c>
      <c r="H24">
        <v>0.438</v>
      </c>
    </row>
    <row r="25" spans="1:8">
      <c r="A25" t="s">
        <v>158</v>
      </c>
      <c r="B25" t="s">
        <v>23</v>
      </c>
      <c r="C25" t="e">
        <f>VLOOKUP(B25,[1]dictTech!$A$2:$B$32,2,FALSE)</f>
        <v>#N/A</v>
      </c>
      <c r="D25" t="s">
        <v>133</v>
      </c>
      <c r="E25">
        <v>20</v>
      </c>
      <c r="F25" t="s">
        <v>134</v>
      </c>
      <c r="G25">
        <v>320.5</v>
      </c>
      <c r="H25">
        <v>0.4</v>
      </c>
    </row>
    <row r="26" spans="1:8">
      <c r="A26" t="s">
        <v>159</v>
      </c>
      <c r="B26" t="s">
        <v>117</v>
      </c>
      <c r="C26" t="e">
        <f>VLOOKUP(B26,[1]dictTech!$A$2:$B$32,2,FALSE)</f>
        <v>#N/A</v>
      </c>
      <c r="D26" t="s">
        <v>133</v>
      </c>
      <c r="E26">
        <v>17</v>
      </c>
      <c r="F26" t="s">
        <v>134</v>
      </c>
      <c r="G26">
        <v>321.5</v>
      </c>
      <c r="H26">
        <v>0.33600000000000002</v>
      </c>
    </row>
    <row r="27" spans="1:8">
      <c r="A27" t="s">
        <v>160</v>
      </c>
      <c r="B27" t="s">
        <v>117</v>
      </c>
      <c r="C27" t="e">
        <f>VLOOKUP(B27,[1]dictTech!$A$2:$B$32,2,FALSE)</f>
        <v>#N/A</v>
      </c>
      <c r="D27" t="s">
        <v>133</v>
      </c>
      <c r="E27">
        <v>9</v>
      </c>
      <c r="F27" t="s">
        <v>134</v>
      </c>
      <c r="G27">
        <v>321.5</v>
      </c>
      <c r="H27">
        <v>0.33</v>
      </c>
    </row>
    <row r="28" spans="1:8">
      <c r="A28" t="s">
        <v>161</v>
      </c>
      <c r="B28" t="s">
        <v>118</v>
      </c>
      <c r="C28" t="e">
        <f>VLOOKUP(B28,[1]dictTech!$A$2:$B$32,2,FALSE)</f>
        <v>#N/A</v>
      </c>
      <c r="D28" t="s">
        <v>133</v>
      </c>
      <c r="E28">
        <v>14</v>
      </c>
      <c r="F28" t="s">
        <v>134</v>
      </c>
      <c r="G28">
        <v>206.8</v>
      </c>
      <c r="H28">
        <v>0.378</v>
      </c>
    </row>
    <row r="29" spans="1:8">
      <c r="A29" t="s">
        <v>162</v>
      </c>
      <c r="B29" t="s">
        <v>118</v>
      </c>
      <c r="C29" t="e">
        <f>VLOOKUP(B29,[1]dictTech!$A$2:$B$32,2,FALSE)</f>
        <v>#N/A</v>
      </c>
      <c r="D29" t="s">
        <v>133</v>
      </c>
      <c r="E29">
        <v>17</v>
      </c>
      <c r="F29" t="s">
        <v>134</v>
      </c>
      <c r="G29">
        <v>307.10000000000002</v>
      </c>
      <c r="H29">
        <v>0.371</v>
      </c>
    </row>
    <row r="30" spans="1:8">
      <c r="A30" t="s">
        <v>163</v>
      </c>
      <c r="B30" t="s">
        <v>164</v>
      </c>
      <c r="C30" t="e">
        <f>VLOOKUP(B30,[1]dictTech!$A$2:$B$32,2,FALSE)</f>
        <v>#N/A</v>
      </c>
      <c r="D30" t="s">
        <v>133</v>
      </c>
      <c r="E30">
        <v>49</v>
      </c>
      <c r="F30" t="s">
        <v>134</v>
      </c>
      <c r="G30">
        <v>79.8</v>
      </c>
      <c r="H30">
        <v>0.8</v>
      </c>
    </row>
    <row r="31" spans="1:8">
      <c r="A31" t="s">
        <v>165</v>
      </c>
      <c r="B31" t="s">
        <v>118</v>
      </c>
      <c r="C31" t="e">
        <f>VLOOKUP(B31,[1]dictTech!$A$2:$B$32,2,FALSE)</f>
        <v>#N/A</v>
      </c>
      <c r="D31" t="s">
        <v>133</v>
      </c>
      <c r="E31">
        <v>14</v>
      </c>
      <c r="F31" t="s">
        <v>134</v>
      </c>
      <c r="G31">
        <v>1050</v>
      </c>
      <c r="H31">
        <v>0.42899999999999999</v>
      </c>
    </row>
    <row r="32" spans="1:8">
      <c r="A32" t="s">
        <v>166</v>
      </c>
      <c r="B32" t="s">
        <v>118</v>
      </c>
      <c r="C32" t="e">
        <f>VLOOKUP(B32,[1]dictTech!$A$2:$B$32,2,FALSE)</f>
        <v>#N/A</v>
      </c>
      <c r="D32" t="s">
        <v>133</v>
      </c>
      <c r="E32">
        <v>33</v>
      </c>
      <c r="F32" t="s">
        <v>134</v>
      </c>
      <c r="G32">
        <v>1050</v>
      </c>
      <c r="H32">
        <v>0.42899999999999999</v>
      </c>
    </row>
    <row r="33" spans="1:11">
      <c r="A33" t="s">
        <v>167</v>
      </c>
      <c r="B33" t="s">
        <v>118</v>
      </c>
      <c r="C33" t="e">
        <f>VLOOKUP(B33,[1]dictTech!$A$2:$B$32,2,FALSE)</f>
        <v>#N/A</v>
      </c>
      <c r="D33" t="s">
        <v>133</v>
      </c>
      <c r="E33">
        <v>10</v>
      </c>
      <c r="F33" t="s">
        <v>134</v>
      </c>
      <c r="G33">
        <v>857</v>
      </c>
      <c r="H33">
        <v>0.4</v>
      </c>
    </row>
    <row r="34" spans="1:11">
      <c r="A34" t="s">
        <v>168</v>
      </c>
      <c r="B34" t="s">
        <v>118</v>
      </c>
      <c r="C34" t="e">
        <f>VLOOKUP(B34,[1]dictTech!$A$2:$B$32,2,FALSE)</f>
        <v>#N/A</v>
      </c>
      <c r="D34" t="s">
        <v>133</v>
      </c>
      <c r="E34">
        <v>38</v>
      </c>
      <c r="F34" t="s">
        <v>134</v>
      </c>
      <c r="G34">
        <v>640</v>
      </c>
      <c r="H34">
        <v>0.42899999999999999</v>
      </c>
    </row>
    <row r="35" spans="1:11">
      <c r="A35" t="s">
        <v>169</v>
      </c>
      <c r="B35" t="s">
        <v>118</v>
      </c>
      <c r="C35" t="e">
        <f>VLOOKUP(B35,[1]dictTech!$A$2:$B$32,2,FALSE)</f>
        <v>#N/A</v>
      </c>
      <c r="D35" t="s">
        <v>133</v>
      </c>
      <c r="E35">
        <v>32</v>
      </c>
      <c r="F35" t="s">
        <v>134</v>
      </c>
      <c r="G35">
        <v>465</v>
      </c>
      <c r="H35">
        <v>0.38600000000000001</v>
      </c>
    </row>
    <row r="36" spans="1:11">
      <c r="A36" t="s">
        <v>170</v>
      </c>
      <c r="B36" t="s">
        <v>118</v>
      </c>
      <c r="C36" t="e">
        <f>VLOOKUP(B36,[1]dictTech!$A$2:$B$32,2,FALSE)</f>
        <v>#N/A</v>
      </c>
      <c r="D36" t="s">
        <v>133</v>
      </c>
      <c r="E36">
        <v>35</v>
      </c>
      <c r="F36" t="s">
        <v>134</v>
      </c>
      <c r="G36">
        <v>465</v>
      </c>
      <c r="H36">
        <v>0.38300000000000001</v>
      </c>
    </row>
    <row r="37" spans="1:11">
      <c r="A37" t="s">
        <v>171</v>
      </c>
      <c r="B37" t="s">
        <v>11</v>
      </c>
      <c r="C37" t="str">
        <f>VLOOKUP(B37,[1]dictTech!$A$2:$B$32,2,FALSE)</f>
        <v>Undefined</v>
      </c>
      <c r="D37" t="s">
        <v>133</v>
      </c>
      <c r="E37">
        <v>20</v>
      </c>
      <c r="F37" t="s">
        <v>134</v>
      </c>
      <c r="G37">
        <v>66</v>
      </c>
      <c r="H37">
        <v>0.38100000000000001</v>
      </c>
      <c r="J37" s="2" t="s">
        <v>20</v>
      </c>
      <c r="K37" t="s">
        <v>172</v>
      </c>
    </row>
    <row r="38" spans="1:11">
      <c r="A38" t="s">
        <v>173</v>
      </c>
      <c r="B38" t="s">
        <v>164</v>
      </c>
      <c r="C38" t="e">
        <f>VLOOKUP(B38,[1]dictTech!$A$2:$B$32,2,FALSE)</f>
        <v>#N/A</v>
      </c>
      <c r="D38" t="s">
        <v>133</v>
      </c>
      <c r="E38">
        <v>23</v>
      </c>
      <c r="F38" t="s">
        <v>134</v>
      </c>
      <c r="G38">
        <v>50</v>
      </c>
      <c r="H38">
        <v>0.8</v>
      </c>
      <c r="J38" s="3" t="s">
        <v>138</v>
      </c>
      <c r="K38">
        <v>411.31874999999997</v>
      </c>
    </row>
    <row r="39" spans="1:11">
      <c r="A39" t="s">
        <v>174</v>
      </c>
      <c r="B39" t="s">
        <v>118</v>
      </c>
      <c r="C39" t="e">
        <f>VLOOKUP(B39,[1]dictTech!$A$2:$B$32,2,FALSE)</f>
        <v>#N/A</v>
      </c>
      <c r="D39" t="s">
        <v>133</v>
      </c>
      <c r="E39">
        <v>39</v>
      </c>
      <c r="F39" t="s">
        <v>134</v>
      </c>
      <c r="G39">
        <v>875</v>
      </c>
      <c r="H39">
        <v>0.39800000000000002</v>
      </c>
      <c r="J39" s="3" t="s">
        <v>26</v>
      </c>
      <c r="K39">
        <v>247.29850746268656</v>
      </c>
    </row>
    <row r="40" spans="1:11">
      <c r="A40" t="s">
        <v>175</v>
      </c>
      <c r="B40" t="s">
        <v>176</v>
      </c>
      <c r="C40" t="e">
        <f>VLOOKUP(B40,[1]dictTech!$A$2:$B$32,2,FALSE)</f>
        <v>#N/A</v>
      </c>
      <c r="D40" t="s">
        <v>133</v>
      </c>
      <c r="E40">
        <v>33</v>
      </c>
      <c r="F40" t="s">
        <v>134</v>
      </c>
      <c r="G40">
        <v>1410</v>
      </c>
      <c r="H40">
        <v>0.33</v>
      </c>
      <c r="J40" s="3" t="s">
        <v>23</v>
      </c>
      <c r="K40">
        <v>387.62083333333334</v>
      </c>
    </row>
    <row r="41" spans="1:11">
      <c r="A41" t="s">
        <v>177</v>
      </c>
      <c r="B41" t="s">
        <v>118</v>
      </c>
      <c r="C41" t="e">
        <f>VLOOKUP(B41,[1]dictTech!$A$2:$B$32,2,FALSE)</f>
        <v>#N/A</v>
      </c>
      <c r="D41" t="s">
        <v>133</v>
      </c>
      <c r="E41">
        <v>37</v>
      </c>
      <c r="F41" t="s">
        <v>134</v>
      </c>
      <c r="G41">
        <v>352</v>
      </c>
      <c r="H41">
        <v>0.36399999999999999</v>
      </c>
      <c r="J41" s="3" t="s">
        <v>117</v>
      </c>
      <c r="K41">
        <v>189.63448275862066</v>
      </c>
    </row>
    <row r="42" spans="1:11">
      <c r="A42" t="s">
        <v>178</v>
      </c>
      <c r="B42" t="s">
        <v>26</v>
      </c>
      <c r="C42" t="str">
        <f>VLOOKUP(B42,[1]dictTech!$A$2:$B$32,2,FALSE)</f>
        <v>Undefined</v>
      </c>
      <c r="D42" t="s">
        <v>179</v>
      </c>
      <c r="E42">
        <v>8</v>
      </c>
      <c r="F42" t="s">
        <v>134</v>
      </c>
      <c r="G42">
        <v>72</v>
      </c>
      <c r="H42">
        <v>0.45</v>
      </c>
      <c r="J42" s="3" t="s">
        <v>164</v>
      </c>
      <c r="K42">
        <v>203.26499999999999</v>
      </c>
    </row>
    <row r="43" spans="1:11">
      <c r="A43" t="s">
        <v>180</v>
      </c>
      <c r="B43" t="s">
        <v>11</v>
      </c>
      <c r="C43" t="str">
        <f>VLOOKUP(B43,[1]dictTech!$A$2:$B$32,2,FALSE)</f>
        <v>Undefined</v>
      </c>
      <c r="D43" t="s">
        <v>133</v>
      </c>
      <c r="E43">
        <v>23</v>
      </c>
      <c r="F43" t="s">
        <v>134</v>
      </c>
      <c r="G43">
        <v>211</v>
      </c>
      <c r="H43">
        <v>0.38</v>
      </c>
      <c r="J43" s="3" t="s">
        <v>118</v>
      </c>
      <c r="K43">
        <v>481.97441860465119</v>
      </c>
    </row>
    <row r="44" spans="1:11">
      <c r="A44" t="s">
        <v>181</v>
      </c>
      <c r="B44" t="s">
        <v>26</v>
      </c>
      <c r="C44" t="str">
        <f>VLOOKUP(B44,[1]dictTech!$A$2:$B$32,2,FALSE)</f>
        <v>Undefined</v>
      </c>
      <c r="D44" t="s">
        <v>133</v>
      </c>
      <c r="E44">
        <v>11</v>
      </c>
      <c r="F44" t="s">
        <v>134</v>
      </c>
      <c r="G44">
        <v>417</v>
      </c>
      <c r="H44">
        <v>0.57199999999999995</v>
      </c>
      <c r="J44" s="3" t="s">
        <v>74</v>
      </c>
      <c r="K44">
        <v>1</v>
      </c>
    </row>
    <row r="45" spans="1:11">
      <c r="A45" t="s">
        <v>182</v>
      </c>
      <c r="B45" t="s">
        <v>26</v>
      </c>
      <c r="C45" t="str">
        <f>VLOOKUP(B45,[1]dictTech!$A$2:$B$32,2,FALSE)</f>
        <v>Undefined</v>
      </c>
      <c r="D45" t="s">
        <v>133</v>
      </c>
      <c r="E45">
        <v>9</v>
      </c>
      <c r="F45" t="s">
        <v>134</v>
      </c>
      <c r="G45">
        <v>120</v>
      </c>
      <c r="H45">
        <v>0.54500000000000004</v>
      </c>
      <c r="J45" s="3" t="s">
        <v>176</v>
      </c>
      <c r="K45">
        <v>1350</v>
      </c>
    </row>
    <row r="46" spans="1:11">
      <c r="A46" t="s">
        <v>183</v>
      </c>
      <c r="B46" t="s">
        <v>117</v>
      </c>
      <c r="C46" t="e">
        <f>VLOOKUP(B46,[1]dictTech!$A$2:$B$32,2,FALSE)</f>
        <v>#N/A</v>
      </c>
      <c r="D46" t="s">
        <v>133</v>
      </c>
      <c r="E46">
        <v>6</v>
      </c>
      <c r="F46" t="s">
        <v>134</v>
      </c>
      <c r="G46">
        <v>262</v>
      </c>
      <c r="H46">
        <v>0.38</v>
      </c>
      <c r="J46" s="3" t="s">
        <v>11</v>
      </c>
      <c r="K46">
        <v>178.22830188679245</v>
      </c>
    </row>
    <row r="47" spans="1:11">
      <c r="A47" t="s">
        <v>184</v>
      </c>
      <c r="B47" t="s">
        <v>117</v>
      </c>
      <c r="C47" t="e">
        <f>VLOOKUP(B47,[1]dictTech!$A$2:$B$32,2,FALSE)</f>
        <v>#N/A</v>
      </c>
      <c r="D47" t="s">
        <v>133</v>
      </c>
      <c r="E47">
        <v>20</v>
      </c>
      <c r="F47" t="s">
        <v>134</v>
      </c>
      <c r="G47">
        <v>85</v>
      </c>
      <c r="H47">
        <v>0.38</v>
      </c>
      <c r="J47" s="3" t="s">
        <v>185</v>
      </c>
      <c r="K47">
        <v>500</v>
      </c>
    </row>
    <row r="48" spans="1:11">
      <c r="A48" t="s">
        <v>186</v>
      </c>
      <c r="B48" t="s">
        <v>26</v>
      </c>
      <c r="C48" t="str">
        <f>VLOOKUP(B48,[1]dictTech!$A$2:$B$32,2,FALSE)</f>
        <v>Undefined</v>
      </c>
      <c r="D48" t="s">
        <v>133</v>
      </c>
      <c r="E48">
        <v>29</v>
      </c>
      <c r="F48" t="s">
        <v>134</v>
      </c>
      <c r="G48">
        <v>586.29999999999995</v>
      </c>
      <c r="H48">
        <v>0.54</v>
      </c>
      <c r="J48" s="3" t="s">
        <v>187</v>
      </c>
      <c r="K48">
        <v>1652</v>
      </c>
    </row>
    <row r="49" spans="1:11">
      <c r="A49" t="s">
        <v>188</v>
      </c>
      <c r="B49" t="s">
        <v>26</v>
      </c>
      <c r="C49" t="str">
        <f>VLOOKUP(B49,[1]dictTech!$A$2:$B$32,2,FALSE)</f>
        <v>Undefined</v>
      </c>
      <c r="D49" t="s">
        <v>133</v>
      </c>
      <c r="E49">
        <v>26</v>
      </c>
      <c r="F49" t="s">
        <v>134</v>
      </c>
      <c r="G49">
        <v>173</v>
      </c>
      <c r="H49">
        <v>0.60299999999999998</v>
      </c>
      <c r="J49" s="3" t="s">
        <v>189</v>
      </c>
      <c r="K49">
        <v>1961</v>
      </c>
    </row>
    <row r="50" spans="1:11">
      <c r="A50" t="s">
        <v>190</v>
      </c>
      <c r="B50" t="s">
        <v>138</v>
      </c>
      <c r="C50" t="e">
        <f>VLOOKUP(B50,[1]dictTech!$A$2:$B$32,2,FALSE)</f>
        <v>#N/A</v>
      </c>
      <c r="D50" t="s">
        <v>133</v>
      </c>
      <c r="E50">
        <v>6</v>
      </c>
      <c r="F50" t="s">
        <v>134</v>
      </c>
      <c r="G50">
        <v>53.7</v>
      </c>
      <c r="H50">
        <v>0.33</v>
      </c>
      <c r="J50" s="3" t="s">
        <v>67</v>
      </c>
    </row>
    <row r="51" spans="1:11">
      <c r="A51" t="s">
        <v>191</v>
      </c>
      <c r="B51" t="s">
        <v>117</v>
      </c>
      <c r="C51" t="e">
        <f>VLOOKUP(B51,[1]dictTech!$A$2:$B$32,2,FALSE)</f>
        <v>#N/A</v>
      </c>
      <c r="D51" t="s">
        <v>133</v>
      </c>
      <c r="E51">
        <v>27</v>
      </c>
      <c r="F51" t="s">
        <v>134</v>
      </c>
      <c r="G51">
        <v>100</v>
      </c>
      <c r="H51">
        <v>0.33</v>
      </c>
      <c r="J51" s="3" t="s">
        <v>32</v>
      </c>
      <c r="K51">
        <v>497.84421052631575</v>
      </c>
    </row>
    <row r="52" spans="1:11">
      <c r="A52" t="s">
        <v>192</v>
      </c>
      <c r="B52" t="s">
        <v>117</v>
      </c>
      <c r="C52" t="e">
        <f>VLOOKUP(B52,[1]dictTech!$A$2:$B$32,2,FALSE)</f>
        <v>#N/A</v>
      </c>
      <c r="D52" t="s">
        <v>133</v>
      </c>
      <c r="E52">
        <v>26</v>
      </c>
      <c r="F52" t="s">
        <v>134</v>
      </c>
      <c r="G52">
        <v>225</v>
      </c>
      <c r="H52">
        <v>0.33</v>
      </c>
    </row>
    <row r="53" spans="1:11">
      <c r="A53" t="s">
        <v>193</v>
      </c>
      <c r="B53" t="s">
        <v>117</v>
      </c>
      <c r="C53" t="e">
        <f>VLOOKUP(B53,[1]dictTech!$A$2:$B$32,2,FALSE)</f>
        <v>#N/A</v>
      </c>
      <c r="D53" t="s">
        <v>133</v>
      </c>
      <c r="E53">
        <v>5</v>
      </c>
      <c r="F53" t="s">
        <v>134</v>
      </c>
      <c r="G53">
        <v>165</v>
      </c>
      <c r="H53">
        <v>0.33</v>
      </c>
    </row>
    <row r="54" spans="1:11">
      <c r="A54" t="s">
        <v>194</v>
      </c>
      <c r="B54" t="s">
        <v>11</v>
      </c>
      <c r="C54" t="str">
        <f>VLOOKUP(B54,[1]dictTech!$A$2:$B$32,2,FALSE)</f>
        <v>Undefined</v>
      </c>
      <c r="D54" t="s">
        <v>133</v>
      </c>
      <c r="E54">
        <v>22</v>
      </c>
      <c r="F54" t="s">
        <v>134</v>
      </c>
      <c r="G54">
        <v>380</v>
      </c>
      <c r="H54">
        <v>0.35499999999999998</v>
      </c>
    </row>
    <row r="55" spans="1:11">
      <c r="A55" t="s">
        <v>195</v>
      </c>
      <c r="B55" t="s">
        <v>26</v>
      </c>
      <c r="C55" t="str">
        <f>VLOOKUP(B55,[1]dictTech!$A$2:$B$32,2,FALSE)</f>
        <v>Undefined</v>
      </c>
      <c r="D55" t="s">
        <v>133</v>
      </c>
      <c r="E55">
        <v>18</v>
      </c>
      <c r="F55" t="s">
        <v>134</v>
      </c>
      <c r="G55">
        <v>887</v>
      </c>
      <c r="H55">
        <v>0.58499999999999996</v>
      </c>
    </row>
    <row r="56" spans="1:11">
      <c r="A56" t="s">
        <v>196</v>
      </c>
      <c r="B56" t="s">
        <v>11</v>
      </c>
      <c r="C56" t="str">
        <f>VLOOKUP(B56,[1]dictTech!$A$2:$B$32,2,FALSE)</f>
        <v>Undefined</v>
      </c>
      <c r="D56" t="s">
        <v>133</v>
      </c>
      <c r="E56">
        <v>27</v>
      </c>
      <c r="F56" t="s">
        <v>134</v>
      </c>
      <c r="G56">
        <v>359</v>
      </c>
      <c r="H56">
        <v>0.42299999999999999</v>
      </c>
    </row>
    <row r="57" spans="1:11">
      <c r="A57" t="s">
        <v>197</v>
      </c>
      <c r="B57" t="s">
        <v>11</v>
      </c>
      <c r="C57" t="str">
        <f>VLOOKUP(B57,[1]dictTech!$A$2:$B$32,2,FALSE)</f>
        <v>Undefined</v>
      </c>
      <c r="D57" t="s">
        <v>133</v>
      </c>
      <c r="E57">
        <v>27</v>
      </c>
      <c r="F57" t="s">
        <v>134</v>
      </c>
      <c r="G57">
        <v>359</v>
      </c>
      <c r="H57">
        <v>0.41899999999999998</v>
      </c>
    </row>
    <row r="58" spans="1:11">
      <c r="A58" t="s">
        <v>198</v>
      </c>
      <c r="B58" t="s">
        <v>26</v>
      </c>
      <c r="C58" t="str">
        <f>VLOOKUP(B58,[1]dictTech!$A$2:$B$32,2,FALSE)</f>
        <v>Undefined</v>
      </c>
      <c r="D58" t="s">
        <v>133</v>
      </c>
      <c r="E58">
        <v>24</v>
      </c>
      <c r="F58" t="s">
        <v>134</v>
      </c>
      <c r="G58">
        <v>116</v>
      </c>
      <c r="H58">
        <v>0.59</v>
      </c>
    </row>
    <row r="59" spans="1:11">
      <c r="A59" t="s">
        <v>199</v>
      </c>
      <c r="B59" t="s">
        <v>26</v>
      </c>
      <c r="C59" t="str">
        <f>VLOOKUP(B59,[1]dictTech!$A$2:$B$32,2,FALSE)</f>
        <v>Undefined</v>
      </c>
      <c r="D59" t="s">
        <v>133</v>
      </c>
      <c r="E59">
        <v>26</v>
      </c>
      <c r="F59" t="s">
        <v>134</v>
      </c>
      <c r="G59">
        <v>116</v>
      </c>
      <c r="H59">
        <v>0.59</v>
      </c>
    </row>
    <row r="60" spans="1:11">
      <c r="A60" t="s">
        <v>200</v>
      </c>
      <c r="B60" t="s">
        <v>164</v>
      </c>
      <c r="C60" t="e">
        <f>VLOOKUP(B60,[1]dictTech!$A$2:$B$32,2,FALSE)</f>
        <v>#N/A</v>
      </c>
      <c r="D60" t="s">
        <v>133</v>
      </c>
      <c r="E60">
        <v>33</v>
      </c>
      <c r="F60" t="s">
        <v>134</v>
      </c>
      <c r="G60">
        <v>220</v>
      </c>
      <c r="H60">
        <v>0.75</v>
      </c>
    </row>
    <row r="61" spans="1:11">
      <c r="A61" t="s">
        <v>201</v>
      </c>
      <c r="B61" t="s">
        <v>23</v>
      </c>
      <c r="C61" t="e">
        <f>VLOOKUP(B61,[1]dictTech!$A$2:$B$32,2,FALSE)</f>
        <v>#N/A</v>
      </c>
      <c r="D61" t="s">
        <v>133</v>
      </c>
      <c r="E61">
        <v>35</v>
      </c>
      <c r="F61" t="s">
        <v>134</v>
      </c>
      <c r="G61">
        <v>350</v>
      </c>
      <c r="H61">
        <v>0.443</v>
      </c>
    </row>
    <row r="62" spans="1:11">
      <c r="A62" t="s">
        <v>202</v>
      </c>
      <c r="B62" t="s">
        <v>11</v>
      </c>
      <c r="C62" t="str">
        <f>VLOOKUP(B62,[1]dictTech!$A$2:$B$32,2,FALSE)</f>
        <v>Undefined</v>
      </c>
      <c r="D62" t="s">
        <v>133</v>
      </c>
      <c r="E62">
        <v>2</v>
      </c>
      <c r="F62" t="s">
        <v>134</v>
      </c>
      <c r="G62">
        <v>440</v>
      </c>
      <c r="H62">
        <v>0.432</v>
      </c>
    </row>
    <row r="63" spans="1:11">
      <c r="A63" t="s">
        <v>203</v>
      </c>
      <c r="B63" t="s">
        <v>11</v>
      </c>
      <c r="C63" t="str">
        <f>VLOOKUP(B63,[1]dictTech!$A$2:$B$32,2,FALSE)</f>
        <v>Undefined</v>
      </c>
      <c r="D63" t="s">
        <v>133</v>
      </c>
      <c r="E63">
        <v>19</v>
      </c>
      <c r="F63" t="s">
        <v>134</v>
      </c>
      <c r="G63">
        <v>383</v>
      </c>
      <c r="H63">
        <v>0.41899999999999998</v>
      </c>
    </row>
    <row r="64" spans="1:11">
      <c r="A64" t="s">
        <v>204</v>
      </c>
      <c r="B64" t="s">
        <v>118</v>
      </c>
      <c r="C64" t="e">
        <f>VLOOKUP(B64,[1]dictTech!$A$2:$B$32,2,FALSE)</f>
        <v>#N/A</v>
      </c>
      <c r="D64" t="s">
        <v>133</v>
      </c>
      <c r="E64">
        <v>34</v>
      </c>
      <c r="F64" t="s">
        <v>134</v>
      </c>
      <c r="G64">
        <v>118</v>
      </c>
      <c r="H64">
        <v>0.371</v>
      </c>
    </row>
    <row r="65" spans="1:8">
      <c r="A65" t="s">
        <v>205</v>
      </c>
      <c r="B65" t="s">
        <v>118</v>
      </c>
      <c r="C65" t="e">
        <f>VLOOKUP(B65,[1]dictTech!$A$2:$B$32,2,FALSE)</f>
        <v>#N/A</v>
      </c>
      <c r="D65" t="s">
        <v>133</v>
      </c>
      <c r="E65">
        <v>25</v>
      </c>
      <c r="F65" t="s">
        <v>134</v>
      </c>
      <c r="G65">
        <v>284</v>
      </c>
      <c r="H65">
        <v>0.376</v>
      </c>
    </row>
    <row r="66" spans="1:8">
      <c r="A66" t="s">
        <v>206</v>
      </c>
      <c r="B66" t="s">
        <v>118</v>
      </c>
      <c r="C66" t="e">
        <f>VLOOKUP(B66,[1]dictTech!$A$2:$B$32,2,FALSE)</f>
        <v>#N/A</v>
      </c>
      <c r="D66" t="s">
        <v>133</v>
      </c>
      <c r="E66">
        <v>13</v>
      </c>
      <c r="F66" t="s">
        <v>134</v>
      </c>
      <c r="G66">
        <v>278</v>
      </c>
      <c r="H66">
        <v>0.376</v>
      </c>
    </row>
    <row r="67" spans="1:8">
      <c r="A67" t="s">
        <v>207</v>
      </c>
      <c r="B67" t="s">
        <v>11</v>
      </c>
      <c r="C67" t="str">
        <f>VLOOKUP(B67,[1]dictTech!$A$2:$B$32,2,FALSE)</f>
        <v>Undefined</v>
      </c>
      <c r="D67" t="s">
        <v>133</v>
      </c>
      <c r="E67">
        <v>27</v>
      </c>
      <c r="F67" t="s">
        <v>134</v>
      </c>
      <c r="G67">
        <v>293</v>
      </c>
      <c r="H67">
        <v>0.35899999999999999</v>
      </c>
    </row>
    <row r="68" spans="1:8">
      <c r="A68" t="s">
        <v>208</v>
      </c>
      <c r="B68" t="s">
        <v>164</v>
      </c>
      <c r="C68" t="e">
        <f>VLOOKUP(B68,[1]dictTech!$A$2:$B$32,2,FALSE)</f>
        <v>#N/A</v>
      </c>
      <c r="D68" t="s">
        <v>133</v>
      </c>
      <c r="E68">
        <v>17</v>
      </c>
      <c r="F68" t="s">
        <v>134</v>
      </c>
      <c r="G68">
        <v>119.1</v>
      </c>
      <c r="H68">
        <v>0.75</v>
      </c>
    </row>
    <row r="69" spans="1:8">
      <c r="A69" t="s">
        <v>209</v>
      </c>
      <c r="B69" t="s">
        <v>176</v>
      </c>
      <c r="C69" t="e">
        <f>VLOOKUP(B69,[1]dictTech!$A$2:$B$32,2,FALSE)</f>
        <v>#N/A</v>
      </c>
      <c r="D69" t="s">
        <v>133</v>
      </c>
      <c r="E69">
        <v>23</v>
      </c>
      <c r="F69" t="s">
        <v>134</v>
      </c>
      <c r="G69">
        <v>1310</v>
      </c>
      <c r="H69">
        <v>0.33</v>
      </c>
    </row>
    <row r="70" spans="1:8">
      <c r="A70" t="s">
        <v>210</v>
      </c>
      <c r="B70" t="s">
        <v>26</v>
      </c>
      <c r="C70" t="str">
        <f>VLOOKUP(B70,[1]dictTech!$A$2:$B$32,2,FALSE)</f>
        <v>Undefined</v>
      </c>
      <c r="D70" t="s">
        <v>133</v>
      </c>
      <c r="E70">
        <v>16</v>
      </c>
      <c r="F70" t="s">
        <v>134</v>
      </c>
      <c r="G70">
        <v>846</v>
      </c>
      <c r="H70">
        <v>0.58499999999999996</v>
      </c>
    </row>
    <row r="71" spans="1:8">
      <c r="A71" t="s">
        <v>211</v>
      </c>
      <c r="B71" t="s">
        <v>23</v>
      </c>
      <c r="C71" t="e">
        <f>VLOOKUP(B71,[1]dictTech!$A$2:$B$32,2,FALSE)</f>
        <v>#N/A</v>
      </c>
      <c r="D71" t="s">
        <v>133</v>
      </c>
      <c r="E71">
        <v>24</v>
      </c>
      <c r="F71" t="s">
        <v>134</v>
      </c>
      <c r="G71">
        <v>323</v>
      </c>
      <c r="H71">
        <v>0.40500000000000003</v>
      </c>
    </row>
    <row r="72" spans="1:8">
      <c r="A72" t="s">
        <v>212</v>
      </c>
      <c r="B72" t="s">
        <v>23</v>
      </c>
      <c r="C72" t="e">
        <f>VLOOKUP(B72,[1]dictTech!$A$2:$B$32,2,FALSE)</f>
        <v>#N/A</v>
      </c>
      <c r="D72" t="s">
        <v>133</v>
      </c>
      <c r="E72">
        <v>37</v>
      </c>
      <c r="F72" t="s">
        <v>134</v>
      </c>
      <c r="G72">
        <v>607.5</v>
      </c>
      <c r="H72">
        <v>0.38500000000000001</v>
      </c>
    </row>
    <row r="73" spans="1:8">
      <c r="A73" t="s">
        <v>213</v>
      </c>
      <c r="B73" t="s">
        <v>11</v>
      </c>
      <c r="C73" t="str">
        <f>VLOOKUP(B73,[1]dictTech!$A$2:$B$32,2,FALSE)</f>
        <v>Undefined</v>
      </c>
      <c r="D73" t="s">
        <v>133</v>
      </c>
      <c r="E73">
        <v>5</v>
      </c>
      <c r="F73" t="s">
        <v>134</v>
      </c>
      <c r="G73">
        <v>355</v>
      </c>
      <c r="H73">
        <v>0.41899999999999998</v>
      </c>
    </row>
    <row r="74" spans="1:8">
      <c r="A74" t="s">
        <v>214</v>
      </c>
      <c r="B74" t="s">
        <v>11</v>
      </c>
      <c r="C74" t="str">
        <f>VLOOKUP(B74,[1]dictTech!$A$2:$B$32,2,FALSE)</f>
        <v>Undefined</v>
      </c>
      <c r="D74" t="s">
        <v>133</v>
      </c>
      <c r="E74">
        <v>7</v>
      </c>
      <c r="F74" t="s">
        <v>134</v>
      </c>
      <c r="G74">
        <v>355</v>
      </c>
      <c r="H74">
        <v>0.41899999999999998</v>
      </c>
    </row>
    <row r="75" spans="1:8">
      <c r="A75" t="s">
        <v>215</v>
      </c>
      <c r="B75" t="s">
        <v>11</v>
      </c>
      <c r="C75" t="str">
        <f>VLOOKUP(B75,[1]dictTech!$A$2:$B$32,2,FALSE)</f>
        <v>Undefined</v>
      </c>
      <c r="D75" t="s">
        <v>133</v>
      </c>
      <c r="E75">
        <v>27</v>
      </c>
      <c r="F75" t="s">
        <v>134</v>
      </c>
      <c r="G75">
        <v>355</v>
      </c>
      <c r="H75">
        <v>0.35499999999999998</v>
      </c>
    </row>
    <row r="76" spans="1:8">
      <c r="A76" t="s">
        <v>216</v>
      </c>
      <c r="B76" t="s">
        <v>11</v>
      </c>
      <c r="C76" t="str">
        <f>VLOOKUP(B76,[1]dictTech!$A$2:$B$32,2,FALSE)</f>
        <v>Undefined</v>
      </c>
      <c r="D76" t="s">
        <v>133</v>
      </c>
      <c r="E76">
        <v>16</v>
      </c>
      <c r="F76" t="s">
        <v>134</v>
      </c>
      <c r="G76">
        <v>112</v>
      </c>
      <c r="H76">
        <v>0.33800000000000002</v>
      </c>
    </row>
    <row r="77" spans="1:8">
      <c r="A77" t="s">
        <v>217</v>
      </c>
      <c r="B77" t="s">
        <v>11</v>
      </c>
      <c r="C77" t="str">
        <f>VLOOKUP(B77,[1]dictTech!$A$2:$B$32,2,FALSE)</f>
        <v>Undefined</v>
      </c>
      <c r="D77" t="s">
        <v>133</v>
      </c>
      <c r="E77">
        <v>15</v>
      </c>
      <c r="F77" t="s">
        <v>134</v>
      </c>
      <c r="G77">
        <v>55</v>
      </c>
      <c r="H77">
        <v>0.31</v>
      </c>
    </row>
    <row r="78" spans="1:8">
      <c r="A78" t="s">
        <v>218</v>
      </c>
      <c r="B78" t="s">
        <v>23</v>
      </c>
      <c r="C78" t="e">
        <f>VLOOKUP(B78,[1]dictTech!$A$2:$B$32,2,FALSE)</f>
        <v>#N/A</v>
      </c>
      <c r="D78" t="s">
        <v>133</v>
      </c>
      <c r="E78">
        <v>8</v>
      </c>
      <c r="F78" t="s">
        <v>134</v>
      </c>
      <c r="G78">
        <v>136</v>
      </c>
      <c r="H78">
        <v>0.39800000000000002</v>
      </c>
    </row>
    <row r="79" spans="1:8">
      <c r="A79" t="s">
        <v>219</v>
      </c>
      <c r="B79" t="s">
        <v>23</v>
      </c>
      <c r="C79" t="e">
        <f>VLOOKUP(B79,[1]dictTech!$A$2:$B$32,2,FALSE)</f>
        <v>#N/A</v>
      </c>
      <c r="D79" t="s">
        <v>133</v>
      </c>
      <c r="E79">
        <v>32</v>
      </c>
      <c r="F79" t="s">
        <v>134</v>
      </c>
      <c r="G79">
        <v>136</v>
      </c>
      <c r="H79">
        <v>0.39800000000000002</v>
      </c>
    </row>
    <row r="80" spans="1:8">
      <c r="A80" t="s">
        <v>220</v>
      </c>
      <c r="B80" t="s">
        <v>26</v>
      </c>
      <c r="C80" t="str">
        <f>VLOOKUP(B80,[1]dictTech!$A$2:$B$32,2,FALSE)</f>
        <v>Undefined</v>
      </c>
      <c r="D80" t="s">
        <v>133</v>
      </c>
      <c r="E80">
        <v>18</v>
      </c>
      <c r="F80" t="s">
        <v>134</v>
      </c>
      <c r="G80">
        <v>230</v>
      </c>
      <c r="H80">
        <v>0.59899999999999998</v>
      </c>
    </row>
    <row r="81" spans="1:8">
      <c r="A81" t="s">
        <v>221</v>
      </c>
      <c r="B81" t="s">
        <v>23</v>
      </c>
      <c r="C81" t="e">
        <f>VLOOKUP(B81,[1]dictTech!$A$2:$B$32,2,FALSE)</f>
        <v>#N/A</v>
      </c>
      <c r="D81" t="s">
        <v>133</v>
      </c>
      <c r="E81">
        <v>26</v>
      </c>
      <c r="F81" t="s">
        <v>134</v>
      </c>
      <c r="G81">
        <v>843</v>
      </c>
      <c r="H81">
        <v>0.46300000000000002</v>
      </c>
    </row>
    <row r="82" spans="1:8">
      <c r="A82" t="s">
        <v>222</v>
      </c>
      <c r="B82" t="s">
        <v>23</v>
      </c>
      <c r="C82" t="e">
        <f>VLOOKUP(B82,[1]dictTech!$A$2:$B$32,2,FALSE)</f>
        <v>#N/A</v>
      </c>
      <c r="D82" t="s">
        <v>133</v>
      </c>
      <c r="E82">
        <v>29</v>
      </c>
      <c r="F82" t="s">
        <v>134</v>
      </c>
      <c r="G82">
        <v>435</v>
      </c>
      <c r="H82">
        <v>0.40799999999999997</v>
      </c>
    </row>
    <row r="83" spans="1:8">
      <c r="A83" t="s">
        <v>223</v>
      </c>
      <c r="B83" t="s">
        <v>23</v>
      </c>
      <c r="C83" t="e">
        <f>VLOOKUP(B83,[1]dictTech!$A$2:$B$32,2,FALSE)</f>
        <v>#N/A</v>
      </c>
      <c r="D83" t="s">
        <v>133</v>
      </c>
      <c r="E83">
        <v>16</v>
      </c>
      <c r="F83" t="s">
        <v>134</v>
      </c>
      <c r="G83">
        <v>425</v>
      </c>
      <c r="H83">
        <v>0.38</v>
      </c>
    </row>
    <row r="84" spans="1:8">
      <c r="A84" t="s">
        <v>224</v>
      </c>
      <c r="B84" t="s">
        <v>23</v>
      </c>
      <c r="C84" t="e">
        <f>VLOOKUP(B84,[1]dictTech!$A$2:$B$32,2,FALSE)</f>
        <v>#N/A</v>
      </c>
      <c r="D84" t="s">
        <v>133</v>
      </c>
      <c r="E84">
        <v>10</v>
      </c>
      <c r="F84" t="s">
        <v>134</v>
      </c>
      <c r="G84">
        <v>255</v>
      </c>
      <c r="H84">
        <v>0.438</v>
      </c>
    </row>
    <row r="85" spans="1:8">
      <c r="A85" t="s">
        <v>225</v>
      </c>
      <c r="B85" t="s">
        <v>23</v>
      </c>
      <c r="C85" t="e">
        <f>VLOOKUP(B85,[1]dictTech!$A$2:$B$32,2,FALSE)</f>
        <v>#N/A</v>
      </c>
      <c r="D85" t="s">
        <v>133</v>
      </c>
      <c r="E85">
        <v>18</v>
      </c>
      <c r="F85" t="s">
        <v>134</v>
      </c>
      <c r="G85">
        <v>103</v>
      </c>
      <c r="H85">
        <v>0.33</v>
      </c>
    </row>
    <row r="86" spans="1:8">
      <c r="A86" t="s">
        <v>226</v>
      </c>
      <c r="B86" t="s">
        <v>164</v>
      </c>
      <c r="C86" t="e">
        <f>VLOOKUP(B86,[1]dictTech!$A$2:$B$32,2,FALSE)</f>
        <v>#N/A</v>
      </c>
      <c r="D86" t="s">
        <v>133</v>
      </c>
      <c r="E86">
        <v>13</v>
      </c>
      <c r="F86" t="s">
        <v>134</v>
      </c>
      <c r="G86">
        <v>1052</v>
      </c>
      <c r="H86">
        <v>0.75</v>
      </c>
    </row>
    <row r="87" spans="1:8">
      <c r="A87" t="s">
        <v>227</v>
      </c>
      <c r="B87" t="s">
        <v>176</v>
      </c>
      <c r="C87" t="e">
        <f>VLOOKUP(B87,[1]dictTech!$A$2:$B$32,2,FALSE)</f>
        <v>#N/A</v>
      </c>
      <c r="D87" t="s">
        <v>133</v>
      </c>
      <c r="E87">
        <v>29</v>
      </c>
      <c r="F87" t="s">
        <v>134</v>
      </c>
      <c r="G87">
        <v>1360</v>
      </c>
      <c r="H87">
        <v>0.33</v>
      </c>
    </row>
    <row r="88" spans="1:8">
      <c r="A88" t="s">
        <v>228</v>
      </c>
      <c r="B88" t="s">
        <v>117</v>
      </c>
      <c r="C88" t="e">
        <f>VLOOKUP(B88,[1]dictTech!$A$2:$B$32,2,FALSE)</f>
        <v>#N/A</v>
      </c>
      <c r="D88" t="s">
        <v>133</v>
      </c>
      <c r="E88">
        <v>8</v>
      </c>
      <c r="F88" t="s">
        <v>134</v>
      </c>
      <c r="G88">
        <v>86.2</v>
      </c>
      <c r="H88">
        <v>0.32</v>
      </c>
    </row>
    <row r="89" spans="1:8">
      <c r="A89" t="s">
        <v>229</v>
      </c>
      <c r="B89" t="s">
        <v>11</v>
      </c>
      <c r="C89" t="str">
        <f>VLOOKUP(B89,[1]dictTech!$A$2:$B$32,2,FALSE)</f>
        <v>Undefined</v>
      </c>
      <c r="D89" t="s">
        <v>133</v>
      </c>
      <c r="E89">
        <v>25</v>
      </c>
      <c r="F89" t="s">
        <v>134</v>
      </c>
      <c r="G89">
        <v>66.7</v>
      </c>
      <c r="H89">
        <v>0.312</v>
      </c>
    </row>
    <row r="90" spans="1:8">
      <c r="A90" t="s">
        <v>230</v>
      </c>
      <c r="B90" t="s">
        <v>11</v>
      </c>
      <c r="C90" t="str">
        <f>VLOOKUP(B90,[1]dictTech!$A$2:$B$32,2,FALSE)</f>
        <v>Undefined</v>
      </c>
      <c r="D90" t="s">
        <v>133</v>
      </c>
      <c r="E90">
        <v>21</v>
      </c>
      <c r="F90" t="s">
        <v>134</v>
      </c>
      <c r="G90">
        <v>64.7</v>
      </c>
      <c r="H90">
        <v>0.312</v>
      </c>
    </row>
    <row r="91" spans="1:8">
      <c r="A91" t="s">
        <v>231</v>
      </c>
      <c r="B91" t="s">
        <v>26</v>
      </c>
      <c r="C91" t="str">
        <f>VLOOKUP(B91,[1]dictTech!$A$2:$B$32,2,FALSE)</f>
        <v>Undefined</v>
      </c>
      <c r="D91" t="s">
        <v>133</v>
      </c>
      <c r="E91">
        <v>15</v>
      </c>
      <c r="F91" t="s">
        <v>134</v>
      </c>
      <c r="G91">
        <v>94.6</v>
      </c>
      <c r="H91">
        <v>0.59899999999999998</v>
      </c>
    </row>
    <row r="92" spans="1:8">
      <c r="A92" t="s">
        <v>232</v>
      </c>
      <c r="B92" t="s">
        <v>26</v>
      </c>
      <c r="C92" t="str">
        <f>VLOOKUP(B92,[1]dictTech!$A$2:$B$32,2,FALSE)</f>
        <v>Undefined</v>
      </c>
      <c r="D92" t="s">
        <v>133</v>
      </c>
      <c r="E92">
        <v>25</v>
      </c>
      <c r="F92" t="s">
        <v>134</v>
      </c>
      <c r="G92">
        <v>100</v>
      </c>
      <c r="H92">
        <v>0.54</v>
      </c>
    </row>
    <row r="93" spans="1:8">
      <c r="A93" t="s">
        <v>233</v>
      </c>
      <c r="B93" t="s">
        <v>26</v>
      </c>
      <c r="C93" t="str">
        <f>VLOOKUP(B93,[1]dictTech!$A$2:$B$32,2,FALSE)</f>
        <v>Undefined</v>
      </c>
      <c r="D93" t="s">
        <v>133</v>
      </c>
      <c r="E93">
        <v>22</v>
      </c>
      <c r="F93" t="s">
        <v>134</v>
      </c>
      <c r="G93">
        <v>60.1</v>
      </c>
      <c r="H93">
        <v>0.53100000000000003</v>
      </c>
    </row>
    <row r="94" spans="1:8">
      <c r="A94" t="s">
        <v>234</v>
      </c>
      <c r="B94" t="s">
        <v>26</v>
      </c>
      <c r="C94" t="str">
        <f>VLOOKUP(B94,[1]dictTech!$A$2:$B$32,2,FALSE)</f>
        <v>Undefined</v>
      </c>
      <c r="D94" t="s">
        <v>133</v>
      </c>
      <c r="E94">
        <v>14</v>
      </c>
      <c r="F94" t="s">
        <v>134</v>
      </c>
      <c r="G94">
        <v>106</v>
      </c>
      <c r="H94">
        <v>0.54</v>
      </c>
    </row>
    <row r="95" spans="1:8">
      <c r="A95" t="s">
        <v>235</v>
      </c>
      <c r="B95" t="s">
        <v>26</v>
      </c>
      <c r="C95" t="str">
        <f>VLOOKUP(B95,[1]dictTech!$A$2:$B$32,2,FALSE)</f>
        <v>Undefined</v>
      </c>
      <c r="D95" t="s">
        <v>133</v>
      </c>
      <c r="E95">
        <v>15</v>
      </c>
      <c r="F95" t="s">
        <v>134</v>
      </c>
      <c r="G95">
        <v>108</v>
      </c>
      <c r="H95">
        <v>0.52200000000000002</v>
      </c>
    </row>
    <row r="96" spans="1:8">
      <c r="A96" t="s">
        <v>236</v>
      </c>
      <c r="B96" t="s">
        <v>26</v>
      </c>
      <c r="C96" t="str">
        <f>VLOOKUP(B96,[1]dictTech!$A$2:$B$32,2,FALSE)</f>
        <v>Undefined</v>
      </c>
      <c r="D96" t="s">
        <v>133</v>
      </c>
      <c r="E96">
        <v>14</v>
      </c>
      <c r="F96" t="s">
        <v>134</v>
      </c>
      <c r="G96">
        <v>122</v>
      </c>
      <c r="H96">
        <v>0.51300000000000001</v>
      </c>
    </row>
    <row r="97" spans="1:8">
      <c r="A97" t="s">
        <v>237</v>
      </c>
      <c r="B97" t="s">
        <v>26</v>
      </c>
      <c r="C97" t="str">
        <f>VLOOKUP(B97,[1]dictTech!$A$2:$B$32,2,FALSE)</f>
        <v>Undefined</v>
      </c>
      <c r="D97" t="s">
        <v>133</v>
      </c>
      <c r="E97">
        <v>12</v>
      </c>
      <c r="F97" t="s">
        <v>134</v>
      </c>
      <c r="G97">
        <v>127</v>
      </c>
      <c r="H97">
        <v>0.58099999999999996</v>
      </c>
    </row>
    <row r="98" spans="1:8">
      <c r="A98" t="s">
        <v>238</v>
      </c>
      <c r="B98" t="s">
        <v>26</v>
      </c>
      <c r="C98" t="str">
        <f>VLOOKUP(B98,[1]dictTech!$A$2:$B$32,2,FALSE)</f>
        <v>Undefined</v>
      </c>
      <c r="D98" t="s">
        <v>133</v>
      </c>
      <c r="E98">
        <v>28</v>
      </c>
      <c r="F98" t="s">
        <v>134</v>
      </c>
      <c r="G98">
        <v>112.1</v>
      </c>
      <c r="H98">
        <v>0.53600000000000003</v>
      </c>
    </row>
    <row r="99" spans="1:8">
      <c r="A99" t="s">
        <v>239</v>
      </c>
      <c r="B99" t="s">
        <v>26</v>
      </c>
      <c r="C99" t="str">
        <f>VLOOKUP(B99,[1]dictTech!$A$2:$B$32,2,FALSE)</f>
        <v>Undefined</v>
      </c>
      <c r="D99" t="s">
        <v>133</v>
      </c>
      <c r="E99">
        <v>19</v>
      </c>
      <c r="F99" t="s">
        <v>134</v>
      </c>
      <c r="G99">
        <v>75</v>
      </c>
      <c r="H99">
        <v>0.52700000000000002</v>
      </c>
    </row>
    <row r="100" spans="1:8">
      <c r="A100" t="s">
        <v>240</v>
      </c>
      <c r="B100" t="s">
        <v>26</v>
      </c>
      <c r="C100" t="str">
        <f>VLOOKUP(B100,[1]dictTech!$A$2:$B$32,2,FALSE)</f>
        <v>Undefined</v>
      </c>
      <c r="D100" t="s">
        <v>133</v>
      </c>
      <c r="E100">
        <v>4</v>
      </c>
      <c r="F100" t="s">
        <v>134</v>
      </c>
      <c r="G100">
        <v>132</v>
      </c>
      <c r="H100">
        <v>0.52200000000000002</v>
      </c>
    </row>
    <row r="101" spans="1:8">
      <c r="A101" t="s">
        <v>241</v>
      </c>
      <c r="B101" t="s">
        <v>164</v>
      </c>
      <c r="C101" t="e">
        <f>VLOOKUP(B101,[1]dictTech!$A$2:$B$32,2,FALSE)</f>
        <v>#N/A</v>
      </c>
      <c r="D101" t="s">
        <v>133</v>
      </c>
      <c r="E101">
        <v>24</v>
      </c>
      <c r="F101" t="s">
        <v>134</v>
      </c>
      <c r="G101">
        <v>160</v>
      </c>
      <c r="H101">
        <v>0.75</v>
      </c>
    </row>
    <row r="102" spans="1:8">
      <c r="A102" t="s">
        <v>242</v>
      </c>
      <c r="B102" t="s">
        <v>23</v>
      </c>
      <c r="C102" t="e">
        <f>VLOOKUP(B102,[1]dictTech!$A$2:$B$32,2,FALSE)</f>
        <v>#N/A</v>
      </c>
      <c r="D102" t="s">
        <v>133</v>
      </c>
      <c r="E102">
        <v>29</v>
      </c>
      <c r="F102" t="s">
        <v>134</v>
      </c>
      <c r="G102">
        <v>211</v>
      </c>
      <c r="H102">
        <v>0.39800000000000002</v>
      </c>
    </row>
    <row r="103" spans="1:8">
      <c r="A103" t="s">
        <v>243</v>
      </c>
      <c r="B103" t="s">
        <v>23</v>
      </c>
      <c r="C103" t="e">
        <f>VLOOKUP(B103,[1]dictTech!$A$2:$B$32,2,FALSE)</f>
        <v>#N/A</v>
      </c>
      <c r="D103" t="s">
        <v>133</v>
      </c>
      <c r="E103">
        <v>5</v>
      </c>
      <c r="F103" t="s">
        <v>134</v>
      </c>
      <c r="G103">
        <v>433</v>
      </c>
      <c r="H103">
        <v>0.45500000000000002</v>
      </c>
    </row>
    <row r="104" spans="1:8">
      <c r="A104" t="s">
        <v>244</v>
      </c>
      <c r="B104" t="s">
        <v>23</v>
      </c>
      <c r="C104" t="e">
        <f>VLOOKUP(B104,[1]dictTech!$A$2:$B$32,2,FALSE)</f>
        <v>#N/A</v>
      </c>
      <c r="D104" t="s">
        <v>133</v>
      </c>
      <c r="E104">
        <v>34</v>
      </c>
      <c r="F104" t="s">
        <v>134</v>
      </c>
      <c r="G104">
        <v>336</v>
      </c>
      <c r="H104">
        <v>0.44</v>
      </c>
    </row>
    <row r="105" spans="1:8">
      <c r="A105" t="s">
        <v>245</v>
      </c>
      <c r="B105" t="s">
        <v>11</v>
      </c>
      <c r="C105" t="str">
        <f>VLOOKUP(B105,[1]dictTech!$A$2:$B$32,2,FALSE)</f>
        <v>Undefined</v>
      </c>
      <c r="D105" t="s">
        <v>133</v>
      </c>
      <c r="E105">
        <v>15</v>
      </c>
      <c r="F105" t="s">
        <v>134</v>
      </c>
      <c r="G105">
        <v>81</v>
      </c>
      <c r="H105">
        <v>0.315</v>
      </c>
    </row>
    <row r="106" spans="1:8">
      <c r="A106" t="s">
        <v>246</v>
      </c>
      <c r="B106" t="s">
        <v>11</v>
      </c>
      <c r="C106" t="str">
        <f>VLOOKUP(B106,[1]dictTech!$A$2:$B$32,2,FALSE)</f>
        <v>Undefined</v>
      </c>
      <c r="D106" t="s">
        <v>133</v>
      </c>
      <c r="E106">
        <v>15</v>
      </c>
      <c r="F106" t="s">
        <v>134</v>
      </c>
      <c r="G106">
        <v>65</v>
      </c>
      <c r="H106">
        <v>0.372</v>
      </c>
    </row>
    <row r="107" spans="1:8">
      <c r="A107" t="s">
        <v>247</v>
      </c>
      <c r="B107" t="s">
        <v>11</v>
      </c>
      <c r="C107" t="str">
        <f>VLOOKUP(B107,[1]dictTech!$A$2:$B$32,2,FALSE)</f>
        <v>Undefined</v>
      </c>
      <c r="D107" t="s">
        <v>133</v>
      </c>
      <c r="E107">
        <v>19</v>
      </c>
      <c r="F107" t="s">
        <v>134</v>
      </c>
      <c r="G107">
        <v>57</v>
      </c>
      <c r="H107">
        <v>0.31</v>
      </c>
    </row>
    <row r="108" spans="1:8">
      <c r="A108" t="s">
        <v>248</v>
      </c>
      <c r="B108" t="s">
        <v>11</v>
      </c>
      <c r="C108" t="str">
        <f>VLOOKUP(B108,[1]dictTech!$A$2:$B$32,2,FALSE)</f>
        <v>Undefined</v>
      </c>
      <c r="D108" t="s">
        <v>133</v>
      </c>
      <c r="E108">
        <v>9</v>
      </c>
      <c r="F108" t="s">
        <v>134</v>
      </c>
      <c r="G108">
        <v>74</v>
      </c>
      <c r="H108">
        <v>0.38100000000000001</v>
      </c>
    </row>
    <row r="109" spans="1:8">
      <c r="A109" t="s">
        <v>249</v>
      </c>
      <c r="B109" t="s">
        <v>26</v>
      </c>
      <c r="C109" t="str">
        <f>VLOOKUP(B109,[1]dictTech!$A$2:$B$32,2,FALSE)</f>
        <v>Undefined</v>
      </c>
      <c r="D109" t="s">
        <v>133</v>
      </c>
      <c r="E109">
        <v>20</v>
      </c>
      <c r="F109" t="s">
        <v>134</v>
      </c>
      <c r="G109">
        <v>100.2</v>
      </c>
      <c r="H109">
        <v>0.56299999999999994</v>
      </c>
    </row>
    <row r="110" spans="1:8">
      <c r="A110" t="s">
        <v>250</v>
      </c>
      <c r="B110" t="s">
        <v>26</v>
      </c>
      <c r="C110" t="str">
        <f>VLOOKUP(B110,[1]dictTech!$A$2:$B$32,2,FALSE)</f>
        <v>Undefined</v>
      </c>
      <c r="D110" t="s">
        <v>133</v>
      </c>
      <c r="E110">
        <v>22</v>
      </c>
      <c r="F110" t="s">
        <v>134</v>
      </c>
      <c r="G110">
        <v>230</v>
      </c>
      <c r="H110">
        <v>0.55800000000000005</v>
      </c>
    </row>
    <row r="111" spans="1:8">
      <c r="A111" t="s">
        <v>251</v>
      </c>
      <c r="B111" t="s">
        <v>23</v>
      </c>
      <c r="C111" t="e">
        <f>VLOOKUP(B111,[1]dictTech!$A$2:$B$32,2,FALSE)</f>
        <v>#N/A</v>
      </c>
      <c r="D111" t="s">
        <v>133</v>
      </c>
      <c r="E111">
        <v>14</v>
      </c>
      <c r="F111" t="s">
        <v>134</v>
      </c>
      <c r="G111">
        <v>778</v>
      </c>
      <c r="H111">
        <v>0.44800000000000001</v>
      </c>
    </row>
    <row r="112" spans="1:8">
      <c r="A112" t="s">
        <v>252</v>
      </c>
      <c r="B112" t="s">
        <v>23</v>
      </c>
      <c r="C112" t="e">
        <f>VLOOKUP(B112,[1]dictTech!$A$2:$B$32,2,FALSE)</f>
        <v>#N/A</v>
      </c>
      <c r="D112" t="s">
        <v>133</v>
      </c>
      <c r="E112">
        <v>23</v>
      </c>
      <c r="F112" t="s">
        <v>134</v>
      </c>
      <c r="G112">
        <v>125</v>
      </c>
      <c r="H112">
        <v>0.45</v>
      </c>
    </row>
    <row r="113" spans="1:8">
      <c r="A113" t="s">
        <v>253</v>
      </c>
      <c r="B113" t="s">
        <v>23</v>
      </c>
      <c r="C113" t="e">
        <f>VLOOKUP(B113,[1]dictTech!$A$2:$B$32,2,FALSE)</f>
        <v>#N/A</v>
      </c>
      <c r="D113" t="s">
        <v>133</v>
      </c>
      <c r="E113">
        <v>4</v>
      </c>
      <c r="F113" t="s">
        <v>134</v>
      </c>
      <c r="G113">
        <v>125</v>
      </c>
      <c r="H113">
        <v>0.45</v>
      </c>
    </row>
    <row r="114" spans="1:8">
      <c r="A114" t="s">
        <v>254</v>
      </c>
      <c r="B114" t="s">
        <v>11</v>
      </c>
      <c r="C114" t="str">
        <f>VLOOKUP(B114,[1]dictTech!$A$2:$B$32,2,FALSE)</f>
        <v>Undefined</v>
      </c>
      <c r="D114" t="s">
        <v>133</v>
      </c>
      <c r="E114">
        <v>1</v>
      </c>
      <c r="F114" t="s">
        <v>134</v>
      </c>
      <c r="G114">
        <v>95</v>
      </c>
      <c r="H114">
        <v>0.39900000000000002</v>
      </c>
    </row>
    <row r="115" spans="1:8">
      <c r="A115" t="s">
        <v>255</v>
      </c>
      <c r="B115" t="s">
        <v>26</v>
      </c>
      <c r="C115" t="str">
        <f>VLOOKUP(B115,[1]dictTech!$A$2:$B$32,2,FALSE)</f>
        <v>Undefined</v>
      </c>
      <c r="D115" t="s">
        <v>133</v>
      </c>
      <c r="E115">
        <v>24</v>
      </c>
      <c r="F115" t="s">
        <v>134</v>
      </c>
      <c r="G115">
        <v>167</v>
      </c>
      <c r="H115">
        <v>0.58499999999999996</v>
      </c>
    </row>
    <row r="116" spans="1:8">
      <c r="A116" t="s">
        <v>256</v>
      </c>
      <c r="B116" t="s">
        <v>11</v>
      </c>
      <c r="C116" t="str">
        <f>VLOOKUP(B116,[1]dictTech!$A$2:$B$32,2,FALSE)</f>
        <v>Undefined</v>
      </c>
      <c r="D116" t="s">
        <v>133</v>
      </c>
      <c r="E116">
        <v>21</v>
      </c>
      <c r="F116" t="s">
        <v>134</v>
      </c>
      <c r="G116">
        <v>95</v>
      </c>
      <c r="H116">
        <v>0.39900000000000002</v>
      </c>
    </row>
    <row r="117" spans="1:8">
      <c r="A117" t="s">
        <v>257</v>
      </c>
      <c r="B117" t="s">
        <v>26</v>
      </c>
      <c r="C117" t="str">
        <f>VLOOKUP(B117,[1]dictTech!$A$2:$B$32,2,FALSE)</f>
        <v>Undefined</v>
      </c>
      <c r="D117" t="s">
        <v>133</v>
      </c>
      <c r="E117">
        <v>19</v>
      </c>
      <c r="F117" t="s">
        <v>134</v>
      </c>
      <c r="G117">
        <v>86</v>
      </c>
      <c r="H117">
        <v>0.55400000000000005</v>
      </c>
    </row>
    <row r="118" spans="1:8">
      <c r="A118" t="s">
        <v>258</v>
      </c>
      <c r="B118" t="s">
        <v>23</v>
      </c>
      <c r="C118" t="e">
        <f>VLOOKUP(B118,[1]dictTech!$A$2:$B$32,2,FALSE)</f>
        <v>#N/A</v>
      </c>
      <c r="D118" t="s">
        <v>133</v>
      </c>
      <c r="E118">
        <v>32</v>
      </c>
      <c r="F118" t="s">
        <v>134</v>
      </c>
      <c r="G118">
        <v>875</v>
      </c>
      <c r="H118">
        <v>0.39300000000000002</v>
      </c>
    </row>
    <row r="119" spans="1:8">
      <c r="A119" t="s">
        <v>259</v>
      </c>
      <c r="B119" t="s">
        <v>164</v>
      </c>
      <c r="C119" t="e">
        <f>VLOOKUP(B119,[1]dictTech!$A$2:$B$32,2,FALSE)</f>
        <v>#N/A</v>
      </c>
      <c r="D119" t="s">
        <v>133</v>
      </c>
      <c r="E119">
        <v>43</v>
      </c>
      <c r="F119" t="s">
        <v>134</v>
      </c>
      <c r="G119">
        <v>100</v>
      </c>
      <c r="H119">
        <v>0.75</v>
      </c>
    </row>
    <row r="120" spans="1:8">
      <c r="A120" t="s">
        <v>260</v>
      </c>
      <c r="B120" t="s">
        <v>26</v>
      </c>
      <c r="C120" t="str">
        <f>VLOOKUP(B120,[1]dictTech!$A$2:$B$32,2,FALSE)</f>
        <v>Undefined</v>
      </c>
      <c r="D120" t="s">
        <v>133</v>
      </c>
      <c r="E120">
        <v>15</v>
      </c>
      <c r="F120" t="s">
        <v>134</v>
      </c>
      <c r="G120">
        <v>82</v>
      </c>
      <c r="H120">
        <v>0.56299999999999994</v>
      </c>
    </row>
    <row r="121" spans="1:8">
      <c r="A121" t="s">
        <v>261</v>
      </c>
      <c r="B121" t="s">
        <v>11</v>
      </c>
      <c r="C121" t="str">
        <f>VLOOKUP(B121,[1]dictTech!$A$2:$B$32,2,FALSE)</f>
        <v>Undefined</v>
      </c>
      <c r="D121" t="s">
        <v>133</v>
      </c>
      <c r="E121">
        <v>7</v>
      </c>
      <c r="F121" t="s">
        <v>134</v>
      </c>
      <c r="G121">
        <v>57.2</v>
      </c>
      <c r="H121">
        <v>0.37</v>
      </c>
    </row>
    <row r="122" spans="1:8">
      <c r="A122" t="s">
        <v>262</v>
      </c>
      <c r="B122" t="s">
        <v>26</v>
      </c>
      <c r="C122" t="str">
        <f>VLOOKUP(B122,[1]dictTech!$A$2:$B$32,2,FALSE)</f>
        <v>Undefined</v>
      </c>
      <c r="D122" t="s">
        <v>133</v>
      </c>
      <c r="E122">
        <v>18</v>
      </c>
      <c r="F122" t="s">
        <v>134</v>
      </c>
      <c r="G122">
        <v>263</v>
      </c>
      <c r="H122">
        <v>0.51800000000000002</v>
      </c>
    </row>
    <row r="123" spans="1:8">
      <c r="A123" t="s">
        <v>263</v>
      </c>
      <c r="B123" t="s">
        <v>23</v>
      </c>
      <c r="C123" t="e">
        <f>VLOOKUP(B123,[1]dictTech!$A$2:$B$32,2,FALSE)</f>
        <v>#N/A</v>
      </c>
      <c r="D123" t="s">
        <v>133</v>
      </c>
      <c r="E123">
        <v>9</v>
      </c>
      <c r="F123" t="s">
        <v>134</v>
      </c>
      <c r="G123">
        <v>85</v>
      </c>
      <c r="H123">
        <v>0.39800000000000002</v>
      </c>
    </row>
    <row r="124" spans="1:8">
      <c r="A124" t="s">
        <v>264</v>
      </c>
      <c r="B124" t="s">
        <v>11</v>
      </c>
      <c r="C124" t="str">
        <f>VLOOKUP(B124,[1]dictTech!$A$2:$B$32,2,FALSE)</f>
        <v>Undefined</v>
      </c>
      <c r="D124" t="s">
        <v>133</v>
      </c>
      <c r="E124">
        <v>22</v>
      </c>
      <c r="F124" t="s">
        <v>134</v>
      </c>
      <c r="G124">
        <v>57</v>
      </c>
      <c r="H124">
        <v>0.39400000000000002</v>
      </c>
    </row>
    <row r="125" spans="1:8">
      <c r="A125" t="s">
        <v>265</v>
      </c>
      <c r="B125" t="s">
        <v>26</v>
      </c>
      <c r="C125" t="str">
        <f>VLOOKUP(B125,[1]dictTech!$A$2:$B$32,2,FALSE)</f>
        <v>Undefined</v>
      </c>
      <c r="D125" t="s">
        <v>133</v>
      </c>
      <c r="E125">
        <v>5</v>
      </c>
      <c r="F125" t="s">
        <v>134</v>
      </c>
      <c r="G125">
        <v>76.5</v>
      </c>
      <c r="H125">
        <v>0.54</v>
      </c>
    </row>
    <row r="126" spans="1:8">
      <c r="A126" t="s">
        <v>266</v>
      </c>
      <c r="B126" t="s">
        <v>11</v>
      </c>
      <c r="C126" t="str">
        <f>VLOOKUP(B126,[1]dictTech!$A$2:$B$32,2,FALSE)</f>
        <v>Undefined</v>
      </c>
      <c r="D126" t="s">
        <v>133</v>
      </c>
      <c r="E126">
        <v>1</v>
      </c>
      <c r="F126" t="s">
        <v>134</v>
      </c>
      <c r="G126">
        <v>97</v>
      </c>
      <c r="H126">
        <v>0.39100000000000001</v>
      </c>
    </row>
    <row r="127" spans="1:8">
      <c r="A127" t="s">
        <v>267</v>
      </c>
      <c r="B127" t="s">
        <v>26</v>
      </c>
      <c r="C127" t="str">
        <f>VLOOKUP(B127,[1]dictTech!$A$2:$B$32,2,FALSE)</f>
        <v>Undefined</v>
      </c>
      <c r="D127" t="s">
        <v>133</v>
      </c>
      <c r="E127">
        <v>10</v>
      </c>
      <c r="F127" t="s">
        <v>134</v>
      </c>
      <c r="G127">
        <v>54</v>
      </c>
      <c r="H127">
        <v>0.59899999999999998</v>
      </c>
    </row>
    <row r="128" spans="1:8">
      <c r="A128" t="s">
        <v>268</v>
      </c>
      <c r="B128" t="s">
        <v>23</v>
      </c>
      <c r="C128" t="e">
        <f>VLOOKUP(B128,[1]dictTech!$A$2:$B$32,2,FALSE)</f>
        <v>#N/A</v>
      </c>
      <c r="D128" t="s">
        <v>133</v>
      </c>
      <c r="E128">
        <v>8</v>
      </c>
      <c r="F128" t="s">
        <v>134</v>
      </c>
      <c r="G128">
        <v>95</v>
      </c>
      <c r="H128">
        <v>0.38800000000000001</v>
      </c>
    </row>
    <row r="129" spans="1:8">
      <c r="A129" t="s">
        <v>269</v>
      </c>
      <c r="B129" t="s">
        <v>26</v>
      </c>
      <c r="C129" t="str">
        <f>VLOOKUP(B129,[1]dictTech!$A$2:$B$32,2,FALSE)</f>
        <v>Undefined</v>
      </c>
      <c r="D129" t="s">
        <v>133</v>
      </c>
      <c r="E129">
        <v>26</v>
      </c>
      <c r="F129" t="s">
        <v>134</v>
      </c>
      <c r="G129">
        <v>234</v>
      </c>
      <c r="H129">
        <v>0.56299999999999994</v>
      </c>
    </row>
    <row r="130" spans="1:8">
      <c r="A130" t="s">
        <v>270</v>
      </c>
      <c r="B130" t="s">
        <v>26</v>
      </c>
      <c r="C130" t="str">
        <f>VLOOKUP(B130,[1]dictTech!$A$2:$B$32,2,FALSE)</f>
        <v>Undefined</v>
      </c>
      <c r="D130" t="s">
        <v>133</v>
      </c>
      <c r="E130">
        <v>7</v>
      </c>
      <c r="F130" t="s">
        <v>134</v>
      </c>
      <c r="G130">
        <v>182</v>
      </c>
      <c r="H130">
        <v>0.52200000000000002</v>
      </c>
    </row>
    <row r="131" spans="1:8">
      <c r="A131" t="s">
        <v>271</v>
      </c>
      <c r="B131" t="s">
        <v>26</v>
      </c>
      <c r="C131" t="str">
        <f>VLOOKUP(B131,[1]dictTech!$A$2:$B$32,2,FALSE)</f>
        <v>Undefined</v>
      </c>
      <c r="D131" t="s">
        <v>133</v>
      </c>
      <c r="E131">
        <v>21</v>
      </c>
      <c r="F131" t="s">
        <v>134</v>
      </c>
      <c r="G131">
        <v>108</v>
      </c>
      <c r="H131">
        <v>0.55800000000000005</v>
      </c>
    </row>
    <row r="132" spans="1:8">
      <c r="A132" t="s">
        <v>272</v>
      </c>
      <c r="B132" t="s">
        <v>26</v>
      </c>
      <c r="C132" t="str">
        <f>VLOOKUP(B132,[1]dictTech!$A$2:$B$32,2,FALSE)</f>
        <v>Undefined</v>
      </c>
      <c r="D132" t="s">
        <v>133</v>
      </c>
      <c r="E132">
        <v>4</v>
      </c>
      <c r="F132" t="s">
        <v>134</v>
      </c>
      <c r="G132">
        <v>70</v>
      </c>
      <c r="H132">
        <v>0.56299999999999994</v>
      </c>
    </row>
    <row r="133" spans="1:8">
      <c r="A133" t="s">
        <v>273</v>
      </c>
      <c r="B133" t="s">
        <v>26</v>
      </c>
      <c r="C133" t="str">
        <f>VLOOKUP(B133,[1]dictTech!$A$2:$B$32,2,FALSE)</f>
        <v>Undefined</v>
      </c>
      <c r="D133" t="s">
        <v>133</v>
      </c>
      <c r="E133">
        <v>8</v>
      </c>
      <c r="F133" t="s">
        <v>134</v>
      </c>
      <c r="G133">
        <v>413</v>
      </c>
      <c r="H133">
        <v>0.57599999999999996</v>
      </c>
    </row>
    <row r="134" spans="1:8">
      <c r="A134" t="s">
        <v>274</v>
      </c>
      <c r="B134" t="s">
        <v>11</v>
      </c>
      <c r="C134" t="str">
        <f>VLOOKUP(B134,[1]dictTech!$A$2:$B$32,2,FALSE)</f>
        <v>Undefined</v>
      </c>
      <c r="D134" t="s">
        <v>133</v>
      </c>
      <c r="E134">
        <v>20</v>
      </c>
      <c r="F134" t="s">
        <v>134</v>
      </c>
      <c r="G134">
        <v>81.8</v>
      </c>
      <c r="H134">
        <v>0.38100000000000001</v>
      </c>
    </row>
    <row r="135" spans="1:8">
      <c r="A135" t="s">
        <v>275</v>
      </c>
      <c r="B135" t="s">
        <v>26</v>
      </c>
      <c r="C135" t="str">
        <f>VLOOKUP(B135,[1]dictTech!$A$2:$B$32,2,FALSE)</f>
        <v>Undefined</v>
      </c>
      <c r="D135" t="s">
        <v>133</v>
      </c>
      <c r="E135">
        <v>25</v>
      </c>
      <c r="F135" t="s">
        <v>134</v>
      </c>
      <c r="G135">
        <v>75</v>
      </c>
      <c r="H135">
        <v>0.59399999999999997</v>
      </c>
    </row>
    <row r="136" spans="1:8">
      <c r="A136" t="s">
        <v>276</v>
      </c>
      <c r="B136" t="s">
        <v>26</v>
      </c>
      <c r="C136" t="str">
        <f>VLOOKUP(B136,[1]dictTech!$A$2:$B$32,2,FALSE)</f>
        <v>Undefined</v>
      </c>
      <c r="D136" t="s">
        <v>133</v>
      </c>
      <c r="E136">
        <v>8</v>
      </c>
      <c r="F136" t="s">
        <v>134</v>
      </c>
      <c r="G136">
        <v>75</v>
      </c>
      <c r="H136">
        <v>0.56299999999999994</v>
      </c>
    </row>
    <row r="137" spans="1:8">
      <c r="A137" t="s">
        <v>277</v>
      </c>
      <c r="B137" t="s">
        <v>26</v>
      </c>
      <c r="C137" t="str">
        <f>VLOOKUP(B137,[1]dictTech!$A$2:$B$32,2,FALSE)</f>
        <v>Undefined</v>
      </c>
      <c r="D137" t="s">
        <v>133</v>
      </c>
      <c r="E137">
        <v>26</v>
      </c>
      <c r="F137" t="s">
        <v>134</v>
      </c>
      <c r="G137">
        <v>75</v>
      </c>
      <c r="H137">
        <v>0.56299999999999994</v>
      </c>
    </row>
    <row r="138" spans="1:8">
      <c r="A138" t="s">
        <v>278</v>
      </c>
      <c r="B138" t="s">
        <v>23</v>
      </c>
      <c r="C138" t="e">
        <f>VLOOKUP(B138,[1]dictTech!$A$2:$B$32,2,FALSE)</f>
        <v>#N/A</v>
      </c>
      <c r="D138" t="s">
        <v>133</v>
      </c>
      <c r="E138">
        <v>37</v>
      </c>
      <c r="F138" t="s">
        <v>134</v>
      </c>
      <c r="G138">
        <v>138.5</v>
      </c>
      <c r="H138">
        <v>0.38800000000000001</v>
      </c>
    </row>
    <row r="139" spans="1:8">
      <c r="A139" t="s">
        <v>279</v>
      </c>
      <c r="B139" t="s">
        <v>23</v>
      </c>
      <c r="C139" t="e">
        <f>VLOOKUP(B139,[1]dictTech!$A$2:$B$32,2,FALSE)</f>
        <v>#N/A</v>
      </c>
      <c r="D139" t="s">
        <v>133</v>
      </c>
      <c r="E139">
        <v>3</v>
      </c>
      <c r="F139" t="s">
        <v>134</v>
      </c>
      <c r="G139">
        <v>138.5</v>
      </c>
      <c r="H139">
        <v>0.38800000000000001</v>
      </c>
    </row>
    <row r="140" spans="1:8">
      <c r="A140" t="s">
        <v>280</v>
      </c>
      <c r="B140" t="s">
        <v>11</v>
      </c>
      <c r="C140" t="str">
        <f>VLOOKUP(B140,[1]dictTech!$A$2:$B$32,2,FALSE)</f>
        <v>Undefined</v>
      </c>
      <c r="D140" t="s">
        <v>133</v>
      </c>
      <c r="E140">
        <v>18</v>
      </c>
      <c r="F140" t="s">
        <v>134</v>
      </c>
      <c r="G140">
        <v>99</v>
      </c>
      <c r="H140">
        <v>0.36399999999999999</v>
      </c>
    </row>
    <row r="141" spans="1:8">
      <c r="A141" t="s">
        <v>281</v>
      </c>
      <c r="B141" t="s">
        <v>11</v>
      </c>
      <c r="C141" t="str">
        <f>VLOOKUP(B141,[1]dictTech!$A$2:$B$32,2,FALSE)</f>
        <v>Undefined</v>
      </c>
      <c r="D141" t="s">
        <v>133</v>
      </c>
      <c r="E141">
        <v>23</v>
      </c>
      <c r="F141" t="s">
        <v>134</v>
      </c>
      <c r="G141">
        <v>59</v>
      </c>
      <c r="H141">
        <v>0.39400000000000002</v>
      </c>
    </row>
    <row r="142" spans="1:8">
      <c r="A142" t="s">
        <v>282</v>
      </c>
      <c r="B142" t="s">
        <v>11</v>
      </c>
      <c r="C142" t="str">
        <f>VLOOKUP(B142,[1]dictTech!$A$2:$B$32,2,FALSE)</f>
        <v>Undefined</v>
      </c>
      <c r="D142" t="s">
        <v>133</v>
      </c>
      <c r="E142">
        <v>29</v>
      </c>
      <c r="F142" t="s">
        <v>134</v>
      </c>
      <c r="G142">
        <v>65</v>
      </c>
      <c r="H142">
        <v>0.40200000000000002</v>
      </c>
    </row>
    <row r="143" spans="1:8">
      <c r="A143" t="s">
        <v>283</v>
      </c>
      <c r="B143" t="s">
        <v>26</v>
      </c>
      <c r="C143" t="str">
        <f>VLOOKUP(B143,[1]dictTech!$A$2:$B$32,2,FALSE)</f>
        <v>Undefined</v>
      </c>
      <c r="D143" t="s">
        <v>133</v>
      </c>
      <c r="E143">
        <v>12</v>
      </c>
      <c r="F143" t="s">
        <v>134</v>
      </c>
      <c r="G143">
        <v>74</v>
      </c>
      <c r="H143">
        <v>0.58499999999999996</v>
      </c>
    </row>
    <row r="144" spans="1:8">
      <c r="A144" t="s">
        <v>284</v>
      </c>
      <c r="B144" t="s">
        <v>164</v>
      </c>
      <c r="C144" t="e">
        <f>VLOOKUP(B144,[1]dictTech!$A$2:$B$32,2,FALSE)</f>
        <v>#N/A</v>
      </c>
      <c r="D144" t="s">
        <v>133</v>
      </c>
      <c r="E144">
        <v>22</v>
      </c>
      <c r="F144" t="s">
        <v>134</v>
      </c>
      <c r="G144">
        <v>59.8</v>
      </c>
      <c r="H144">
        <v>0.8</v>
      </c>
    </row>
    <row r="145" spans="1:8">
      <c r="A145" t="s">
        <v>285</v>
      </c>
      <c r="B145" t="s">
        <v>164</v>
      </c>
      <c r="C145" t="e">
        <f>VLOOKUP(B145,[1]dictTech!$A$2:$B$32,2,FALSE)</f>
        <v>#N/A</v>
      </c>
      <c r="D145" t="s">
        <v>133</v>
      </c>
      <c r="E145">
        <v>47</v>
      </c>
      <c r="F145" t="s">
        <v>134</v>
      </c>
      <c r="G145">
        <v>317.8</v>
      </c>
      <c r="H145">
        <v>0.75</v>
      </c>
    </row>
    <row r="146" spans="1:8">
      <c r="A146" t="s">
        <v>286</v>
      </c>
      <c r="B146" t="s">
        <v>11</v>
      </c>
      <c r="C146" t="str">
        <f>VLOOKUP(B146,[1]dictTech!$A$2:$B$32,2,FALSE)</f>
        <v>Undefined</v>
      </c>
      <c r="D146" t="s">
        <v>133</v>
      </c>
      <c r="E146">
        <v>11</v>
      </c>
      <c r="F146" t="s">
        <v>134</v>
      </c>
      <c r="G146">
        <v>84</v>
      </c>
      <c r="H146">
        <v>0.32800000000000001</v>
      </c>
    </row>
    <row r="147" spans="1:8">
      <c r="A147" t="s">
        <v>287</v>
      </c>
      <c r="B147" t="s">
        <v>117</v>
      </c>
      <c r="C147" t="e">
        <f>VLOOKUP(B147,[1]dictTech!$A$2:$B$32,2,FALSE)</f>
        <v>#N/A</v>
      </c>
      <c r="D147" t="s">
        <v>133</v>
      </c>
      <c r="E147">
        <v>8</v>
      </c>
      <c r="F147" t="s">
        <v>134</v>
      </c>
      <c r="G147">
        <v>303</v>
      </c>
      <c r="H147">
        <v>0.33</v>
      </c>
    </row>
    <row r="148" spans="1:8">
      <c r="A148" t="s">
        <v>288</v>
      </c>
      <c r="B148" t="s">
        <v>117</v>
      </c>
      <c r="C148" t="e">
        <f>VLOOKUP(B148,[1]dictTech!$A$2:$B$32,2,FALSE)</f>
        <v>#N/A</v>
      </c>
      <c r="D148" t="s">
        <v>133</v>
      </c>
      <c r="E148">
        <v>4</v>
      </c>
      <c r="F148" t="s">
        <v>134</v>
      </c>
      <c r="G148">
        <v>303</v>
      </c>
      <c r="H148">
        <v>0.33</v>
      </c>
    </row>
    <row r="149" spans="1:8">
      <c r="A149" t="s">
        <v>289</v>
      </c>
      <c r="B149" t="s">
        <v>11</v>
      </c>
      <c r="C149" t="str">
        <f>VLOOKUP(B149,[1]dictTech!$A$2:$B$32,2,FALSE)</f>
        <v>Undefined</v>
      </c>
      <c r="D149" t="s">
        <v>133</v>
      </c>
      <c r="E149">
        <v>1</v>
      </c>
      <c r="F149" t="s">
        <v>134</v>
      </c>
      <c r="G149">
        <v>321</v>
      </c>
      <c r="H149">
        <v>0.39600000000000002</v>
      </c>
    </row>
    <row r="150" spans="1:8">
      <c r="A150" t="s">
        <v>290</v>
      </c>
      <c r="B150" t="s">
        <v>23</v>
      </c>
      <c r="C150" t="e">
        <f>VLOOKUP(B150,[1]dictTech!$A$2:$B$32,2,FALSE)</f>
        <v>#N/A</v>
      </c>
      <c r="D150" t="s">
        <v>133</v>
      </c>
      <c r="E150">
        <v>36</v>
      </c>
      <c r="F150" t="s">
        <v>134</v>
      </c>
      <c r="G150">
        <v>794</v>
      </c>
      <c r="H150">
        <v>0.44800000000000001</v>
      </c>
    </row>
    <row r="151" spans="1:8">
      <c r="A151" t="s">
        <v>291</v>
      </c>
      <c r="B151" t="s">
        <v>117</v>
      </c>
      <c r="C151" t="e">
        <f>VLOOKUP(B151,[1]dictTech!$A$2:$B$32,2,FALSE)</f>
        <v>#N/A</v>
      </c>
      <c r="D151" t="s">
        <v>133</v>
      </c>
      <c r="E151">
        <v>17</v>
      </c>
      <c r="F151" t="s">
        <v>134</v>
      </c>
      <c r="G151">
        <v>106</v>
      </c>
      <c r="H151">
        <v>0.38300000000000001</v>
      </c>
    </row>
    <row r="152" spans="1:8">
      <c r="A152" t="s">
        <v>292</v>
      </c>
      <c r="B152" t="s">
        <v>117</v>
      </c>
      <c r="C152" t="e">
        <f>VLOOKUP(B152,[1]dictTech!$A$2:$B$32,2,FALSE)</f>
        <v>#N/A</v>
      </c>
      <c r="D152" t="s">
        <v>133</v>
      </c>
      <c r="E152">
        <v>6</v>
      </c>
      <c r="F152" t="s">
        <v>134</v>
      </c>
      <c r="G152">
        <v>106</v>
      </c>
      <c r="H152">
        <v>0.38300000000000001</v>
      </c>
    </row>
    <row r="153" spans="1:8">
      <c r="A153" t="s">
        <v>293</v>
      </c>
      <c r="B153" t="s">
        <v>26</v>
      </c>
      <c r="C153" t="str">
        <f>VLOOKUP(B153,[1]dictTech!$A$2:$B$32,2,FALSE)</f>
        <v>Undefined</v>
      </c>
      <c r="D153" t="s">
        <v>133</v>
      </c>
      <c r="E153">
        <v>10</v>
      </c>
      <c r="F153" t="s">
        <v>134</v>
      </c>
      <c r="G153">
        <v>66</v>
      </c>
      <c r="H153">
        <v>0.51300000000000001</v>
      </c>
    </row>
    <row r="154" spans="1:8">
      <c r="A154" t="s">
        <v>294</v>
      </c>
      <c r="B154" t="s">
        <v>117</v>
      </c>
      <c r="C154" t="e">
        <f>VLOOKUP(B154,[1]dictTech!$A$2:$B$32,2,FALSE)</f>
        <v>#N/A</v>
      </c>
      <c r="D154" t="s">
        <v>133</v>
      </c>
      <c r="E154">
        <v>4</v>
      </c>
      <c r="F154" t="s">
        <v>134</v>
      </c>
      <c r="G154">
        <v>386</v>
      </c>
      <c r="H154">
        <v>0.35599999999999998</v>
      </c>
    </row>
    <row r="155" spans="1:8">
      <c r="A155" t="s">
        <v>295</v>
      </c>
      <c r="B155" t="s">
        <v>117</v>
      </c>
      <c r="C155" t="e">
        <f>VLOOKUP(B155,[1]dictTech!$A$2:$B$32,2,FALSE)</f>
        <v>#N/A</v>
      </c>
      <c r="D155" t="s">
        <v>133</v>
      </c>
      <c r="E155">
        <v>29</v>
      </c>
      <c r="F155" t="s">
        <v>134</v>
      </c>
      <c r="G155">
        <v>386</v>
      </c>
      <c r="H155">
        <v>0.35499999999999998</v>
      </c>
    </row>
    <row r="156" spans="1:8">
      <c r="A156" t="s">
        <v>296</v>
      </c>
      <c r="B156" t="s">
        <v>11</v>
      </c>
      <c r="C156" t="str">
        <f>VLOOKUP(B156,[1]dictTech!$A$2:$B$32,2,FALSE)</f>
        <v>Undefined</v>
      </c>
      <c r="D156" t="s">
        <v>133</v>
      </c>
      <c r="E156">
        <v>26</v>
      </c>
      <c r="F156" t="s">
        <v>134</v>
      </c>
      <c r="G156">
        <v>415</v>
      </c>
      <c r="H156">
        <v>0.35599999999999998</v>
      </c>
    </row>
    <row r="157" spans="1:8">
      <c r="A157" t="s">
        <v>297</v>
      </c>
      <c r="B157" t="s">
        <v>176</v>
      </c>
      <c r="C157" t="e">
        <f>VLOOKUP(B157,[1]dictTech!$A$2:$B$32,2,FALSE)</f>
        <v>#N/A</v>
      </c>
      <c r="D157" t="s">
        <v>133</v>
      </c>
      <c r="E157">
        <v>38</v>
      </c>
      <c r="F157" t="s">
        <v>134</v>
      </c>
      <c r="G157">
        <v>1410</v>
      </c>
      <c r="H157">
        <v>0.33</v>
      </c>
    </row>
    <row r="158" spans="1:8">
      <c r="A158" t="s">
        <v>298</v>
      </c>
      <c r="B158" t="s">
        <v>117</v>
      </c>
      <c r="C158" t="e">
        <f>VLOOKUP(B158,[1]dictTech!$A$2:$B$32,2,FALSE)</f>
        <v>#N/A</v>
      </c>
      <c r="D158" t="s">
        <v>133</v>
      </c>
      <c r="E158">
        <v>16</v>
      </c>
      <c r="F158" t="s">
        <v>134</v>
      </c>
      <c r="G158">
        <v>88</v>
      </c>
      <c r="H158">
        <v>0.35399999999999998</v>
      </c>
    </row>
    <row r="159" spans="1:8">
      <c r="A159" t="s">
        <v>299</v>
      </c>
      <c r="B159" t="s">
        <v>164</v>
      </c>
      <c r="C159" t="e">
        <f>VLOOKUP(B159,[1]dictTech!$A$2:$B$32,2,FALSE)</f>
        <v>#N/A</v>
      </c>
      <c r="D159" t="s">
        <v>133</v>
      </c>
      <c r="E159">
        <v>33</v>
      </c>
      <c r="F159" t="s">
        <v>134</v>
      </c>
      <c r="G159">
        <v>66</v>
      </c>
      <c r="H159">
        <v>0.8</v>
      </c>
    </row>
    <row r="160" spans="1:8">
      <c r="A160" t="s">
        <v>300</v>
      </c>
      <c r="B160" t="s">
        <v>164</v>
      </c>
      <c r="C160" t="e">
        <f>VLOOKUP(B160,[1]dictTech!$A$2:$B$32,2,FALSE)</f>
        <v>#N/A</v>
      </c>
      <c r="D160" t="s">
        <v>133</v>
      </c>
      <c r="E160">
        <v>45</v>
      </c>
      <c r="F160" t="s">
        <v>134</v>
      </c>
      <c r="G160">
        <v>53.7</v>
      </c>
      <c r="H160">
        <v>0.8</v>
      </c>
    </row>
    <row r="161" spans="1:8">
      <c r="A161" t="s">
        <v>301</v>
      </c>
      <c r="B161" t="s">
        <v>176</v>
      </c>
      <c r="C161" t="e">
        <f>VLOOKUP(B161,[1]dictTech!$A$2:$B$32,2,FALSE)</f>
        <v>#N/A</v>
      </c>
      <c r="D161" t="s">
        <v>133</v>
      </c>
      <c r="E161">
        <v>35</v>
      </c>
      <c r="F161" t="s">
        <v>134</v>
      </c>
      <c r="G161">
        <v>1284</v>
      </c>
      <c r="H161">
        <v>0.33</v>
      </c>
    </row>
    <row r="162" spans="1:8">
      <c r="A162" t="s">
        <v>302</v>
      </c>
      <c r="B162" t="s">
        <v>176</v>
      </c>
      <c r="C162" t="e">
        <f>VLOOKUP(B162,[1]dictTech!$A$2:$B$32,2,FALSE)</f>
        <v>#N/A</v>
      </c>
      <c r="D162" t="s">
        <v>133</v>
      </c>
      <c r="E162">
        <v>36</v>
      </c>
      <c r="F162" t="s">
        <v>134</v>
      </c>
      <c r="G162">
        <v>1288</v>
      </c>
      <c r="H162">
        <v>0.33</v>
      </c>
    </row>
    <row r="163" spans="1:8">
      <c r="A163" t="s">
        <v>303</v>
      </c>
      <c r="B163" t="s">
        <v>176</v>
      </c>
      <c r="C163" t="e">
        <f>VLOOKUP(B163,[1]dictTech!$A$2:$B$32,2,FALSE)</f>
        <v>#N/A</v>
      </c>
      <c r="D163" t="s">
        <v>133</v>
      </c>
      <c r="E163">
        <v>33</v>
      </c>
      <c r="F163" t="s">
        <v>134</v>
      </c>
      <c r="G163">
        <v>1336</v>
      </c>
      <c r="H163">
        <v>0.33</v>
      </c>
    </row>
    <row r="164" spans="1:8">
      <c r="A164" t="s">
        <v>304</v>
      </c>
      <c r="B164" t="s">
        <v>176</v>
      </c>
      <c r="C164" t="e">
        <f>VLOOKUP(B164,[1]dictTech!$A$2:$B$32,2,FALSE)</f>
        <v>#N/A</v>
      </c>
      <c r="D164" t="s">
        <v>133</v>
      </c>
      <c r="E164">
        <v>31</v>
      </c>
      <c r="F164" t="s">
        <v>134</v>
      </c>
      <c r="G164">
        <v>1402</v>
      </c>
      <c r="H164">
        <v>0.33</v>
      </c>
    </row>
    <row r="165" spans="1:8">
      <c r="A165" t="s">
        <v>305</v>
      </c>
      <c r="B165" t="s">
        <v>26</v>
      </c>
      <c r="C165" t="str">
        <f>VLOOKUP(B165,[1]dictTech!$A$2:$B$32,2,FALSE)</f>
        <v>Undefined</v>
      </c>
      <c r="D165" t="s">
        <v>133</v>
      </c>
      <c r="E165">
        <v>24</v>
      </c>
      <c r="F165" t="s">
        <v>134</v>
      </c>
      <c r="G165">
        <v>160</v>
      </c>
      <c r="H165">
        <v>0.51300000000000001</v>
      </c>
    </row>
    <row r="166" spans="1:8">
      <c r="A166" t="s">
        <v>306</v>
      </c>
      <c r="B166" t="s">
        <v>118</v>
      </c>
      <c r="C166" t="e">
        <f>VLOOKUP(B166,[1]dictTech!$A$2:$B$32,2,FALSE)</f>
        <v>#N/A</v>
      </c>
      <c r="D166" t="s">
        <v>133</v>
      </c>
      <c r="E166">
        <v>22</v>
      </c>
      <c r="F166" t="s">
        <v>134</v>
      </c>
      <c r="G166">
        <v>164</v>
      </c>
      <c r="H166">
        <v>0.35699999999999998</v>
      </c>
    </row>
    <row r="167" spans="1:8">
      <c r="A167" t="s">
        <v>307</v>
      </c>
      <c r="B167" t="s">
        <v>26</v>
      </c>
      <c r="C167" t="str">
        <f>VLOOKUP(B167,[1]dictTech!$A$2:$B$32,2,FALSE)</f>
        <v>Undefined</v>
      </c>
      <c r="D167" t="s">
        <v>133</v>
      </c>
      <c r="E167">
        <v>20</v>
      </c>
      <c r="F167" t="s">
        <v>134</v>
      </c>
      <c r="G167">
        <v>800</v>
      </c>
      <c r="H167">
        <v>0.56699999999999995</v>
      </c>
    </row>
    <row r="168" spans="1:8">
      <c r="A168" t="s">
        <v>308</v>
      </c>
      <c r="B168" t="s">
        <v>26</v>
      </c>
      <c r="C168" t="str">
        <f>VLOOKUP(B168,[1]dictTech!$A$2:$B$32,2,FALSE)</f>
        <v>Undefined</v>
      </c>
      <c r="D168" t="s">
        <v>133</v>
      </c>
      <c r="E168">
        <v>18</v>
      </c>
      <c r="F168" t="s">
        <v>134</v>
      </c>
      <c r="G168">
        <v>430</v>
      </c>
      <c r="H168">
        <v>0.59899999999999998</v>
      </c>
    </row>
    <row r="169" spans="1:8">
      <c r="A169" t="s">
        <v>309</v>
      </c>
      <c r="B169" t="s">
        <v>23</v>
      </c>
      <c r="C169" t="e">
        <f>VLOOKUP(B169,[1]dictTech!$A$2:$B$32,2,FALSE)</f>
        <v>#N/A</v>
      </c>
      <c r="D169" t="s">
        <v>133</v>
      </c>
      <c r="E169">
        <v>34</v>
      </c>
      <c r="F169" t="s">
        <v>134</v>
      </c>
      <c r="G169">
        <v>514</v>
      </c>
      <c r="H169">
        <v>0.41</v>
      </c>
    </row>
    <row r="170" spans="1:8">
      <c r="A170" t="s">
        <v>310</v>
      </c>
      <c r="B170" t="s">
        <v>164</v>
      </c>
      <c r="C170" t="e">
        <f>VLOOKUP(B170,[1]dictTech!$A$2:$B$32,2,FALSE)</f>
        <v>#N/A</v>
      </c>
      <c r="D170" t="s">
        <v>133</v>
      </c>
      <c r="E170">
        <v>40</v>
      </c>
      <c r="F170" t="s">
        <v>134</v>
      </c>
      <c r="G170">
        <v>153</v>
      </c>
      <c r="H170">
        <v>0.75</v>
      </c>
    </row>
    <row r="171" spans="1:8">
      <c r="A171" t="s">
        <v>311</v>
      </c>
      <c r="B171" t="s">
        <v>23</v>
      </c>
      <c r="C171" t="e">
        <f>VLOOKUP(B171,[1]dictTech!$A$2:$B$32,2,FALSE)</f>
        <v>#N/A</v>
      </c>
      <c r="D171" t="s">
        <v>133</v>
      </c>
      <c r="E171">
        <v>8</v>
      </c>
      <c r="F171" t="s">
        <v>134</v>
      </c>
      <c r="G171">
        <v>721</v>
      </c>
      <c r="H171">
        <v>0.38300000000000001</v>
      </c>
    </row>
    <row r="172" spans="1:8">
      <c r="A172" t="s">
        <v>312</v>
      </c>
      <c r="B172" t="s">
        <v>23</v>
      </c>
      <c r="C172" t="e">
        <f>VLOOKUP(B172,[1]dictTech!$A$2:$B$32,2,FALSE)</f>
        <v>#N/A</v>
      </c>
      <c r="D172" t="s">
        <v>133</v>
      </c>
      <c r="E172">
        <v>23</v>
      </c>
      <c r="F172" t="s">
        <v>134</v>
      </c>
      <c r="G172">
        <v>283</v>
      </c>
      <c r="H172">
        <v>0.43</v>
      </c>
    </row>
    <row r="173" spans="1:8">
      <c r="A173" t="s">
        <v>313</v>
      </c>
      <c r="B173" t="s">
        <v>23</v>
      </c>
      <c r="C173" t="e">
        <f>VLOOKUP(B173,[1]dictTech!$A$2:$B$32,2,FALSE)</f>
        <v>#N/A</v>
      </c>
      <c r="D173" t="s">
        <v>133</v>
      </c>
      <c r="E173">
        <v>39</v>
      </c>
      <c r="F173" t="s">
        <v>134</v>
      </c>
      <c r="G173">
        <v>106</v>
      </c>
      <c r="H173">
        <v>0.43</v>
      </c>
    </row>
    <row r="174" spans="1:8">
      <c r="A174" t="s">
        <v>314</v>
      </c>
      <c r="B174" t="s">
        <v>23</v>
      </c>
      <c r="C174" t="e">
        <f>VLOOKUP(B174,[1]dictTech!$A$2:$B$32,2,FALSE)</f>
        <v>#N/A</v>
      </c>
      <c r="D174" t="s">
        <v>133</v>
      </c>
      <c r="E174">
        <v>35</v>
      </c>
      <c r="F174" t="s">
        <v>134</v>
      </c>
      <c r="G174">
        <v>120</v>
      </c>
      <c r="H174">
        <v>0.27300000000000002</v>
      </c>
    </row>
    <row r="175" spans="1:8">
      <c r="A175" t="s">
        <v>315</v>
      </c>
      <c r="B175" t="s">
        <v>26</v>
      </c>
      <c r="C175" t="str">
        <f>VLOOKUP(B175,[1]dictTech!$A$2:$B$32,2,FALSE)</f>
        <v>Undefined</v>
      </c>
      <c r="D175" t="s">
        <v>133</v>
      </c>
      <c r="E175">
        <v>6</v>
      </c>
      <c r="F175" t="s">
        <v>134</v>
      </c>
      <c r="G175">
        <v>77.599999999999994</v>
      </c>
      <c r="H175">
        <v>0.55400000000000005</v>
      </c>
    </row>
    <row r="176" spans="1:8">
      <c r="A176" t="s">
        <v>316</v>
      </c>
      <c r="B176" t="s">
        <v>26</v>
      </c>
      <c r="C176" t="str">
        <f>VLOOKUP(B176,[1]dictTech!$A$2:$B$32,2,FALSE)</f>
        <v>Undefined</v>
      </c>
      <c r="D176" t="s">
        <v>133</v>
      </c>
      <c r="E176">
        <v>26</v>
      </c>
      <c r="F176" t="s">
        <v>134</v>
      </c>
      <c r="G176">
        <v>61.1</v>
      </c>
      <c r="H176">
        <v>0.55400000000000005</v>
      </c>
    </row>
    <row r="177" spans="1:8">
      <c r="A177" t="s">
        <v>317</v>
      </c>
      <c r="B177" t="s">
        <v>11</v>
      </c>
      <c r="C177" t="str">
        <f>VLOOKUP(B177,[1]dictTech!$A$2:$B$32,2,FALSE)</f>
        <v>Undefined</v>
      </c>
      <c r="D177" t="s">
        <v>133</v>
      </c>
      <c r="E177">
        <v>1</v>
      </c>
      <c r="F177" t="s">
        <v>134</v>
      </c>
      <c r="G177">
        <v>60.6</v>
      </c>
      <c r="H177">
        <v>0.40300000000000002</v>
      </c>
    </row>
    <row r="178" spans="1:8">
      <c r="A178" t="s">
        <v>318</v>
      </c>
      <c r="B178" t="s">
        <v>26</v>
      </c>
      <c r="C178" t="str">
        <f>VLOOKUP(B178,[1]dictTech!$A$2:$B$32,2,FALSE)</f>
        <v>Undefined</v>
      </c>
      <c r="D178" t="s">
        <v>133</v>
      </c>
      <c r="E178">
        <v>14</v>
      </c>
      <c r="F178" t="s">
        <v>134</v>
      </c>
      <c r="G178">
        <v>434.2</v>
      </c>
      <c r="H178">
        <v>0.54500000000000004</v>
      </c>
    </row>
    <row r="179" spans="1:8">
      <c r="A179" t="s">
        <v>319</v>
      </c>
      <c r="B179" t="s">
        <v>11</v>
      </c>
      <c r="C179" t="str">
        <f>VLOOKUP(B179,[1]dictTech!$A$2:$B$32,2,FALSE)</f>
        <v>Undefined</v>
      </c>
      <c r="D179" t="s">
        <v>133</v>
      </c>
      <c r="E179">
        <v>16</v>
      </c>
      <c r="F179" t="s">
        <v>134</v>
      </c>
      <c r="G179">
        <v>335</v>
      </c>
      <c r="H179">
        <v>0.437</v>
      </c>
    </row>
    <row r="180" spans="1:8">
      <c r="A180" t="s">
        <v>320</v>
      </c>
      <c r="B180" t="s">
        <v>26</v>
      </c>
      <c r="C180" t="str">
        <f>VLOOKUP(B180,[1]dictTech!$A$2:$B$32,2,FALSE)</f>
        <v>Undefined</v>
      </c>
      <c r="D180" t="s">
        <v>133</v>
      </c>
      <c r="E180">
        <v>9</v>
      </c>
      <c r="F180" t="s">
        <v>134</v>
      </c>
      <c r="G180">
        <v>490</v>
      </c>
      <c r="H180">
        <v>0.56299999999999994</v>
      </c>
    </row>
    <row r="181" spans="1:8">
      <c r="A181" t="s">
        <v>321</v>
      </c>
      <c r="B181" t="s">
        <v>23</v>
      </c>
      <c r="C181" t="e">
        <f>VLOOKUP(B181,[1]dictTech!$A$2:$B$32,2,FALSE)</f>
        <v>#N/A</v>
      </c>
      <c r="D181" t="s">
        <v>133</v>
      </c>
      <c r="E181">
        <v>30</v>
      </c>
      <c r="F181" t="s">
        <v>134</v>
      </c>
      <c r="G181">
        <v>110</v>
      </c>
      <c r="H181">
        <v>0.35299999999999998</v>
      </c>
    </row>
    <row r="182" spans="1:8">
      <c r="A182" t="s">
        <v>322</v>
      </c>
      <c r="B182" t="s">
        <v>26</v>
      </c>
      <c r="C182" t="str">
        <f>VLOOKUP(B182,[1]dictTech!$A$2:$B$32,2,FALSE)</f>
        <v>Undefined</v>
      </c>
      <c r="D182" t="s">
        <v>133</v>
      </c>
      <c r="E182">
        <v>16</v>
      </c>
      <c r="F182" t="s">
        <v>134</v>
      </c>
      <c r="G182">
        <v>97.9</v>
      </c>
      <c r="H182">
        <v>0.58499999999999996</v>
      </c>
    </row>
    <row r="183" spans="1:8">
      <c r="A183" t="s">
        <v>323</v>
      </c>
      <c r="B183" t="s">
        <v>117</v>
      </c>
      <c r="C183" t="e">
        <f>VLOOKUP(B183,[1]dictTech!$A$2:$B$32,2,FALSE)</f>
        <v>#N/A</v>
      </c>
      <c r="D183" t="s">
        <v>133</v>
      </c>
      <c r="E183">
        <v>25</v>
      </c>
      <c r="F183" t="s">
        <v>134</v>
      </c>
      <c r="G183">
        <v>97</v>
      </c>
      <c r="H183">
        <v>0.33</v>
      </c>
    </row>
    <row r="184" spans="1:8">
      <c r="A184" t="s">
        <v>324</v>
      </c>
      <c r="B184" t="s">
        <v>117</v>
      </c>
      <c r="C184" t="e">
        <f>VLOOKUP(B184,[1]dictTech!$A$2:$B$32,2,FALSE)</f>
        <v>#N/A</v>
      </c>
      <c r="D184" t="s">
        <v>133</v>
      </c>
      <c r="E184">
        <v>14</v>
      </c>
      <c r="F184" t="s">
        <v>134</v>
      </c>
      <c r="G184">
        <v>97</v>
      </c>
      <c r="H184">
        <v>0.33</v>
      </c>
    </row>
    <row r="185" spans="1:8">
      <c r="A185" t="s">
        <v>325</v>
      </c>
      <c r="B185" t="s">
        <v>26</v>
      </c>
      <c r="C185" t="str">
        <f>VLOOKUP(B185,[1]dictTech!$A$2:$B$32,2,FALSE)</f>
        <v>Undefined</v>
      </c>
      <c r="D185" t="s">
        <v>133</v>
      </c>
      <c r="E185">
        <v>7</v>
      </c>
      <c r="F185" t="s">
        <v>134</v>
      </c>
      <c r="G185">
        <v>390</v>
      </c>
      <c r="H185">
        <v>0.52700000000000002</v>
      </c>
    </row>
    <row r="186" spans="1:8">
      <c r="A186" t="s">
        <v>326</v>
      </c>
      <c r="B186" t="s">
        <v>164</v>
      </c>
      <c r="C186" t="e">
        <f>VLOOKUP(B186,[1]dictTech!$A$2:$B$32,2,FALSE)</f>
        <v>#N/A</v>
      </c>
      <c r="D186" t="s">
        <v>133</v>
      </c>
      <c r="E186">
        <v>34</v>
      </c>
      <c r="F186" t="s">
        <v>134</v>
      </c>
      <c r="G186">
        <v>150</v>
      </c>
      <c r="H186">
        <v>0.75</v>
      </c>
    </row>
    <row r="187" spans="1:8">
      <c r="A187" t="s">
        <v>327</v>
      </c>
      <c r="B187" t="s">
        <v>117</v>
      </c>
      <c r="C187" t="e">
        <f>VLOOKUP(B187,[1]dictTech!$A$2:$B$32,2,FALSE)</f>
        <v>#N/A</v>
      </c>
      <c r="D187" t="s">
        <v>133</v>
      </c>
      <c r="E187">
        <v>3</v>
      </c>
      <c r="F187" t="s">
        <v>134</v>
      </c>
      <c r="G187">
        <v>136</v>
      </c>
      <c r="H187">
        <v>0.33100000000000002</v>
      </c>
    </row>
    <row r="188" spans="1:8">
      <c r="A188" t="s">
        <v>328</v>
      </c>
      <c r="B188" t="s">
        <v>23</v>
      </c>
      <c r="C188" t="e">
        <f>VLOOKUP(B188,[1]dictTech!$A$2:$B$32,2,FALSE)</f>
        <v>#N/A</v>
      </c>
      <c r="D188" t="s">
        <v>133</v>
      </c>
      <c r="E188">
        <v>30</v>
      </c>
      <c r="F188" t="s">
        <v>134</v>
      </c>
      <c r="G188">
        <v>148</v>
      </c>
      <c r="H188">
        <v>0.45300000000000001</v>
      </c>
    </row>
    <row r="189" spans="1:8">
      <c r="A189" t="s">
        <v>329</v>
      </c>
      <c r="B189" t="s">
        <v>23</v>
      </c>
      <c r="C189" t="e">
        <f>VLOOKUP(B189,[1]dictTech!$A$2:$B$32,2,FALSE)</f>
        <v>#N/A</v>
      </c>
      <c r="D189" t="s">
        <v>133</v>
      </c>
      <c r="E189">
        <v>25</v>
      </c>
      <c r="F189" t="s">
        <v>134</v>
      </c>
      <c r="G189">
        <v>96</v>
      </c>
      <c r="H189">
        <v>0.45300000000000001</v>
      </c>
    </row>
    <row r="190" spans="1:8">
      <c r="A190" t="s">
        <v>330</v>
      </c>
      <c r="B190" t="s">
        <v>117</v>
      </c>
      <c r="C190" t="e">
        <f>VLOOKUP(B190,[1]dictTech!$A$2:$B$32,2,FALSE)</f>
        <v>#N/A</v>
      </c>
      <c r="D190" t="s">
        <v>133</v>
      </c>
      <c r="E190">
        <v>14</v>
      </c>
      <c r="F190" t="s">
        <v>134</v>
      </c>
      <c r="G190">
        <v>206</v>
      </c>
      <c r="H190">
        <v>0.38</v>
      </c>
    </row>
    <row r="191" spans="1:8">
      <c r="A191" t="s">
        <v>331</v>
      </c>
      <c r="B191" t="s">
        <v>23</v>
      </c>
      <c r="C191" t="e">
        <f>VLOOKUP(B191,[1]dictTech!$A$2:$B$32,2,FALSE)</f>
        <v>#N/A</v>
      </c>
      <c r="D191" t="s">
        <v>133</v>
      </c>
      <c r="E191">
        <v>4</v>
      </c>
      <c r="F191" t="s">
        <v>134</v>
      </c>
      <c r="G191">
        <v>310</v>
      </c>
      <c r="H191">
        <v>0.38</v>
      </c>
    </row>
    <row r="192" spans="1:8">
      <c r="A192" t="s">
        <v>332</v>
      </c>
      <c r="B192" t="s">
        <v>23</v>
      </c>
      <c r="C192" t="e">
        <f>VLOOKUP(B192,[1]dictTech!$A$2:$B$32,2,FALSE)</f>
        <v>#N/A</v>
      </c>
      <c r="D192" t="s">
        <v>133</v>
      </c>
      <c r="E192">
        <v>22</v>
      </c>
      <c r="F192" t="s">
        <v>134</v>
      </c>
      <c r="G192">
        <v>731</v>
      </c>
      <c r="H192">
        <v>0.46300000000000002</v>
      </c>
    </row>
    <row r="193" spans="1:8">
      <c r="A193" t="s">
        <v>333</v>
      </c>
      <c r="B193" t="s">
        <v>164</v>
      </c>
      <c r="C193" t="e">
        <f>VLOOKUP(B193,[1]dictTech!$A$2:$B$32,2,FALSE)</f>
        <v>#N/A</v>
      </c>
      <c r="D193" t="s">
        <v>133</v>
      </c>
      <c r="E193">
        <v>17</v>
      </c>
      <c r="F193" t="s">
        <v>134</v>
      </c>
      <c r="G193">
        <v>99</v>
      </c>
      <c r="H193">
        <v>0.75</v>
      </c>
    </row>
    <row r="194" spans="1:8">
      <c r="A194" t="s">
        <v>334</v>
      </c>
      <c r="B194" t="s">
        <v>23</v>
      </c>
      <c r="C194" t="e">
        <f>VLOOKUP(B194,[1]dictTech!$A$2:$B$32,2,FALSE)</f>
        <v>#N/A</v>
      </c>
      <c r="D194" t="s">
        <v>133</v>
      </c>
      <c r="E194">
        <v>7</v>
      </c>
      <c r="F194" t="s">
        <v>134</v>
      </c>
      <c r="G194">
        <v>300</v>
      </c>
      <c r="H194">
        <v>0.373</v>
      </c>
    </row>
    <row r="195" spans="1:8">
      <c r="A195" t="s">
        <v>335</v>
      </c>
      <c r="B195" t="s">
        <v>23</v>
      </c>
      <c r="C195" t="e">
        <f>VLOOKUP(B195,[1]dictTech!$A$2:$B$32,2,FALSE)</f>
        <v>#N/A</v>
      </c>
      <c r="D195" t="s">
        <v>133</v>
      </c>
      <c r="E195">
        <v>33</v>
      </c>
      <c r="F195" t="s">
        <v>134</v>
      </c>
      <c r="G195">
        <v>127</v>
      </c>
      <c r="H195">
        <v>0.34499999999999997</v>
      </c>
    </row>
    <row r="196" spans="1:8">
      <c r="A196" t="s">
        <v>336</v>
      </c>
      <c r="B196" t="s">
        <v>23</v>
      </c>
      <c r="C196" t="e">
        <f>VLOOKUP(B196,[1]dictTech!$A$2:$B$32,2,FALSE)</f>
        <v>#N/A</v>
      </c>
      <c r="D196" t="s">
        <v>133</v>
      </c>
      <c r="E196">
        <v>39</v>
      </c>
      <c r="F196" t="s">
        <v>134</v>
      </c>
      <c r="G196">
        <v>119</v>
      </c>
      <c r="H196">
        <v>0.39800000000000002</v>
      </c>
    </row>
    <row r="197" spans="1:8">
      <c r="A197" t="s">
        <v>337</v>
      </c>
      <c r="B197" t="s">
        <v>11</v>
      </c>
      <c r="C197" t="str">
        <f>VLOOKUP(B197,[1]dictTech!$A$2:$B$32,2,FALSE)</f>
        <v>Undefined</v>
      </c>
      <c r="D197" t="s">
        <v>133</v>
      </c>
      <c r="E197">
        <v>3</v>
      </c>
      <c r="F197" t="s">
        <v>134</v>
      </c>
      <c r="G197">
        <v>155</v>
      </c>
      <c r="H197">
        <v>0.35399999999999998</v>
      </c>
    </row>
    <row r="198" spans="1:8">
      <c r="A198" t="s">
        <v>338</v>
      </c>
      <c r="B198" t="s">
        <v>23</v>
      </c>
      <c r="C198" t="e">
        <f>VLOOKUP(B198,[1]dictTech!$A$2:$B$32,2,FALSE)</f>
        <v>#N/A</v>
      </c>
      <c r="D198" t="s">
        <v>133</v>
      </c>
      <c r="E198">
        <v>6</v>
      </c>
      <c r="F198" t="s">
        <v>134</v>
      </c>
      <c r="G198">
        <v>449</v>
      </c>
      <c r="H198">
        <v>0.45800000000000002</v>
      </c>
    </row>
    <row r="199" spans="1:8">
      <c r="A199" t="s">
        <v>339</v>
      </c>
      <c r="B199" t="s">
        <v>23</v>
      </c>
      <c r="C199" t="e">
        <f>VLOOKUP(B199,[1]dictTech!$A$2:$B$32,2,FALSE)</f>
        <v>#N/A</v>
      </c>
      <c r="D199" t="s">
        <v>133</v>
      </c>
      <c r="E199">
        <v>8</v>
      </c>
      <c r="F199" t="s">
        <v>134</v>
      </c>
      <c r="G199">
        <v>280</v>
      </c>
      <c r="H199">
        <v>0.39800000000000002</v>
      </c>
    </row>
    <row r="200" spans="1:8">
      <c r="A200" t="s">
        <v>340</v>
      </c>
      <c r="B200" t="s">
        <v>118</v>
      </c>
      <c r="C200" t="e">
        <f>VLOOKUP(B200,[1]dictTech!$A$2:$B$32,2,FALSE)</f>
        <v>#N/A</v>
      </c>
      <c r="D200" t="s">
        <v>133</v>
      </c>
      <c r="E200">
        <v>13</v>
      </c>
      <c r="F200" t="s">
        <v>134</v>
      </c>
      <c r="G200">
        <v>465</v>
      </c>
      <c r="H200">
        <v>0.39</v>
      </c>
    </row>
    <row r="201" spans="1:8">
      <c r="A201" t="s">
        <v>341</v>
      </c>
      <c r="B201" t="s">
        <v>118</v>
      </c>
      <c r="C201" t="e">
        <f>VLOOKUP(B201,[1]dictTech!$A$2:$B$32,2,FALSE)</f>
        <v>#N/A</v>
      </c>
      <c r="D201" t="s">
        <v>133</v>
      </c>
      <c r="E201">
        <v>27</v>
      </c>
      <c r="F201" t="s">
        <v>134</v>
      </c>
      <c r="G201">
        <v>465</v>
      </c>
      <c r="H201">
        <v>0.39</v>
      </c>
    </row>
    <row r="202" spans="1:8">
      <c r="A202" t="s">
        <v>342</v>
      </c>
      <c r="B202" t="s">
        <v>118</v>
      </c>
      <c r="C202" t="e">
        <f>VLOOKUP(B202,[1]dictTech!$A$2:$B$32,2,FALSE)</f>
        <v>#N/A</v>
      </c>
      <c r="D202" t="s">
        <v>133</v>
      </c>
      <c r="E202">
        <v>16</v>
      </c>
      <c r="F202" t="s">
        <v>134</v>
      </c>
      <c r="G202">
        <v>465</v>
      </c>
      <c r="H202">
        <v>0.39</v>
      </c>
    </row>
    <row r="203" spans="1:8">
      <c r="A203" t="s">
        <v>343</v>
      </c>
      <c r="B203" t="s">
        <v>118</v>
      </c>
      <c r="C203" t="e">
        <f>VLOOKUP(B203,[1]dictTech!$A$2:$B$32,2,FALSE)</f>
        <v>#N/A</v>
      </c>
      <c r="D203" t="s">
        <v>133</v>
      </c>
      <c r="E203">
        <v>35</v>
      </c>
      <c r="F203" t="s">
        <v>134</v>
      </c>
      <c r="G203">
        <v>465</v>
      </c>
      <c r="H203">
        <v>0.39</v>
      </c>
    </row>
    <row r="204" spans="1:8">
      <c r="A204" t="s">
        <v>344</v>
      </c>
      <c r="B204" t="s">
        <v>118</v>
      </c>
      <c r="C204" t="e">
        <f>VLOOKUP(B204,[1]dictTech!$A$2:$B$32,2,FALSE)</f>
        <v>#N/A</v>
      </c>
      <c r="D204" t="s">
        <v>133</v>
      </c>
      <c r="E204">
        <v>11</v>
      </c>
      <c r="F204" t="s">
        <v>134</v>
      </c>
      <c r="G204">
        <v>465</v>
      </c>
      <c r="H204">
        <v>0.39</v>
      </c>
    </row>
    <row r="205" spans="1:8">
      <c r="A205" t="s">
        <v>345</v>
      </c>
      <c r="B205" t="s">
        <v>118</v>
      </c>
      <c r="C205" t="e">
        <f>VLOOKUP(B205,[1]dictTech!$A$2:$B$32,2,FALSE)</f>
        <v>#N/A</v>
      </c>
      <c r="D205" t="s">
        <v>133</v>
      </c>
      <c r="E205">
        <v>9</v>
      </c>
      <c r="F205" t="s">
        <v>134</v>
      </c>
      <c r="G205">
        <v>465</v>
      </c>
      <c r="H205">
        <v>0.39</v>
      </c>
    </row>
    <row r="206" spans="1:8">
      <c r="A206" t="s">
        <v>346</v>
      </c>
      <c r="B206" t="s">
        <v>26</v>
      </c>
      <c r="C206" t="str">
        <f>VLOOKUP(B206,[1]dictTech!$A$2:$B$32,2,FALSE)</f>
        <v>Undefined</v>
      </c>
      <c r="D206" t="s">
        <v>133</v>
      </c>
      <c r="E206">
        <v>20</v>
      </c>
      <c r="F206" t="s">
        <v>134</v>
      </c>
      <c r="G206">
        <v>201.5</v>
      </c>
      <c r="H206">
        <v>0.45</v>
      </c>
    </row>
    <row r="207" spans="1:8">
      <c r="A207" t="s">
        <v>347</v>
      </c>
      <c r="B207" t="s">
        <v>23</v>
      </c>
      <c r="C207" t="e">
        <f>VLOOKUP(B207,[1]dictTech!$A$2:$B$32,2,FALSE)</f>
        <v>#N/A</v>
      </c>
      <c r="D207" t="s">
        <v>133</v>
      </c>
      <c r="E207">
        <v>26</v>
      </c>
      <c r="F207" t="s">
        <v>134</v>
      </c>
      <c r="G207">
        <v>324</v>
      </c>
      <c r="H207">
        <v>0.41799999999999998</v>
      </c>
    </row>
    <row r="208" spans="1:8">
      <c r="A208" t="s">
        <v>348</v>
      </c>
      <c r="B208" t="s">
        <v>23</v>
      </c>
      <c r="C208" t="e">
        <f>VLOOKUP(B208,[1]dictTech!$A$2:$B$32,2,FALSE)</f>
        <v>#N/A</v>
      </c>
      <c r="D208" t="s">
        <v>133</v>
      </c>
      <c r="E208">
        <v>15</v>
      </c>
      <c r="F208" t="s">
        <v>134</v>
      </c>
      <c r="G208">
        <v>149</v>
      </c>
      <c r="H208">
        <v>0.41499999999999998</v>
      </c>
    </row>
    <row r="209" spans="1:8">
      <c r="A209" t="s">
        <v>349</v>
      </c>
      <c r="B209" t="s">
        <v>117</v>
      </c>
      <c r="C209" t="e">
        <f>VLOOKUP(B209,[1]dictTech!$A$2:$B$32,2,FALSE)</f>
        <v>#N/A</v>
      </c>
      <c r="D209" t="s">
        <v>133</v>
      </c>
      <c r="E209">
        <v>9</v>
      </c>
      <c r="F209" t="s">
        <v>134</v>
      </c>
      <c r="G209">
        <v>160</v>
      </c>
      <c r="H209">
        <v>0.33</v>
      </c>
    </row>
    <row r="210" spans="1:8">
      <c r="A210" t="s">
        <v>350</v>
      </c>
      <c r="B210" t="s">
        <v>117</v>
      </c>
      <c r="C210" t="e">
        <f>VLOOKUP(B210,[1]dictTech!$A$2:$B$32,2,FALSE)</f>
        <v>#N/A</v>
      </c>
      <c r="D210" t="s">
        <v>133</v>
      </c>
      <c r="E210">
        <v>13</v>
      </c>
      <c r="F210" t="s">
        <v>134</v>
      </c>
      <c r="G210">
        <v>88</v>
      </c>
      <c r="H210">
        <v>0.312</v>
      </c>
    </row>
    <row r="211" spans="1:8">
      <c r="A211" t="s">
        <v>351</v>
      </c>
      <c r="B211" t="s">
        <v>23</v>
      </c>
      <c r="C211" t="e">
        <f>VLOOKUP(B211,[1]dictTech!$A$2:$B$32,2,FALSE)</f>
        <v>#N/A</v>
      </c>
      <c r="D211" t="s">
        <v>133</v>
      </c>
      <c r="E211">
        <v>30</v>
      </c>
      <c r="F211" t="s">
        <v>134</v>
      </c>
      <c r="G211">
        <v>695</v>
      </c>
      <c r="H211">
        <v>0.438</v>
      </c>
    </row>
    <row r="212" spans="1:8">
      <c r="A212" t="s">
        <v>352</v>
      </c>
      <c r="B212" t="s">
        <v>23</v>
      </c>
      <c r="C212" t="e">
        <f>VLOOKUP(B212,[1]dictTech!$A$2:$B$32,2,FALSE)</f>
        <v>#N/A</v>
      </c>
      <c r="D212" t="s">
        <v>133</v>
      </c>
      <c r="E212">
        <v>22</v>
      </c>
      <c r="F212" t="s">
        <v>134</v>
      </c>
      <c r="G212">
        <v>695</v>
      </c>
      <c r="H212">
        <v>0.438</v>
      </c>
    </row>
    <row r="213" spans="1:8">
      <c r="A213" t="s">
        <v>353</v>
      </c>
      <c r="B213" t="s">
        <v>23</v>
      </c>
      <c r="C213" t="e">
        <f>VLOOKUP(B213,[1]dictTech!$A$2:$B$32,2,FALSE)</f>
        <v>#N/A</v>
      </c>
      <c r="D213" t="s">
        <v>133</v>
      </c>
      <c r="E213">
        <v>4</v>
      </c>
      <c r="F213" t="s">
        <v>134</v>
      </c>
      <c r="G213">
        <v>725</v>
      </c>
      <c r="H213">
        <v>0.45800000000000002</v>
      </c>
    </row>
    <row r="214" spans="1:8">
      <c r="A214" t="s">
        <v>354</v>
      </c>
      <c r="B214" t="s">
        <v>23</v>
      </c>
      <c r="C214" t="e">
        <f>VLOOKUP(B214,[1]dictTech!$A$2:$B$32,2,FALSE)</f>
        <v>#N/A</v>
      </c>
      <c r="D214" t="s">
        <v>133</v>
      </c>
      <c r="E214">
        <v>27</v>
      </c>
      <c r="F214" t="s">
        <v>134</v>
      </c>
      <c r="G214">
        <v>370</v>
      </c>
      <c r="H214">
        <v>0.39500000000000002</v>
      </c>
    </row>
    <row r="215" spans="1:8">
      <c r="A215" t="s">
        <v>355</v>
      </c>
      <c r="B215" t="s">
        <v>23</v>
      </c>
      <c r="C215" t="e">
        <f>VLOOKUP(B215,[1]dictTech!$A$2:$B$32,2,FALSE)</f>
        <v>#N/A</v>
      </c>
      <c r="D215" t="s">
        <v>133</v>
      </c>
      <c r="E215">
        <v>11</v>
      </c>
      <c r="F215" t="s">
        <v>134</v>
      </c>
      <c r="G215">
        <v>322</v>
      </c>
      <c r="H215">
        <v>0.35299999999999998</v>
      </c>
    </row>
    <row r="216" spans="1:8">
      <c r="A216" t="s">
        <v>356</v>
      </c>
      <c r="B216" t="s">
        <v>23</v>
      </c>
      <c r="C216" t="e">
        <f>VLOOKUP(B216,[1]dictTech!$A$2:$B$32,2,FALSE)</f>
        <v>#N/A</v>
      </c>
      <c r="D216" t="s">
        <v>133</v>
      </c>
      <c r="E216">
        <v>25</v>
      </c>
      <c r="F216" t="s">
        <v>134</v>
      </c>
      <c r="G216">
        <v>318</v>
      </c>
      <c r="H216">
        <v>0.35299999999999998</v>
      </c>
    </row>
    <row r="217" spans="1:8">
      <c r="A217" t="s">
        <v>357</v>
      </c>
      <c r="B217" t="s">
        <v>11</v>
      </c>
      <c r="C217" t="str">
        <f>VLOOKUP(B217,[1]dictTech!$A$2:$B$32,2,FALSE)</f>
        <v>Undefined</v>
      </c>
      <c r="D217" t="s">
        <v>133</v>
      </c>
      <c r="E217">
        <v>20</v>
      </c>
      <c r="F217" t="s">
        <v>134</v>
      </c>
      <c r="G217">
        <v>102</v>
      </c>
      <c r="H217">
        <v>0.35799999999999998</v>
      </c>
    </row>
    <row r="218" spans="1:8">
      <c r="A218" t="s">
        <v>358</v>
      </c>
      <c r="B218" t="s">
        <v>23</v>
      </c>
      <c r="C218" t="e">
        <f>VLOOKUP(B218,[1]dictTech!$A$2:$B$32,2,FALSE)</f>
        <v>#N/A</v>
      </c>
      <c r="D218" t="s">
        <v>133</v>
      </c>
      <c r="E218">
        <v>6</v>
      </c>
      <c r="F218" t="s">
        <v>134</v>
      </c>
      <c r="G218">
        <v>690</v>
      </c>
      <c r="H218">
        <v>0.433</v>
      </c>
    </row>
    <row r="219" spans="1:8">
      <c r="A219" t="s">
        <v>359</v>
      </c>
      <c r="B219" t="s">
        <v>11</v>
      </c>
      <c r="C219" t="str">
        <f>VLOOKUP(B219,[1]dictTech!$A$2:$B$32,2,FALSE)</f>
        <v>Undefined</v>
      </c>
      <c r="D219" t="s">
        <v>133</v>
      </c>
      <c r="E219">
        <v>27</v>
      </c>
      <c r="F219" t="s">
        <v>134</v>
      </c>
      <c r="G219">
        <v>500</v>
      </c>
      <c r="H219">
        <v>0.35499999999999998</v>
      </c>
    </row>
    <row r="220" spans="1:8">
      <c r="A220" t="s">
        <v>360</v>
      </c>
      <c r="B220" t="s">
        <v>11</v>
      </c>
      <c r="C220" t="str">
        <f>VLOOKUP(B220,[1]dictTech!$A$2:$B$32,2,FALSE)</f>
        <v>Undefined</v>
      </c>
      <c r="D220" t="s">
        <v>133</v>
      </c>
      <c r="E220">
        <v>11</v>
      </c>
      <c r="F220" t="s">
        <v>134</v>
      </c>
      <c r="G220">
        <v>144</v>
      </c>
      <c r="H220">
        <v>0.38300000000000001</v>
      </c>
    </row>
    <row r="221" spans="1:8">
      <c r="A221" t="s">
        <v>361</v>
      </c>
      <c r="B221" t="s">
        <v>11</v>
      </c>
      <c r="C221" t="str">
        <f>VLOOKUP(B221,[1]dictTech!$A$2:$B$32,2,FALSE)</f>
        <v>Undefined</v>
      </c>
      <c r="D221" t="s">
        <v>133</v>
      </c>
      <c r="E221">
        <v>1</v>
      </c>
      <c r="F221" t="s">
        <v>134</v>
      </c>
      <c r="G221">
        <v>144</v>
      </c>
      <c r="H221">
        <v>0.38300000000000001</v>
      </c>
    </row>
    <row r="222" spans="1:8">
      <c r="A222" t="s">
        <v>362</v>
      </c>
      <c r="B222" t="s">
        <v>11</v>
      </c>
      <c r="C222" t="str">
        <f>VLOOKUP(B222,[1]dictTech!$A$2:$B$32,2,FALSE)</f>
        <v>Undefined</v>
      </c>
      <c r="D222" t="s">
        <v>133</v>
      </c>
      <c r="E222">
        <v>9</v>
      </c>
      <c r="F222" t="s">
        <v>134</v>
      </c>
      <c r="G222">
        <v>144</v>
      </c>
      <c r="H222">
        <v>0.38300000000000001</v>
      </c>
    </row>
    <row r="223" spans="1:8">
      <c r="A223" t="s">
        <v>363</v>
      </c>
      <c r="B223" t="s">
        <v>118</v>
      </c>
      <c r="C223" t="e">
        <f>VLOOKUP(B223,[1]dictTech!$A$2:$B$32,2,FALSE)</f>
        <v>#N/A</v>
      </c>
      <c r="D223" t="s">
        <v>133</v>
      </c>
      <c r="E223">
        <v>37</v>
      </c>
      <c r="F223" t="s">
        <v>134</v>
      </c>
      <c r="G223">
        <v>875</v>
      </c>
      <c r="H223">
        <v>0.4</v>
      </c>
    </row>
    <row r="224" spans="1:8">
      <c r="A224" t="s">
        <v>364</v>
      </c>
      <c r="B224" t="s">
        <v>164</v>
      </c>
      <c r="C224" t="e">
        <f>VLOOKUP(B224,[1]dictTech!$A$2:$B$32,2,FALSE)</f>
        <v>#N/A</v>
      </c>
      <c r="D224" t="s">
        <v>133</v>
      </c>
      <c r="E224">
        <v>18</v>
      </c>
      <c r="F224" t="s">
        <v>134</v>
      </c>
      <c r="G224">
        <v>1045.2</v>
      </c>
      <c r="H224">
        <v>0.75</v>
      </c>
    </row>
    <row r="225" spans="1:8">
      <c r="A225" t="s">
        <v>365</v>
      </c>
      <c r="B225" t="s">
        <v>138</v>
      </c>
      <c r="C225" t="e">
        <f>VLOOKUP(B225,[1]dictTech!$A$2:$B$32,2,FALSE)</f>
        <v>#N/A</v>
      </c>
      <c r="D225" t="s">
        <v>133</v>
      </c>
      <c r="E225">
        <v>17</v>
      </c>
      <c r="F225" t="s">
        <v>134</v>
      </c>
      <c r="G225">
        <v>54</v>
      </c>
      <c r="H225">
        <v>0.33</v>
      </c>
    </row>
    <row r="226" spans="1:8">
      <c r="A226" t="s">
        <v>366</v>
      </c>
      <c r="B226" t="s">
        <v>26</v>
      </c>
      <c r="C226" t="str">
        <f>VLOOKUP(B226,[1]dictTech!$A$2:$B$32,2,FALSE)</f>
        <v>Undefined</v>
      </c>
      <c r="D226" t="s">
        <v>133</v>
      </c>
      <c r="E226">
        <v>11</v>
      </c>
      <c r="F226" t="s">
        <v>134</v>
      </c>
      <c r="G226">
        <v>444</v>
      </c>
      <c r="H226">
        <v>0.52200000000000002</v>
      </c>
    </row>
    <row r="227" spans="1:8">
      <c r="A227" t="s">
        <v>367</v>
      </c>
      <c r="B227" t="s">
        <v>23</v>
      </c>
      <c r="C227" t="e">
        <f>VLOOKUP(B227,[1]dictTech!$A$2:$B$32,2,FALSE)</f>
        <v>#N/A</v>
      </c>
      <c r="D227" t="s">
        <v>133</v>
      </c>
      <c r="E227">
        <v>38</v>
      </c>
      <c r="F227" t="s">
        <v>134</v>
      </c>
      <c r="G227">
        <v>89</v>
      </c>
      <c r="H227">
        <v>0.4</v>
      </c>
    </row>
    <row r="228" spans="1:8">
      <c r="A228" t="s">
        <v>368</v>
      </c>
      <c r="B228" t="s">
        <v>23</v>
      </c>
      <c r="C228" t="e">
        <f>VLOOKUP(B228,[1]dictTech!$A$2:$B$32,2,FALSE)</f>
        <v>#N/A</v>
      </c>
      <c r="D228" t="s">
        <v>133</v>
      </c>
      <c r="E228">
        <v>22</v>
      </c>
      <c r="F228" t="s">
        <v>134</v>
      </c>
      <c r="G228">
        <v>179</v>
      </c>
      <c r="H228">
        <v>0.38</v>
      </c>
    </row>
    <row r="229" spans="1:8">
      <c r="A229" t="s">
        <v>369</v>
      </c>
      <c r="B229" t="s">
        <v>23</v>
      </c>
      <c r="C229" t="e">
        <f>VLOOKUP(B229,[1]dictTech!$A$2:$B$32,2,FALSE)</f>
        <v>#N/A</v>
      </c>
      <c r="D229" t="s">
        <v>133</v>
      </c>
      <c r="E229">
        <v>4</v>
      </c>
      <c r="F229" t="s">
        <v>134</v>
      </c>
      <c r="G229">
        <v>774</v>
      </c>
      <c r="H229">
        <v>0.46300000000000002</v>
      </c>
    </row>
    <row r="230" spans="1:8">
      <c r="A230" t="s">
        <v>370</v>
      </c>
      <c r="B230" t="s">
        <v>23</v>
      </c>
      <c r="C230" t="e">
        <f>VLOOKUP(B230,[1]dictTech!$A$2:$B$32,2,FALSE)</f>
        <v>#N/A</v>
      </c>
      <c r="D230" t="s">
        <v>133</v>
      </c>
      <c r="E230">
        <v>22</v>
      </c>
      <c r="F230" t="s">
        <v>134</v>
      </c>
      <c r="G230">
        <v>766</v>
      </c>
      <c r="H230">
        <v>0.46300000000000002</v>
      </c>
    </row>
    <row r="231" spans="1:8">
      <c r="A231" t="s">
        <v>371</v>
      </c>
      <c r="B231" t="s">
        <v>118</v>
      </c>
      <c r="C231" t="e">
        <f>VLOOKUP(B231,[1]dictTech!$A$2:$B$32,2,FALSE)</f>
        <v>#N/A</v>
      </c>
      <c r="D231" t="s">
        <v>133</v>
      </c>
      <c r="E231">
        <v>19</v>
      </c>
      <c r="F231" t="s">
        <v>134</v>
      </c>
      <c r="G231">
        <v>607</v>
      </c>
      <c r="H231">
        <v>0.34</v>
      </c>
    </row>
    <row r="232" spans="1:8">
      <c r="A232" t="s">
        <v>372</v>
      </c>
      <c r="B232" t="s">
        <v>118</v>
      </c>
      <c r="C232" t="e">
        <f>VLOOKUP(B232,[1]dictTech!$A$2:$B$32,2,FALSE)</f>
        <v>#N/A</v>
      </c>
      <c r="D232" t="s">
        <v>133</v>
      </c>
      <c r="E232">
        <v>35</v>
      </c>
      <c r="F232" t="s">
        <v>134</v>
      </c>
      <c r="G232">
        <v>604</v>
      </c>
      <c r="H232">
        <v>0.34200000000000003</v>
      </c>
    </row>
    <row r="233" spans="1:8">
      <c r="A233" t="s">
        <v>373</v>
      </c>
      <c r="B233" t="s">
        <v>118</v>
      </c>
      <c r="C233" t="e">
        <f>VLOOKUP(B233,[1]dictTech!$A$2:$B$32,2,FALSE)</f>
        <v>#N/A</v>
      </c>
      <c r="D233" t="s">
        <v>133</v>
      </c>
      <c r="E233">
        <v>13</v>
      </c>
      <c r="F233" t="s">
        <v>134</v>
      </c>
      <c r="G233">
        <v>292</v>
      </c>
      <c r="H233">
        <v>0.33500000000000002</v>
      </c>
    </row>
    <row r="234" spans="1:8">
      <c r="A234" t="s">
        <v>374</v>
      </c>
      <c r="B234" t="s">
        <v>118</v>
      </c>
      <c r="C234" t="e">
        <f>VLOOKUP(B234,[1]dictTech!$A$2:$B$32,2,FALSE)</f>
        <v>#N/A</v>
      </c>
      <c r="D234" t="s">
        <v>133</v>
      </c>
      <c r="E234">
        <v>26</v>
      </c>
      <c r="F234" t="s">
        <v>134</v>
      </c>
      <c r="G234">
        <v>288</v>
      </c>
      <c r="H234">
        <v>0.33300000000000002</v>
      </c>
    </row>
    <row r="235" spans="1:8">
      <c r="A235" t="s">
        <v>375</v>
      </c>
      <c r="B235" t="s">
        <v>118</v>
      </c>
      <c r="C235" t="e">
        <f>VLOOKUP(B235,[1]dictTech!$A$2:$B$32,2,FALSE)</f>
        <v>#N/A</v>
      </c>
      <c r="D235" t="s">
        <v>133</v>
      </c>
      <c r="E235">
        <v>37</v>
      </c>
      <c r="F235" t="s">
        <v>134</v>
      </c>
      <c r="G235">
        <v>277</v>
      </c>
      <c r="H235">
        <v>0.33300000000000002</v>
      </c>
    </row>
    <row r="236" spans="1:8">
      <c r="A236" t="s">
        <v>376</v>
      </c>
      <c r="B236" t="s">
        <v>118</v>
      </c>
      <c r="C236" t="e">
        <f>VLOOKUP(B236,[1]dictTech!$A$2:$B$32,2,FALSE)</f>
        <v>#N/A</v>
      </c>
      <c r="D236" t="s">
        <v>133</v>
      </c>
      <c r="E236">
        <v>3</v>
      </c>
      <c r="F236" t="s">
        <v>134</v>
      </c>
      <c r="G236">
        <v>944</v>
      </c>
      <c r="H236">
        <v>0.40500000000000003</v>
      </c>
    </row>
    <row r="237" spans="1:8">
      <c r="A237" t="s">
        <v>377</v>
      </c>
      <c r="B237" t="s">
        <v>118</v>
      </c>
      <c r="C237" t="e">
        <f>VLOOKUP(B237,[1]dictTech!$A$2:$B$32,2,FALSE)</f>
        <v>#N/A</v>
      </c>
      <c r="D237" t="s">
        <v>133</v>
      </c>
      <c r="E237">
        <v>38</v>
      </c>
      <c r="F237" t="s">
        <v>134</v>
      </c>
      <c r="G237">
        <v>653</v>
      </c>
      <c r="H237">
        <v>0.41899999999999998</v>
      </c>
    </row>
    <row r="238" spans="1:8">
      <c r="A238" t="s">
        <v>378</v>
      </c>
      <c r="B238" t="s">
        <v>118</v>
      </c>
      <c r="C238" t="e">
        <f>VLOOKUP(B238,[1]dictTech!$A$2:$B$32,2,FALSE)</f>
        <v>#N/A</v>
      </c>
      <c r="D238" t="s">
        <v>133</v>
      </c>
      <c r="E238">
        <v>12</v>
      </c>
      <c r="F238" t="s">
        <v>134</v>
      </c>
      <c r="G238">
        <v>648</v>
      </c>
      <c r="H238">
        <v>0.42199999999999999</v>
      </c>
    </row>
    <row r="239" spans="1:8">
      <c r="A239" t="s">
        <v>379</v>
      </c>
      <c r="B239" t="s">
        <v>118</v>
      </c>
      <c r="C239" t="e">
        <f>VLOOKUP(B239,[1]dictTech!$A$2:$B$32,2,FALSE)</f>
        <v>#N/A</v>
      </c>
      <c r="D239" t="s">
        <v>133</v>
      </c>
      <c r="E239">
        <v>39</v>
      </c>
      <c r="F239" t="s">
        <v>134</v>
      </c>
      <c r="G239">
        <v>299</v>
      </c>
      <c r="H239">
        <v>0.33</v>
      </c>
    </row>
    <row r="240" spans="1:8">
      <c r="A240" t="s">
        <v>380</v>
      </c>
      <c r="B240" t="s">
        <v>118</v>
      </c>
      <c r="C240" t="e">
        <f>VLOOKUP(B240,[1]dictTech!$A$2:$B$32,2,FALSE)</f>
        <v>#N/A</v>
      </c>
      <c r="D240" t="s">
        <v>133</v>
      </c>
      <c r="E240">
        <v>19</v>
      </c>
      <c r="F240" t="s">
        <v>134</v>
      </c>
      <c r="G240">
        <v>297</v>
      </c>
      <c r="H240">
        <v>0.32300000000000001</v>
      </c>
    </row>
    <row r="241" spans="1:8">
      <c r="A241" t="s">
        <v>381</v>
      </c>
      <c r="B241" t="s">
        <v>118</v>
      </c>
      <c r="C241" t="e">
        <f>VLOOKUP(B241,[1]dictTech!$A$2:$B$32,2,FALSE)</f>
        <v>#N/A</v>
      </c>
      <c r="D241" t="s">
        <v>133</v>
      </c>
      <c r="E241">
        <v>5</v>
      </c>
      <c r="F241" t="s">
        <v>134</v>
      </c>
      <c r="G241">
        <v>295</v>
      </c>
      <c r="H241">
        <v>0.32800000000000001</v>
      </c>
    </row>
    <row r="242" spans="1:8">
      <c r="A242" t="s">
        <v>382</v>
      </c>
      <c r="B242" t="s">
        <v>118</v>
      </c>
      <c r="C242" t="e">
        <f>VLOOKUP(B242,[1]dictTech!$A$2:$B$32,2,FALSE)</f>
        <v>#N/A</v>
      </c>
      <c r="D242" t="s">
        <v>133</v>
      </c>
      <c r="E242">
        <v>4</v>
      </c>
      <c r="F242" t="s">
        <v>134</v>
      </c>
      <c r="G242">
        <v>294</v>
      </c>
      <c r="H242">
        <v>0.316</v>
      </c>
    </row>
    <row r="243" spans="1:8">
      <c r="A243" t="s">
        <v>383</v>
      </c>
      <c r="B243" t="s">
        <v>118</v>
      </c>
      <c r="C243" t="e">
        <f>VLOOKUP(B243,[1]dictTech!$A$2:$B$32,2,FALSE)</f>
        <v>#N/A</v>
      </c>
      <c r="D243" t="s">
        <v>133</v>
      </c>
      <c r="E243">
        <v>31</v>
      </c>
      <c r="F243" t="s">
        <v>134</v>
      </c>
      <c r="G243">
        <v>125</v>
      </c>
      <c r="H243">
        <v>0.311</v>
      </c>
    </row>
    <row r="244" spans="1:8">
      <c r="A244" t="s">
        <v>384</v>
      </c>
      <c r="B244" t="s">
        <v>118</v>
      </c>
      <c r="C244" t="e">
        <f>VLOOKUP(B244,[1]dictTech!$A$2:$B$32,2,FALSE)</f>
        <v>#N/A</v>
      </c>
      <c r="D244" t="s">
        <v>133</v>
      </c>
      <c r="E244">
        <v>22</v>
      </c>
      <c r="F244" t="s">
        <v>134</v>
      </c>
      <c r="G244">
        <v>125</v>
      </c>
      <c r="H244">
        <v>0.311</v>
      </c>
    </row>
    <row r="245" spans="1:8">
      <c r="A245" t="s">
        <v>385</v>
      </c>
      <c r="B245" t="s">
        <v>23</v>
      </c>
      <c r="C245" t="e">
        <f>VLOOKUP(B245,[1]dictTech!$A$2:$B$32,2,FALSE)</f>
        <v>#N/A</v>
      </c>
      <c r="D245" t="s">
        <v>133</v>
      </c>
      <c r="E245">
        <v>30</v>
      </c>
      <c r="F245" t="s">
        <v>134</v>
      </c>
      <c r="G245">
        <v>332.7</v>
      </c>
      <c r="H245">
        <v>0.40300000000000002</v>
      </c>
    </row>
    <row r="246" spans="1:8">
      <c r="A246" t="s">
        <v>386</v>
      </c>
      <c r="B246" t="s">
        <v>26</v>
      </c>
      <c r="C246" t="str">
        <f>VLOOKUP(B246,[1]dictTech!$A$2:$B$32,2,FALSE)</f>
        <v>Undefined</v>
      </c>
      <c r="D246" t="s">
        <v>133</v>
      </c>
      <c r="E246">
        <v>4</v>
      </c>
      <c r="F246" t="s">
        <v>134</v>
      </c>
      <c r="G246">
        <v>64</v>
      </c>
      <c r="H246">
        <v>0.51800000000000002</v>
      </c>
    </row>
    <row r="247" spans="1:8">
      <c r="A247" t="s">
        <v>387</v>
      </c>
      <c r="B247" t="s">
        <v>185</v>
      </c>
      <c r="C247" t="e">
        <f>VLOOKUP(B247,[1]dictTech!$A$2:$B$32,2,FALSE)</f>
        <v>#N/A</v>
      </c>
      <c r="D247" t="s">
        <v>133</v>
      </c>
      <c r="E247">
        <v>4</v>
      </c>
      <c r="F247" t="s">
        <v>134</v>
      </c>
      <c r="G247">
        <v>500</v>
      </c>
      <c r="H247">
        <v>1</v>
      </c>
    </row>
    <row r="248" spans="1:8">
      <c r="A248" t="s">
        <v>388</v>
      </c>
      <c r="B248" t="s">
        <v>185</v>
      </c>
      <c r="C248" t="e">
        <f>VLOOKUP(B248,[1]dictTech!$A$2:$B$32,2,FALSE)</f>
        <v>#N/A</v>
      </c>
      <c r="D248" t="s">
        <v>133</v>
      </c>
      <c r="E248">
        <v>4</v>
      </c>
      <c r="F248" t="s">
        <v>134</v>
      </c>
      <c r="G248">
        <v>500</v>
      </c>
      <c r="H248">
        <v>1</v>
      </c>
    </row>
    <row r="249" spans="1:8">
      <c r="A249" t="s">
        <v>389</v>
      </c>
      <c r="B249" t="s">
        <v>185</v>
      </c>
      <c r="C249" t="e">
        <f>VLOOKUP(B249,[1]dictTech!$A$2:$B$32,2,FALSE)</f>
        <v>#N/A</v>
      </c>
      <c r="D249" t="s">
        <v>133</v>
      </c>
      <c r="E249">
        <v>2</v>
      </c>
      <c r="F249" t="s">
        <v>134</v>
      </c>
      <c r="G249">
        <v>500</v>
      </c>
      <c r="H249">
        <v>1</v>
      </c>
    </row>
    <row r="250" spans="1:8">
      <c r="A250" t="s">
        <v>390</v>
      </c>
      <c r="B250" t="s">
        <v>185</v>
      </c>
      <c r="C250" t="e">
        <f>VLOOKUP(B250,[1]dictTech!$A$2:$B$32,2,FALSE)</f>
        <v>#N/A</v>
      </c>
      <c r="D250" t="s">
        <v>133</v>
      </c>
      <c r="E250">
        <v>6</v>
      </c>
      <c r="F250" t="s">
        <v>134</v>
      </c>
      <c r="G250">
        <v>500</v>
      </c>
      <c r="H250">
        <v>1</v>
      </c>
    </row>
    <row r="251" spans="1:8">
      <c r="A251" t="s">
        <v>391</v>
      </c>
      <c r="B251" t="s">
        <v>185</v>
      </c>
      <c r="C251" t="e">
        <f>VLOOKUP(B251,[1]dictTech!$A$2:$B$32,2,FALSE)</f>
        <v>#N/A</v>
      </c>
      <c r="D251" t="s">
        <v>133</v>
      </c>
      <c r="E251">
        <v>4</v>
      </c>
      <c r="F251" t="s">
        <v>134</v>
      </c>
      <c r="G251">
        <v>500</v>
      </c>
      <c r="H251">
        <v>1</v>
      </c>
    </row>
    <row r="252" spans="1:8">
      <c r="A252" t="s">
        <v>392</v>
      </c>
      <c r="B252" t="s">
        <v>185</v>
      </c>
      <c r="C252" t="e">
        <f>VLOOKUP(B252,[1]dictTech!$A$2:$B$32,2,FALSE)</f>
        <v>#N/A</v>
      </c>
      <c r="D252" t="s">
        <v>133</v>
      </c>
      <c r="E252">
        <v>6</v>
      </c>
      <c r="F252" t="s">
        <v>134</v>
      </c>
      <c r="G252">
        <v>500</v>
      </c>
      <c r="H252">
        <v>1</v>
      </c>
    </row>
    <row r="253" spans="1:8">
      <c r="A253" t="s">
        <v>393</v>
      </c>
      <c r="B253" t="s">
        <v>187</v>
      </c>
      <c r="C253" t="e">
        <f>VLOOKUP(B253,[1]dictTech!$A$2:$B$32,2,FALSE)</f>
        <v>#N/A</v>
      </c>
      <c r="D253" t="s">
        <v>133</v>
      </c>
      <c r="E253">
        <v>12</v>
      </c>
      <c r="F253" t="s">
        <v>134</v>
      </c>
      <c r="G253">
        <v>1815</v>
      </c>
      <c r="H253">
        <v>1</v>
      </c>
    </row>
    <row r="254" spans="1:8">
      <c r="A254" t="s">
        <v>394</v>
      </c>
      <c r="B254" t="s">
        <v>187</v>
      </c>
      <c r="C254" t="e">
        <f>VLOOKUP(B254,[1]dictTech!$A$2:$B$32,2,FALSE)</f>
        <v>#N/A</v>
      </c>
      <c r="D254" t="s">
        <v>133</v>
      </c>
      <c r="E254">
        <v>6</v>
      </c>
      <c r="F254" t="s">
        <v>134</v>
      </c>
      <c r="G254">
        <v>1815</v>
      </c>
      <c r="H254">
        <v>1</v>
      </c>
    </row>
    <row r="255" spans="1:8">
      <c r="A255" t="s">
        <v>395</v>
      </c>
      <c r="B255" t="s">
        <v>187</v>
      </c>
      <c r="C255" t="e">
        <f>VLOOKUP(B255,[1]dictTech!$A$2:$B$32,2,FALSE)</f>
        <v>#N/A</v>
      </c>
      <c r="D255" t="s">
        <v>133</v>
      </c>
      <c r="E255">
        <v>9</v>
      </c>
      <c r="F255" t="s">
        <v>134</v>
      </c>
      <c r="G255">
        <v>1815</v>
      </c>
      <c r="H255">
        <v>1</v>
      </c>
    </row>
    <row r="256" spans="1:8">
      <c r="A256" t="s">
        <v>396</v>
      </c>
      <c r="B256" t="s">
        <v>187</v>
      </c>
      <c r="C256" t="e">
        <f>VLOOKUP(B256,[1]dictTech!$A$2:$B$32,2,FALSE)</f>
        <v>#N/A</v>
      </c>
      <c r="D256" t="s">
        <v>133</v>
      </c>
      <c r="E256">
        <v>9</v>
      </c>
      <c r="F256" t="s">
        <v>134</v>
      </c>
      <c r="G256">
        <v>1815</v>
      </c>
      <c r="H256">
        <v>1</v>
      </c>
    </row>
    <row r="257" spans="1:8">
      <c r="A257" t="s">
        <v>397</v>
      </c>
      <c r="B257" t="s">
        <v>187</v>
      </c>
      <c r="C257" t="e">
        <f>VLOOKUP(B257,[1]dictTech!$A$2:$B$32,2,FALSE)</f>
        <v>#N/A</v>
      </c>
      <c r="D257" t="s">
        <v>133</v>
      </c>
      <c r="E257">
        <v>1</v>
      </c>
      <c r="F257" t="s">
        <v>134</v>
      </c>
      <c r="G257">
        <v>1815</v>
      </c>
      <c r="H257">
        <v>1</v>
      </c>
    </row>
    <row r="258" spans="1:8">
      <c r="A258" t="s">
        <v>398</v>
      </c>
      <c r="B258" t="s">
        <v>187</v>
      </c>
      <c r="C258" t="e">
        <f>VLOOKUP(B258,[1]dictTech!$A$2:$B$32,2,FALSE)</f>
        <v>#N/A</v>
      </c>
      <c r="D258" t="s">
        <v>133</v>
      </c>
      <c r="E258">
        <v>7</v>
      </c>
      <c r="F258" t="s">
        <v>134</v>
      </c>
      <c r="G258">
        <v>1815</v>
      </c>
      <c r="H258">
        <v>1</v>
      </c>
    </row>
    <row r="259" spans="1:8">
      <c r="A259" t="s">
        <v>399</v>
      </c>
      <c r="B259" t="s">
        <v>187</v>
      </c>
      <c r="C259" t="e">
        <f>VLOOKUP(B259,[1]dictTech!$A$2:$B$32,2,FALSE)</f>
        <v>#N/A</v>
      </c>
      <c r="D259" t="s">
        <v>133</v>
      </c>
      <c r="E259">
        <v>3</v>
      </c>
      <c r="F259" t="s">
        <v>134</v>
      </c>
      <c r="G259">
        <v>1815</v>
      </c>
      <c r="H259">
        <v>1</v>
      </c>
    </row>
    <row r="260" spans="1:8">
      <c r="A260" t="s">
        <v>400</v>
      </c>
      <c r="B260" t="s">
        <v>187</v>
      </c>
      <c r="C260" t="e">
        <f>VLOOKUP(B260,[1]dictTech!$A$2:$B$32,2,FALSE)</f>
        <v>#N/A</v>
      </c>
      <c r="D260" t="s">
        <v>133</v>
      </c>
      <c r="E260">
        <v>3</v>
      </c>
      <c r="F260" t="s">
        <v>134</v>
      </c>
      <c r="G260">
        <v>1815</v>
      </c>
      <c r="H260">
        <v>1</v>
      </c>
    </row>
    <row r="261" spans="1:8">
      <c r="A261" t="s">
        <v>401</v>
      </c>
      <c r="B261" t="s">
        <v>187</v>
      </c>
      <c r="C261" t="e">
        <f>VLOOKUP(B261,[1]dictTech!$A$2:$B$32,2,FALSE)</f>
        <v>#N/A</v>
      </c>
      <c r="D261" t="s">
        <v>133</v>
      </c>
      <c r="E261">
        <v>12</v>
      </c>
      <c r="F261" t="s">
        <v>134</v>
      </c>
      <c r="G261">
        <v>1815</v>
      </c>
      <c r="H261">
        <v>1</v>
      </c>
    </row>
    <row r="262" spans="1:8">
      <c r="A262" t="s">
        <v>402</v>
      </c>
      <c r="B262" t="s">
        <v>187</v>
      </c>
      <c r="C262" t="e">
        <f>VLOOKUP(B262,[1]dictTech!$A$2:$B$32,2,FALSE)</f>
        <v>#N/A</v>
      </c>
      <c r="D262" t="s">
        <v>133</v>
      </c>
      <c r="E262">
        <v>10</v>
      </c>
      <c r="F262" t="s">
        <v>134</v>
      </c>
      <c r="G262">
        <v>1815</v>
      </c>
      <c r="H262">
        <v>1</v>
      </c>
    </row>
    <row r="263" spans="1:8">
      <c r="A263" t="s">
        <v>403</v>
      </c>
      <c r="B263" t="s">
        <v>187</v>
      </c>
      <c r="C263" t="e">
        <f>VLOOKUP(B263,[1]dictTech!$A$2:$B$32,2,FALSE)</f>
        <v>#N/A</v>
      </c>
      <c r="D263" t="s">
        <v>133</v>
      </c>
      <c r="E263">
        <v>11</v>
      </c>
      <c r="F263" t="s">
        <v>134</v>
      </c>
      <c r="G263">
        <v>1815</v>
      </c>
      <c r="H263">
        <v>1</v>
      </c>
    </row>
    <row r="264" spans="1:8">
      <c r="A264" t="s">
        <v>404</v>
      </c>
      <c r="B264" t="s">
        <v>187</v>
      </c>
      <c r="C264" t="e">
        <f>VLOOKUP(B264,[1]dictTech!$A$2:$B$32,2,FALSE)</f>
        <v>#N/A</v>
      </c>
      <c r="D264" t="s">
        <v>133</v>
      </c>
      <c r="E264">
        <v>2</v>
      </c>
      <c r="F264" t="s">
        <v>134</v>
      </c>
      <c r="G264">
        <v>1815</v>
      </c>
      <c r="H264">
        <v>1</v>
      </c>
    </row>
    <row r="265" spans="1:8">
      <c r="A265" t="s">
        <v>405</v>
      </c>
      <c r="B265" t="s">
        <v>187</v>
      </c>
      <c r="C265" t="e">
        <f>VLOOKUP(B265,[1]dictTech!$A$2:$B$32,2,FALSE)</f>
        <v>#N/A</v>
      </c>
      <c r="D265" t="s">
        <v>133</v>
      </c>
      <c r="E265">
        <v>8</v>
      </c>
      <c r="F265" t="s">
        <v>134</v>
      </c>
      <c r="G265">
        <v>1815</v>
      </c>
      <c r="H265">
        <v>1</v>
      </c>
    </row>
    <row r="266" spans="1:8">
      <c r="A266" t="s">
        <v>406</v>
      </c>
      <c r="B266" t="s">
        <v>187</v>
      </c>
      <c r="C266" t="e">
        <f>VLOOKUP(B266,[1]dictTech!$A$2:$B$32,2,FALSE)</f>
        <v>#N/A</v>
      </c>
      <c r="D266" t="s">
        <v>133</v>
      </c>
      <c r="E266">
        <v>11</v>
      </c>
      <c r="F266" t="s">
        <v>134</v>
      </c>
      <c r="G266">
        <v>1000</v>
      </c>
      <c r="H266">
        <v>1</v>
      </c>
    </row>
    <row r="267" spans="1:8">
      <c r="A267" t="s">
        <v>407</v>
      </c>
      <c r="B267" t="s">
        <v>187</v>
      </c>
      <c r="C267" t="e">
        <f>VLOOKUP(B267,[1]dictTech!$A$2:$B$32,2,FALSE)</f>
        <v>#N/A</v>
      </c>
      <c r="D267" t="s">
        <v>133</v>
      </c>
      <c r="E267">
        <v>13</v>
      </c>
      <c r="F267" t="s">
        <v>134</v>
      </c>
      <c r="G267">
        <v>1000</v>
      </c>
      <c r="H267">
        <v>1</v>
      </c>
    </row>
    <row r="268" spans="1:8">
      <c r="A268" t="s">
        <v>408</v>
      </c>
      <c r="B268" t="s">
        <v>187</v>
      </c>
      <c r="C268" t="e">
        <f>VLOOKUP(B268,[1]dictTech!$A$2:$B$32,2,FALSE)</f>
        <v>#N/A</v>
      </c>
      <c r="D268" t="s">
        <v>133</v>
      </c>
      <c r="E268">
        <v>15</v>
      </c>
      <c r="F268" t="s">
        <v>134</v>
      </c>
      <c r="G268">
        <v>1000</v>
      </c>
      <c r="H268">
        <v>1</v>
      </c>
    </row>
    <row r="269" spans="1:8">
      <c r="A269" t="s">
        <v>409</v>
      </c>
      <c r="B269" t="s">
        <v>187</v>
      </c>
      <c r="C269" t="e">
        <f>VLOOKUP(B269,[1]dictTech!$A$2:$B$32,2,FALSE)</f>
        <v>#N/A</v>
      </c>
      <c r="D269" t="s">
        <v>133</v>
      </c>
      <c r="E269">
        <v>9</v>
      </c>
      <c r="F269" t="s">
        <v>134</v>
      </c>
      <c r="G269">
        <v>1000</v>
      </c>
      <c r="H269">
        <v>1</v>
      </c>
    </row>
    <row r="270" spans="1:8">
      <c r="A270" t="s">
        <v>410</v>
      </c>
      <c r="B270" t="s">
        <v>187</v>
      </c>
      <c r="C270" t="e">
        <f>VLOOKUP(B270,[1]dictTech!$A$2:$B$32,2,FALSE)</f>
        <v>#N/A</v>
      </c>
      <c r="D270" t="s">
        <v>133</v>
      </c>
      <c r="E270">
        <v>7</v>
      </c>
      <c r="F270" t="s">
        <v>134</v>
      </c>
      <c r="G270">
        <v>1000</v>
      </c>
      <c r="H270">
        <v>1</v>
      </c>
    </row>
    <row r="271" spans="1:8">
      <c r="A271" t="s">
        <v>411</v>
      </c>
      <c r="B271" t="s">
        <v>187</v>
      </c>
      <c r="C271" t="e">
        <f>VLOOKUP(B271,[1]dictTech!$A$2:$B$32,2,FALSE)</f>
        <v>#N/A</v>
      </c>
      <c r="D271" t="s">
        <v>133</v>
      </c>
      <c r="E271">
        <v>3</v>
      </c>
      <c r="F271" t="s">
        <v>134</v>
      </c>
      <c r="G271">
        <v>1815</v>
      </c>
      <c r="H271">
        <v>1</v>
      </c>
    </row>
    <row r="272" spans="1:8">
      <c r="A272" t="s">
        <v>412</v>
      </c>
      <c r="B272" t="s">
        <v>187</v>
      </c>
      <c r="C272" t="e">
        <f>VLOOKUP(B272,[1]dictTech!$A$2:$B$32,2,FALSE)</f>
        <v>#N/A</v>
      </c>
      <c r="D272" t="s">
        <v>133</v>
      </c>
      <c r="E272">
        <v>2</v>
      </c>
      <c r="F272" t="s">
        <v>134</v>
      </c>
      <c r="G272">
        <v>1815</v>
      </c>
      <c r="H272">
        <v>1</v>
      </c>
    </row>
    <row r="273" spans="1:8">
      <c r="A273" t="s">
        <v>413</v>
      </c>
      <c r="B273" t="s">
        <v>187</v>
      </c>
      <c r="C273" t="e">
        <f>VLOOKUP(B273,[1]dictTech!$A$2:$B$32,2,FALSE)</f>
        <v>#N/A</v>
      </c>
      <c r="D273" t="s">
        <v>133</v>
      </c>
      <c r="E273">
        <v>6</v>
      </c>
      <c r="F273" t="s">
        <v>134</v>
      </c>
      <c r="G273">
        <v>1815</v>
      </c>
      <c r="H273">
        <v>1</v>
      </c>
    </row>
    <row r="274" spans="1:8">
      <c r="A274" t="s">
        <v>414</v>
      </c>
      <c r="B274" t="s">
        <v>187</v>
      </c>
      <c r="C274" t="e">
        <f>VLOOKUP(B274,[1]dictTech!$A$2:$B$32,2,FALSE)</f>
        <v>#N/A</v>
      </c>
      <c r="D274" t="s">
        <v>133</v>
      </c>
      <c r="E274">
        <v>12</v>
      </c>
      <c r="F274" t="s">
        <v>134</v>
      </c>
      <c r="G274">
        <v>1815</v>
      </c>
      <c r="H274">
        <v>1</v>
      </c>
    </row>
    <row r="275" spans="1:8">
      <c r="A275" t="s">
        <v>415</v>
      </c>
      <c r="B275" t="s">
        <v>187</v>
      </c>
      <c r="C275" t="e">
        <f>VLOOKUP(B275,[1]dictTech!$A$2:$B$32,2,FALSE)</f>
        <v>#N/A</v>
      </c>
      <c r="D275" t="s">
        <v>133</v>
      </c>
      <c r="E275">
        <v>5</v>
      </c>
      <c r="F275" t="s">
        <v>134</v>
      </c>
      <c r="G275">
        <v>1815</v>
      </c>
      <c r="H275">
        <v>1</v>
      </c>
    </row>
    <row r="276" spans="1:8">
      <c r="A276" t="s">
        <v>416</v>
      </c>
      <c r="B276" t="s">
        <v>187</v>
      </c>
      <c r="C276" t="e">
        <f>VLOOKUP(B276,[1]dictTech!$A$2:$B$32,2,FALSE)</f>
        <v>#N/A</v>
      </c>
      <c r="D276" t="s">
        <v>133</v>
      </c>
      <c r="E276">
        <v>9</v>
      </c>
      <c r="F276" t="s">
        <v>134</v>
      </c>
      <c r="G276">
        <v>1815</v>
      </c>
      <c r="H276">
        <v>1</v>
      </c>
    </row>
    <row r="277" spans="1:8">
      <c r="A277" t="s">
        <v>417</v>
      </c>
      <c r="B277" t="s">
        <v>187</v>
      </c>
      <c r="C277" t="e">
        <f>VLOOKUP(B277,[1]dictTech!$A$2:$B$32,2,FALSE)</f>
        <v>#N/A</v>
      </c>
      <c r="D277" t="s">
        <v>133</v>
      </c>
      <c r="E277">
        <v>8</v>
      </c>
      <c r="F277" t="s">
        <v>134</v>
      </c>
      <c r="G277">
        <v>1815</v>
      </c>
      <c r="H277">
        <v>1</v>
      </c>
    </row>
    <row r="278" spans="1:8">
      <c r="A278" t="s">
        <v>418</v>
      </c>
      <c r="B278" t="s">
        <v>11</v>
      </c>
      <c r="C278" t="str">
        <f>VLOOKUP(B278,[1]dictTech!$A$2:$B$32,2,FALSE)</f>
        <v>Undefined</v>
      </c>
      <c r="D278" t="s">
        <v>133</v>
      </c>
      <c r="E278">
        <v>27</v>
      </c>
      <c r="F278" t="s">
        <v>134</v>
      </c>
      <c r="G278">
        <v>58.1</v>
      </c>
      <c r="H278">
        <v>0.373</v>
      </c>
    </row>
    <row r="279" spans="1:8">
      <c r="A279" t="s">
        <v>419</v>
      </c>
      <c r="B279" t="s">
        <v>164</v>
      </c>
      <c r="C279" t="e">
        <f>VLOOKUP(B279,[1]dictTech!$A$2:$B$32,2,FALSE)</f>
        <v>#N/A</v>
      </c>
      <c r="D279" t="s">
        <v>133</v>
      </c>
      <c r="E279">
        <v>26</v>
      </c>
      <c r="F279" t="s">
        <v>134</v>
      </c>
      <c r="G279">
        <v>164</v>
      </c>
      <c r="H279">
        <v>0.75</v>
      </c>
    </row>
    <row r="280" spans="1:8">
      <c r="A280" t="s">
        <v>420</v>
      </c>
      <c r="B280" t="s">
        <v>164</v>
      </c>
      <c r="C280" t="e">
        <f>VLOOKUP(B280,[1]dictTech!$A$2:$B$32,2,FALSE)</f>
        <v>#N/A</v>
      </c>
      <c r="D280" t="s">
        <v>133</v>
      </c>
      <c r="E280">
        <v>44</v>
      </c>
      <c r="F280" t="s">
        <v>134</v>
      </c>
      <c r="G280">
        <v>196</v>
      </c>
      <c r="H280">
        <v>0.8</v>
      </c>
    </row>
    <row r="281" spans="1:8">
      <c r="A281" t="s">
        <v>421</v>
      </c>
      <c r="B281" t="s">
        <v>164</v>
      </c>
      <c r="C281" t="e">
        <f>VLOOKUP(B281,[1]dictTech!$A$2:$B$32,2,FALSE)</f>
        <v>#N/A</v>
      </c>
      <c r="D281" t="s">
        <v>133</v>
      </c>
      <c r="E281">
        <v>12</v>
      </c>
      <c r="F281" t="s">
        <v>134</v>
      </c>
      <c r="G281">
        <v>100</v>
      </c>
      <c r="H281">
        <v>0.8</v>
      </c>
    </row>
    <row r="282" spans="1:8">
      <c r="A282" t="s">
        <v>422</v>
      </c>
      <c r="B282" t="s">
        <v>164</v>
      </c>
      <c r="C282" t="e">
        <f>VLOOKUP(B282,[1]dictTech!$A$2:$B$32,2,FALSE)</f>
        <v>#N/A</v>
      </c>
      <c r="D282" t="s">
        <v>133</v>
      </c>
      <c r="E282">
        <v>36</v>
      </c>
      <c r="F282" t="s">
        <v>134</v>
      </c>
      <c r="G282">
        <v>100</v>
      </c>
      <c r="H282">
        <v>0.8</v>
      </c>
    </row>
    <row r="283" spans="1:8">
      <c r="A283" t="s">
        <v>423</v>
      </c>
      <c r="B283" t="s">
        <v>164</v>
      </c>
      <c r="C283" t="e">
        <f>VLOOKUP(B283,[1]dictTech!$A$2:$B$32,2,FALSE)</f>
        <v>#N/A</v>
      </c>
      <c r="D283" t="s">
        <v>133</v>
      </c>
      <c r="E283">
        <v>35</v>
      </c>
      <c r="F283" t="s">
        <v>134</v>
      </c>
      <c r="G283">
        <v>195</v>
      </c>
      <c r="H283">
        <v>0.8</v>
      </c>
    </row>
    <row r="284" spans="1:8">
      <c r="A284" t="s">
        <v>424</v>
      </c>
      <c r="B284" t="s">
        <v>164</v>
      </c>
      <c r="C284" t="e">
        <f>VLOOKUP(B284,[1]dictTech!$A$2:$B$32,2,FALSE)</f>
        <v>#N/A</v>
      </c>
      <c r="D284" t="s">
        <v>133</v>
      </c>
      <c r="E284">
        <v>13</v>
      </c>
      <c r="F284" t="s">
        <v>134</v>
      </c>
      <c r="G284">
        <v>100</v>
      </c>
      <c r="H284">
        <v>0.8</v>
      </c>
    </row>
    <row r="285" spans="1:8">
      <c r="A285" t="s">
        <v>425</v>
      </c>
      <c r="B285" t="s">
        <v>164</v>
      </c>
      <c r="C285" t="e">
        <f>VLOOKUP(B285,[1]dictTech!$A$2:$B$32,2,FALSE)</f>
        <v>#N/A</v>
      </c>
      <c r="D285" t="s">
        <v>133</v>
      </c>
      <c r="E285">
        <v>28</v>
      </c>
      <c r="F285" t="s">
        <v>134</v>
      </c>
      <c r="G285">
        <v>100</v>
      </c>
      <c r="H285">
        <v>0.8</v>
      </c>
    </row>
    <row r="286" spans="1:8">
      <c r="A286" t="s">
        <v>426</v>
      </c>
      <c r="B286" t="s">
        <v>164</v>
      </c>
      <c r="C286" t="e">
        <f>VLOOKUP(B286,[1]dictTech!$A$2:$B$32,2,FALSE)</f>
        <v>#N/A</v>
      </c>
      <c r="D286" t="s">
        <v>133</v>
      </c>
      <c r="E286">
        <v>42</v>
      </c>
      <c r="F286" t="s">
        <v>134</v>
      </c>
      <c r="G286">
        <v>100</v>
      </c>
      <c r="H286">
        <v>0.8</v>
      </c>
    </row>
    <row r="287" spans="1:8">
      <c r="A287" t="s">
        <v>427</v>
      </c>
      <c r="B287" t="s">
        <v>164</v>
      </c>
      <c r="C287" t="e">
        <f>VLOOKUP(B287,[1]dictTech!$A$2:$B$32,2,FALSE)</f>
        <v>#N/A</v>
      </c>
      <c r="D287" t="s">
        <v>133</v>
      </c>
      <c r="E287">
        <v>14</v>
      </c>
      <c r="F287" t="s">
        <v>134</v>
      </c>
      <c r="G287">
        <v>100</v>
      </c>
      <c r="H287">
        <v>0.8</v>
      </c>
    </row>
    <row r="288" spans="1:8">
      <c r="A288" t="s">
        <v>428</v>
      </c>
      <c r="B288" t="s">
        <v>164</v>
      </c>
      <c r="C288" t="e">
        <f>VLOOKUP(B288,[1]dictTech!$A$2:$B$32,2,FALSE)</f>
        <v>#N/A</v>
      </c>
      <c r="D288" t="s">
        <v>133</v>
      </c>
      <c r="E288">
        <v>34</v>
      </c>
      <c r="F288" t="s">
        <v>134</v>
      </c>
      <c r="G288">
        <v>100</v>
      </c>
      <c r="H288">
        <v>0.8</v>
      </c>
    </row>
    <row r="289" spans="1:8">
      <c r="A289" t="s">
        <v>429</v>
      </c>
      <c r="B289" t="s">
        <v>164</v>
      </c>
      <c r="C289" t="e">
        <f>VLOOKUP(B289,[1]dictTech!$A$2:$B$32,2,FALSE)</f>
        <v>#N/A</v>
      </c>
      <c r="D289" t="s">
        <v>133</v>
      </c>
      <c r="E289">
        <v>24</v>
      </c>
      <c r="F289" t="s">
        <v>134</v>
      </c>
      <c r="G289">
        <v>100</v>
      </c>
      <c r="H289">
        <v>0.8</v>
      </c>
    </row>
    <row r="290" spans="1:8">
      <c r="A290" t="s">
        <v>430</v>
      </c>
      <c r="B290" t="s">
        <v>164</v>
      </c>
      <c r="C290" t="e">
        <f>VLOOKUP(B290,[1]dictTech!$A$2:$B$32,2,FALSE)</f>
        <v>#N/A</v>
      </c>
      <c r="D290" t="s">
        <v>133</v>
      </c>
      <c r="E290">
        <v>30</v>
      </c>
      <c r="F290" t="s">
        <v>134</v>
      </c>
      <c r="G290">
        <v>100</v>
      </c>
      <c r="H290">
        <v>0.8</v>
      </c>
    </row>
    <row r="291" spans="1:8">
      <c r="A291" t="s">
        <v>431</v>
      </c>
      <c r="B291" t="s">
        <v>164</v>
      </c>
      <c r="C291" t="e">
        <f>VLOOKUP(B291,[1]dictTech!$A$2:$B$32,2,FALSE)</f>
        <v>#N/A</v>
      </c>
      <c r="D291" t="s">
        <v>133</v>
      </c>
      <c r="E291">
        <v>42</v>
      </c>
      <c r="F291" t="s">
        <v>134</v>
      </c>
      <c r="G291">
        <v>90</v>
      </c>
      <c r="H291">
        <v>0.8</v>
      </c>
    </row>
    <row r="292" spans="1:8">
      <c r="A292" t="s">
        <v>432</v>
      </c>
      <c r="B292" t="s">
        <v>164</v>
      </c>
      <c r="C292" t="e">
        <f>VLOOKUP(B292,[1]dictTech!$A$2:$B$32,2,FALSE)</f>
        <v>#N/A</v>
      </c>
      <c r="D292" t="s">
        <v>133</v>
      </c>
      <c r="E292">
        <v>13</v>
      </c>
      <c r="F292" t="s">
        <v>134</v>
      </c>
      <c r="G292">
        <v>138</v>
      </c>
      <c r="H292">
        <v>0.75</v>
      </c>
    </row>
    <row r="293" spans="1:8">
      <c r="A293" t="s">
        <v>433</v>
      </c>
      <c r="B293" t="s">
        <v>164</v>
      </c>
      <c r="C293" t="e">
        <f>VLOOKUP(B293,[1]dictTech!$A$2:$B$32,2,FALSE)</f>
        <v>#N/A</v>
      </c>
      <c r="D293" t="s">
        <v>133</v>
      </c>
      <c r="E293">
        <v>20</v>
      </c>
      <c r="F293" t="s">
        <v>134</v>
      </c>
      <c r="G293">
        <v>79.5</v>
      </c>
      <c r="H293">
        <v>0.8</v>
      </c>
    </row>
    <row r="294" spans="1:8">
      <c r="A294" t="s">
        <v>434</v>
      </c>
      <c r="B294" t="s">
        <v>117</v>
      </c>
      <c r="C294" t="e">
        <f>VLOOKUP(B294,[1]dictTech!$A$2:$B$32,2,FALSE)</f>
        <v>#N/A</v>
      </c>
      <c r="D294" t="s">
        <v>133</v>
      </c>
      <c r="E294">
        <v>22</v>
      </c>
      <c r="F294" t="s">
        <v>134</v>
      </c>
      <c r="G294">
        <v>92.5</v>
      </c>
      <c r="H294">
        <v>0.38</v>
      </c>
    </row>
    <row r="295" spans="1:8">
      <c r="A295" t="s">
        <v>435</v>
      </c>
      <c r="B295" t="s">
        <v>117</v>
      </c>
      <c r="C295" t="e">
        <f>VLOOKUP(B295,[1]dictTech!$A$2:$B$32,2,FALSE)</f>
        <v>#N/A</v>
      </c>
      <c r="D295" t="s">
        <v>133</v>
      </c>
      <c r="E295">
        <v>29</v>
      </c>
      <c r="F295" t="s">
        <v>134</v>
      </c>
      <c r="G295">
        <v>80</v>
      </c>
      <c r="H295">
        <v>0.38</v>
      </c>
    </row>
    <row r="296" spans="1:8">
      <c r="A296" t="s">
        <v>436</v>
      </c>
      <c r="B296" t="s">
        <v>23</v>
      </c>
      <c r="C296" t="e">
        <f>VLOOKUP(B296,[1]dictTech!$A$2:$B$32,2,FALSE)</f>
        <v>#N/A</v>
      </c>
      <c r="D296" t="s">
        <v>133</v>
      </c>
      <c r="E296">
        <v>8</v>
      </c>
      <c r="F296" t="s">
        <v>134</v>
      </c>
      <c r="G296">
        <v>282</v>
      </c>
      <c r="H296">
        <v>0.39500000000000002</v>
      </c>
    </row>
    <row r="297" spans="1:8">
      <c r="A297" t="s">
        <v>437</v>
      </c>
      <c r="B297" t="s">
        <v>23</v>
      </c>
      <c r="C297" t="e">
        <f>VLOOKUP(B297,[1]dictTech!$A$2:$B$32,2,FALSE)</f>
        <v>#N/A</v>
      </c>
      <c r="D297" t="s">
        <v>133</v>
      </c>
      <c r="E297">
        <v>16</v>
      </c>
      <c r="F297" t="s">
        <v>134</v>
      </c>
      <c r="G297">
        <v>282</v>
      </c>
      <c r="H297">
        <v>0.39300000000000002</v>
      </c>
    </row>
    <row r="298" spans="1:8">
      <c r="A298" t="s">
        <v>438</v>
      </c>
      <c r="B298" t="s">
        <v>23</v>
      </c>
      <c r="C298" t="e">
        <f>VLOOKUP(B298,[1]dictTech!$A$2:$B$32,2,FALSE)</f>
        <v>#N/A</v>
      </c>
      <c r="D298" t="s">
        <v>133</v>
      </c>
      <c r="E298">
        <v>5</v>
      </c>
      <c r="F298" t="s">
        <v>134</v>
      </c>
      <c r="G298">
        <v>124</v>
      </c>
      <c r="H298">
        <v>0.34799999999999998</v>
      </c>
    </row>
    <row r="299" spans="1:8">
      <c r="A299" t="s">
        <v>439</v>
      </c>
      <c r="B299" t="s">
        <v>23</v>
      </c>
      <c r="C299" t="e">
        <f>VLOOKUP(B299,[1]dictTech!$A$2:$B$32,2,FALSE)</f>
        <v>#N/A</v>
      </c>
      <c r="D299" t="s">
        <v>133</v>
      </c>
      <c r="E299">
        <v>32</v>
      </c>
      <c r="F299" t="s">
        <v>134</v>
      </c>
      <c r="G299">
        <v>842</v>
      </c>
      <c r="H299">
        <v>0.46</v>
      </c>
    </row>
    <row r="300" spans="1:8">
      <c r="A300" t="s">
        <v>440</v>
      </c>
      <c r="B300" t="s">
        <v>23</v>
      </c>
      <c r="C300" t="e">
        <f>VLOOKUP(B300,[1]dictTech!$A$2:$B$32,2,FALSE)</f>
        <v>#N/A</v>
      </c>
      <c r="D300" t="s">
        <v>133</v>
      </c>
      <c r="E300">
        <v>32</v>
      </c>
      <c r="F300" t="s">
        <v>134</v>
      </c>
      <c r="G300">
        <v>505</v>
      </c>
      <c r="H300">
        <v>0.438</v>
      </c>
    </row>
    <row r="301" spans="1:8">
      <c r="A301" t="s">
        <v>441</v>
      </c>
      <c r="B301" t="s">
        <v>26</v>
      </c>
      <c r="C301" t="str">
        <f>VLOOKUP(B301,[1]dictTech!$A$2:$B$32,2,FALSE)</f>
        <v>Undefined</v>
      </c>
      <c r="D301" t="s">
        <v>133</v>
      </c>
      <c r="E301">
        <v>17</v>
      </c>
      <c r="F301" t="s">
        <v>134</v>
      </c>
      <c r="G301">
        <v>353</v>
      </c>
      <c r="H301">
        <v>0.53100000000000003</v>
      </c>
    </row>
    <row r="302" spans="1:8">
      <c r="A302" t="s">
        <v>442</v>
      </c>
      <c r="B302" t="s">
        <v>164</v>
      </c>
      <c r="C302" t="e">
        <f>VLOOKUP(B302,[1]dictTech!$A$2:$B$32,2,FALSE)</f>
        <v>#N/A</v>
      </c>
      <c r="D302" t="s">
        <v>133</v>
      </c>
      <c r="E302">
        <v>11</v>
      </c>
      <c r="F302" t="s">
        <v>134</v>
      </c>
      <c r="G302">
        <v>146</v>
      </c>
      <c r="H302">
        <v>0.8</v>
      </c>
    </row>
    <row r="303" spans="1:8">
      <c r="A303" t="s">
        <v>443</v>
      </c>
      <c r="B303" t="s">
        <v>118</v>
      </c>
      <c r="C303" t="e">
        <f>VLOOKUP(B303,[1]dictTech!$A$2:$B$32,2,FALSE)</f>
        <v>#N/A</v>
      </c>
      <c r="D303" t="s">
        <v>133</v>
      </c>
      <c r="E303">
        <v>12</v>
      </c>
      <c r="F303" t="s">
        <v>134</v>
      </c>
      <c r="G303">
        <v>450</v>
      </c>
      <c r="H303">
        <v>0.39</v>
      </c>
    </row>
    <row r="304" spans="1:8">
      <c r="A304" t="s">
        <v>444</v>
      </c>
      <c r="B304" t="s">
        <v>118</v>
      </c>
      <c r="C304" t="e">
        <f>VLOOKUP(B304,[1]dictTech!$A$2:$B$32,2,FALSE)</f>
        <v>#N/A</v>
      </c>
      <c r="D304" t="s">
        <v>133</v>
      </c>
      <c r="E304">
        <v>18</v>
      </c>
      <c r="F304" t="s">
        <v>134</v>
      </c>
      <c r="G304">
        <v>450</v>
      </c>
      <c r="H304">
        <v>0.39</v>
      </c>
    </row>
    <row r="305" spans="1:8">
      <c r="A305" t="s">
        <v>445</v>
      </c>
      <c r="B305" t="s">
        <v>23</v>
      </c>
      <c r="C305" t="e">
        <f>VLOOKUP(B305,[1]dictTech!$A$2:$B$32,2,FALSE)</f>
        <v>#N/A</v>
      </c>
      <c r="D305" t="s">
        <v>133</v>
      </c>
      <c r="E305">
        <v>8</v>
      </c>
      <c r="F305" t="s">
        <v>134</v>
      </c>
      <c r="G305">
        <v>345</v>
      </c>
      <c r="H305">
        <v>0.34499999999999997</v>
      </c>
    </row>
    <row r="306" spans="1:8">
      <c r="A306" t="s">
        <v>446</v>
      </c>
      <c r="B306" t="s">
        <v>23</v>
      </c>
      <c r="C306" t="e">
        <f>VLOOKUP(B306,[1]dictTech!$A$2:$B$32,2,FALSE)</f>
        <v>#N/A</v>
      </c>
      <c r="D306" t="s">
        <v>133</v>
      </c>
      <c r="E306">
        <v>29</v>
      </c>
      <c r="F306" t="s">
        <v>134</v>
      </c>
      <c r="G306">
        <v>345</v>
      </c>
      <c r="H306">
        <v>0.34799999999999998</v>
      </c>
    </row>
    <row r="307" spans="1:8">
      <c r="A307" t="s">
        <v>447</v>
      </c>
      <c r="B307" t="s">
        <v>118</v>
      </c>
      <c r="C307" t="e">
        <f>VLOOKUP(B307,[1]dictTech!$A$2:$B$32,2,FALSE)</f>
        <v>#N/A</v>
      </c>
      <c r="D307" t="s">
        <v>133</v>
      </c>
      <c r="E307">
        <v>37</v>
      </c>
      <c r="F307" t="s">
        <v>134</v>
      </c>
      <c r="G307">
        <v>750</v>
      </c>
      <c r="H307">
        <v>0.39500000000000002</v>
      </c>
    </row>
    <row r="308" spans="1:8">
      <c r="A308" t="s">
        <v>448</v>
      </c>
      <c r="B308" t="s">
        <v>118</v>
      </c>
      <c r="C308" t="e">
        <f>VLOOKUP(B308,[1]dictTech!$A$2:$B$32,2,FALSE)</f>
        <v>#N/A</v>
      </c>
      <c r="D308" t="s">
        <v>133</v>
      </c>
      <c r="E308">
        <v>39</v>
      </c>
      <c r="F308" t="s">
        <v>134</v>
      </c>
      <c r="G308">
        <v>750</v>
      </c>
      <c r="H308">
        <v>0.39300000000000002</v>
      </c>
    </row>
    <row r="309" spans="1:8">
      <c r="A309" t="s">
        <v>449</v>
      </c>
      <c r="B309" t="s">
        <v>164</v>
      </c>
      <c r="C309" t="e">
        <f>VLOOKUP(B309,[1]dictTech!$A$2:$B$32,2,FALSE)</f>
        <v>#N/A</v>
      </c>
      <c r="D309" t="s">
        <v>133</v>
      </c>
      <c r="E309">
        <v>8</v>
      </c>
      <c r="F309" t="s">
        <v>134</v>
      </c>
      <c r="G309">
        <v>360</v>
      </c>
      <c r="H309">
        <v>0.75</v>
      </c>
    </row>
    <row r="310" spans="1:8">
      <c r="A310" t="s">
        <v>450</v>
      </c>
      <c r="B310" t="s">
        <v>26</v>
      </c>
      <c r="C310" t="str">
        <f>VLOOKUP(B310,[1]dictTech!$A$2:$B$32,2,FALSE)</f>
        <v>Undefined</v>
      </c>
      <c r="D310" t="s">
        <v>133</v>
      </c>
      <c r="E310">
        <v>13</v>
      </c>
      <c r="F310" t="s">
        <v>134</v>
      </c>
      <c r="G310">
        <v>79.7</v>
      </c>
      <c r="H310">
        <v>0.45</v>
      </c>
    </row>
    <row r="311" spans="1:8">
      <c r="A311" t="s">
        <v>451</v>
      </c>
      <c r="B311" t="s">
        <v>26</v>
      </c>
      <c r="C311" t="str">
        <f>VLOOKUP(B311,[1]dictTech!$A$2:$B$32,2,FALSE)</f>
        <v>Undefined</v>
      </c>
      <c r="D311" t="s">
        <v>133</v>
      </c>
      <c r="E311">
        <v>20</v>
      </c>
      <c r="F311" t="s">
        <v>134</v>
      </c>
      <c r="G311">
        <v>127.6</v>
      </c>
      <c r="H311">
        <v>0.55800000000000005</v>
      </c>
    </row>
    <row r="312" spans="1:8">
      <c r="A312" t="s">
        <v>452</v>
      </c>
      <c r="B312" t="s">
        <v>26</v>
      </c>
      <c r="C312" t="str">
        <f>VLOOKUP(B312,[1]dictTech!$A$2:$B$32,2,FALSE)</f>
        <v>Undefined</v>
      </c>
      <c r="D312" t="s">
        <v>133</v>
      </c>
      <c r="E312">
        <v>15</v>
      </c>
      <c r="F312" t="s">
        <v>134</v>
      </c>
      <c r="G312">
        <v>124.9</v>
      </c>
      <c r="H312">
        <v>0.55800000000000005</v>
      </c>
    </row>
    <row r="313" spans="1:8">
      <c r="A313" t="s">
        <v>453</v>
      </c>
      <c r="B313" t="s">
        <v>26</v>
      </c>
      <c r="C313" t="str">
        <f>VLOOKUP(B313,[1]dictTech!$A$2:$B$32,2,FALSE)</f>
        <v>Undefined</v>
      </c>
      <c r="D313" t="s">
        <v>133</v>
      </c>
      <c r="E313">
        <v>5</v>
      </c>
      <c r="F313" t="s">
        <v>134</v>
      </c>
      <c r="G313">
        <v>123.9</v>
      </c>
      <c r="H313">
        <v>0.55800000000000005</v>
      </c>
    </row>
    <row r="314" spans="1:8">
      <c r="A314" t="s">
        <v>454</v>
      </c>
      <c r="B314" t="s">
        <v>26</v>
      </c>
      <c r="C314" t="str">
        <f>VLOOKUP(B314,[1]dictTech!$A$2:$B$32,2,FALSE)</f>
        <v>Undefined</v>
      </c>
      <c r="D314" t="s">
        <v>133</v>
      </c>
      <c r="E314">
        <v>23</v>
      </c>
      <c r="F314" t="s">
        <v>134</v>
      </c>
      <c r="G314">
        <v>97.9</v>
      </c>
      <c r="H314">
        <v>0.45</v>
      </c>
    </row>
    <row r="315" spans="1:8">
      <c r="A315" t="s">
        <v>455</v>
      </c>
      <c r="B315" t="s">
        <v>26</v>
      </c>
      <c r="C315" t="str">
        <f>VLOOKUP(B315,[1]dictTech!$A$2:$B$32,2,FALSE)</f>
        <v>Undefined</v>
      </c>
      <c r="D315" t="s">
        <v>133</v>
      </c>
      <c r="E315">
        <v>14</v>
      </c>
      <c r="F315" t="s">
        <v>134</v>
      </c>
      <c r="G315">
        <v>97.9</v>
      </c>
      <c r="H315">
        <v>0.45</v>
      </c>
    </row>
    <row r="316" spans="1:8">
      <c r="A316" t="s">
        <v>456</v>
      </c>
      <c r="B316" t="s">
        <v>138</v>
      </c>
      <c r="C316" t="e">
        <f>VLOOKUP(B316,[1]dictTech!$A$2:$B$32,2,FALSE)</f>
        <v>#N/A</v>
      </c>
      <c r="D316" t="s">
        <v>133</v>
      </c>
      <c r="E316">
        <v>15</v>
      </c>
      <c r="F316" t="s">
        <v>134</v>
      </c>
      <c r="G316">
        <v>378</v>
      </c>
      <c r="H316">
        <v>0.38100000000000001</v>
      </c>
    </row>
    <row r="317" spans="1:8">
      <c r="A317" t="s">
        <v>457</v>
      </c>
      <c r="B317" t="s">
        <v>138</v>
      </c>
      <c r="C317" t="e">
        <f>VLOOKUP(B317,[1]dictTech!$A$2:$B$32,2,FALSE)</f>
        <v>#N/A</v>
      </c>
      <c r="D317" t="s">
        <v>133</v>
      </c>
      <c r="E317">
        <v>14</v>
      </c>
      <c r="F317" t="s">
        <v>134</v>
      </c>
      <c r="G317">
        <v>95.4</v>
      </c>
      <c r="H317">
        <v>0.33</v>
      </c>
    </row>
    <row r="318" spans="1:8">
      <c r="A318" t="s">
        <v>458</v>
      </c>
      <c r="B318" t="s">
        <v>23</v>
      </c>
      <c r="C318" t="e">
        <f>VLOOKUP(B318,[1]dictTech!$A$2:$B$32,2,FALSE)</f>
        <v>#N/A</v>
      </c>
      <c r="D318" t="s">
        <v>133</v>
      </c>
      <c r="E318">
        <v>17</v>
      </c>
      <c r="F318" t="s">
        <v>134</v>
      </c>
      <c r="G318">
        <v>90</v>
      </c>
      <c r="H318">
        <v>0.38600000000000001</v>
      </c>
    </row>
    <row r="319" spans="1:8">
      <c r="A319" t="s">
        <v>459</v>
      </c>
      <c r="B319" t="s">
        <v>117</v>
      </c>
      <c r="C319" t="e">
        <f>VLOOKUP(B319,[1]dictTech!$A$2:$B$32,2,FALSE)</f>
        <v>#N/A</v>
      </c>
      <c r="D319" t="s">
        <v>133</v>
      </c>
      <c r="E319">
        <v>15</v>
      </c>
      <c r="F319" t="s">
        <v>134</v>
      </c>
      <c r="G319">
        <v>91</v>
      </c>
      <c r="H319">
        <v>0.35699999999999998</v>
      </c>
    </row>
    <row r="320" spans="1:8">
      <c r="A320" t="s">
        <v>460</v>
      </c>
      <c r="B320" t="s">
        <v>117</v>
      </c>
      <c r="C320" t="e">
        <f>VLOOKUP(B320,[1]dictTech!$A$2:$B$32,2,FALSE)</f>
        <v>#N/A</v>
      </c>
      <c r="D320" t="s">
        <v>133</v>
      </c>
      <c r="E320">
        <v>4</v>
      </c>
      <c r="F320" t="s">
        <v>134</v>
      </c>
      <c r="G320">
        <v>390.5</v>
      </c>
      <c r="H320">
        <v>0.307</v>
      </c>
    </row>
    <row r="321" spans="1:8">
      <c r="A321" t="s">
        <v>461</v>
      </c>
      <c r="B321" t="s">
        <v>117</v>
      </c>
      <c r="C321" t="e">
        <f>VLOOKUP(B321,[1]dictTech!$A$2:$B$32,2,FALSE)</f>
        <v>#N/A</v>
      </c>
      <c r="D321" t="s">
        <v>133</v>
      </c>
      <c r="E321">
        <v>24</v>
      </c>
      <c r="F321" t="s">
        <v>134</v>
      </c>
      <c r="G321">
        <v>334.2</v>
      </c>
      <c r="H321">
        <v>0.307</v>
      </c>
    </row>
    <row r="322" spans="1:8">
      <c r="A322" t="s">
        <v>462</v>
      </c>
      <c r="B322" t="s">
        <v>164</v>
      </c>
      <c r="C322" t="e">
        <f>VLOOKUP(B322,[1]dictTech!$A$2:$B$32,2,FALSE)</f>
        <v>#N/A</v>
      </c>
      <c r="D322" t="s">
        <v>133</v>
      </c>
      <c r="E322">
        <v>24</v>
      </c>
      <c r="F322" t="s">
        <v>134</v>
      </c>
      <c r="G322">
        <v>94.7</v>
      </c>
      <c r="H322">
        <v>0.8</v>
      </c>
    </row>
    <row r="323" spans="1:8">
      <c r="A323" t="s">
        <v>463</v>
      </c>
      <c r="B323" t="s">
        <v>11</v>
      </c>
      <c r="C323" t="str">
        <f>VLOOKUP(B323,[1]dictTech!$A$2:$B$32,2,FALSE)</f>
        <v>Undefined</v>
      </c>
      <c r="D323" t="s">
        <v>133</v>
      </c>
      <c r="E323">
        <v>14</v>
      </c>
      <c r="F323" t="s">
        <v>134</v>
      </c>
      <c r="G323">
        <v>96</v>
      </c>
      <c r="H323">
        <v>0.39600000000000002</v>
      </c>
    </row>
    <row r="324" spans="1:8">
      <c r="A324" t="s">
        <v>464</v>
      </c>
      <c r="B324" t="s">
        <v>11</v>
      </c>
      <c r="C324" t="str">
        <f>VLOOKUP(B324,[1]dictTech!$A$2:$B$32,2,FALSE)</f>
        <v>Undefined</v>
      </c>
      <c r="D324" t="s">
        <v>133</v>
      </c>
      <c r="E324">
        <v>14</v>
      </c>
      <c r="F324" t="s">
        <v>134</v>
      </c>
      <c r="G324">
        <v>96</v>
      </c>
      <c r="H324">
        <v>0.39600000000000002</v>
      </c>
    </row>
    <row r="325" spans="1:8">
      <c r="A325" t="s">
        <v>465</v>
      </c>
      <c r="B325" t="s">
        <v>11</v>
      </c>
      <c r="C325" t="str">
        <f>VLOOKUP(B325,[1]dictTech!$A$2:$B$32,2,FALSE)</f>
        <v>Undefined</v>
      </c>
      <c r="D325" t="s">
        <v>133</v>
      </c>
      <c r="E325">
        <v>10</v>
      </c>
      <c r="F325" t="s">
        <v>134</v>
      </c>
      <c r="G325">
        <v>100</v>
      </c>
      <c r="H325">
        <v>0.31</v>
      </c>
    </row>
    <row r="326" spans="1:8">
      <c r="A326" t="s">
        <v>466</v>
      </c>
      <c r="B326" t="s">
        <v>11</v>
      </c>
      <c r="C326" t="str">
        <f>VLOOKUP(B326,[1]dictTech!$A$2:$B$32,2,FALSE)</f>
        <v>Undefined</v>
      </c>
      <c r="D326" t="s">
        <v>133</v>
      </c>
      <c r="E326">
        <v>12</v>
      </c>
      <c r="F326" t="s">
        <v>134</v>
      </c>
      <c r="G326">
        <v>100</v>
      </c>
      <c r="H326">
        <v>0.35</v>
      </c>
    </row>
    <row r="327" spans="1:8">
      <c r="A327" t="s">
        <v>467</v>
      </c>
      <c r="B327" t="s">
        <v>11</v>
      </c>
      <c r="C327" t="str">
        <f>VLOOKUP(B327,[1]dictTech!$A$2:$B$32,2,FALSE)</f>
        <v>Undefined</v>
      </c>
      <c r="D327" t="s">
        <v>133</v>
      </c>
      <c r="E327">
        <v>14</v>
      </c>
      <c r="F327" t="s">
        <v>134</v>
      </c>
      <c r="G327">
        <v>100</v>
      </c>
      <c r="H327">
        <v>0.36</v>
      </c>
    </row>
    <row r="328" spans="1:8">
      <c r="A328" t="s">
        <v>468</v>
      </c>
      <c r="B328" t="s">
        <v>11</v>
      </c>
      <c r="C328" t="str">
        <f>VLOOKUP(B328,[1]dictTech!$A$2:$B$32,2,FALSE)</f>
        <v>Undefined</v>
      </c>
      <c r="D328" t="s">
        <v>133</v>
      </c>
      <c r="E328">
        <v>16</v>
      </c>
      <c r="F328" t="s">
        <v>134</v>
      </c>
      <c r="G328">
        <v>100</v>
      </c>
      <c r="H328">
        <v>0.34</v>
      </c>
    </row>
    <row r="329" spans="1:8">
      <c r="A329" t="s">
        <v>469</v>
      </c>
      <c r="B329" t="s">
        <v>11</v>
      </c>
      <c r="C329" t="str">
        <f>VLOOKUP(B329,[1]dictTech!$A$2:$B$32,2,FALSE)</f>
        <v>Undefined</v>
      </c>
      <c r="D329" t="s">
        <v>133</v>
      </c>
      <c r="E329">
        <v>18</v>
      </c>
      <c r="F329" t="s">
        <v>134</v>
      </c>
      <c r="G329">
        <v>100</v>
      </c>
      <c r="H329">
        <v>0.33</v>
      </c>
    </row>
    <row r="330" spans="1:8">
      <c r="A330" t="s">
        <v>470</v>
      </c>
      <c r="B330" t="s">
        <v>189</v>
      </c>
      <c r="C330" t="e">
        <f>VLOOKUP(B330,[1]dictTech!$A$2:$B$32,2,FALSE)</f>
        <v>#N/A</v>
      </c>
      <c r="D330" t="s">
        <v>133</v>
      </c>
      <c r="E330">
        <v>13</v>
      </c>
      <c r="F330" t="s">
        <v>134</v>
      </c>
      <c r="G330">
        <v>1961</v>
      </c>
      <c r="H330">
        <v>1</v>
      </c>
    </row>
    <row r="331" spans="1:8">
      <c r="A331" t="s">
        <v>471</v>
      </c>
      <c r="B331" t="s">
        <v>189</v>
      </c>
      <c r="C331" t="e">
        <f>VLOOKUP(B331,[1]dictTech!$A$2:$B$32,2,FALSE)</f>
        <v>#N/A</v>
      </c>
      <c r="D331" t="s">
        <v>133</v>
      </c>
      <c r="E331">
        <v>10</v>
      </c>
      <c r="F331" t="s">
        <v>134</v>
      </c>
      <c r="G331">
        <v>1961</v>
      </c>
      <c r="H331">
        <v>1</v>
      </c>
    </row>
    <row r="332" spans="1:8">
      <c r="A332" t="s">
        <v>472</v>
      </c>
      <c r="B332" t="s">
        <v>189</v>
      </c>
      <c r="C332" t="e">
        <f>VLOOKUP(B332,[1]dictTech!$A$2:$B$32,2,FALSE)</f>
        <v>#N/A</v>
      </c>
      <c r="D332" t="s">
        <v>133</v>
      </c>
      <c r="E332">
        <v>1</v>
      </c>
      <c r="F332" t="s">
        <v>134</v>
      </c>
      <c r="G332">
        <v>1961</v>
      </c>
      <c r="H332">
        <v>1</v>
      </c>
    </row>
    <row r="333" spans="1:8">
      <c r="A333" t="s">
        <v>473</v>
      </c>
      <c r="B333" t="s">
        <v>189</v>
      </c>
      <c r="C333" t="e">
        <f>VLOOKUP(B333,[1]dictTech!$A$2:$B$32,2,FALSE)</f>
        <v>#N/A</v>
      </c>
      <c r="D333" t="s">
        <v>133</v>
      </c>
      <c r="E333">
        <v>9</v>
      </c>
      <c r="F333" t="s">
        <v>134</v>
      </c>
      <c r="G333">
        <v>1961</v>
      </c>
      <c r="H333">
        <v>1</v>
      </c>
    </row>
    <row r="334" spans="1:8">
      <c r="A334" t="s">
        <v>474</v>
      </c>
      <c r="B334" t="s">
        <v>189</v>
      </c>
      <c r="C334" t="e">
        <f>VLOOKUP(B334,[1]dictTech!$A$2:$B$32,2,FALSE)</f>
        <v>#N/A</v>
      </c>
      <c r="D334" t="s">
        <v>133</v>
      </c>
      <c r="E334">
        <v>5</v>
      </c>
      <c r="F334" t="s">
        <v>134</v>
      </c>
      <c r="G334">
        <v>1961</v>
      </c>
      <c r="H334">
        <v>1</v>
      </c>
    </row>
    <row r="335" spans="1:8">
      <c r="A335" t="s">
        <v>475</v>
      </c>
      <c r="B335" t="s">
        <v>189</v>
      </c>
      <c r="C335" t="e">
        <f>VLOOKUP(B335,[1]dictTech!$A$2:$B$32,2,FALSE)</f>
        <v>#N/A</v>
      </c>
      <c r="D335" t="s">
        <v>133</v>
      </c>
      <c r="E335">
        <v>2</v>
      </c>
      <c r="F335" t="s">
        <v>134</v>
      </c>
      <c r="G335">
        <v>1961</v>
      </c>
      <c r="H335">
        <v>1</v>
      </c>
    </row>
    <row r="336" spans="1:8">
      <c r="A336" t="s">
        <v>476</v>
      </c>
      <c r="B336" t="s">
        <v>189</v>
      </c>
      <c r="C336" t="e">
        <f>VLOOKUP(B336,[1]dictTech!$A$2:$B$32,2,FALSE)</f>
        <v>#N/A</v>
      </c>
      <c r="D336" t="s">
        <v>133</v>
      </c>
      <c r="E336">
        <v>12</v>
      </c>
      <c r="F336" t="s">
        <v>134</v>
      </c>
      <c r="G336">
        <v>1961</v>
      </c>
      <c r="H336">
        <v>1</v>
      </c>
    </row>
    <row r="337" spans="1:8">
      <c r="A337" t="s">
        <v>477</v>
      </c>
      <c r="B337" t="s">
        <v>189</v>
      </c>
      <c r="C337" t="e">
        <f>VLOOKUP(B337,[1]dictTech!$A$2:$B$32,2,FALSE)</f>
        <v>#N/A</v>
      </c>
      <c r="D337" t="s">
        <v>133</v>
      </c>
      <c r="E337">
        <v>10</v>
      </c>
      <c r="F337" t="s">
        <v>134</v>
      </c>
      <c r="G337">
        <v>1961</v>
      </c>
      <c r="H337">
        <v>1</v>
      </c>
    </row>
    <row r="338" spans="1:8">
      <c r="A338" t="s">
        <v>478</v>
      </c>
      <c r="B338" t="s">
        <v>189</v>
      </c>
      <c r="C338" t="e">
        <f>VLOOKUP(B338,[1]dictTech!$A$2:$B$32,2,FALSE)</f>
        <v>#N/A</v>
      </c>
      <c r="D338" t="s">
        <v>133</v>
      </c>
      <c r="E338">
        <v>7</v>
      </c>
      <c r="F338" t="s">
        <v>134</v>
      </c>
      <c r="G338">
        <v>1961</v>
      </c>
      <c r="H338">
        <v>1</v>
      </c>
    </row>
    <row r="339" spans="1:8">
      <c r="A339" t="s">
        <v>479</v>
      </c>
      <c r="B339" t="s">
        <v>189</v>
      </c>
      <c r="C339" t="e">
        <f>VLOOKUP(B339,[1]dictTech!$A$2:$B$32,2,FALSE)</f>
        <v>#N/A</v>
      </c>
      <c r="D339" t="s">
        <v>133</v>
      </c>
      <c r="E339">
        <v>2</v>
      </c>
      <c r="F339" t="s">
        <v>134</v>
      </c>
      <c r="G339">
        <v>1961</v>
      </c>
      <c r="H339">
        <v>1</v>
      </c>
    </row>
    <row r="340" spans="1:8">
      <c r="A340" t="s">
        <v>480</v>
      </c>
      <c r="B340" t="s">
        <v>189</v>
      </c>
      <c r="C340" t="e">
        <f>VLOOKUP(B340,[1]dictTech!$A$2:$B$32,2,FALSE)</f>
        <v>#N/A</v>
      </c>
      <c r="D340" t="s">
        <v>133</v>
      </c>
      <c r="E340">
        <v>4</v>
      </c>
      <c r="F340" t="s">
        <v>134</v>
      </c>
      <c r="G340">
        <v>1961</v>
      </c>
      <c r="H340">
        <v>1</v>
      </c>
    </row>
    <row r="341" spans="1:8">
      <c r="A341" t="s">
        <v>481</v>
      </c>
      <c r="B341" t="s">
        <v>189</v>
      </c>
      <c r="C341" t="e">
        <f>VLOOKUP(B341,[1]dictTech!$A$2:$B$32,2,FALSE)</f>
        <v>#N/A</v>
      </c>
      <c r="D341" t="s">
        <v>133</v>
      </c>
      <c r="E341">
        <v>7</v>
      </c>
      <c r="F341" t="s">
        <v>134</v>
      </c>
      <c r="G341">
        <v>1961</v>
      </c>
      <c r="H341">
        <v>1</v>
      </c>
    </row>
    <row r="342" spans="1:8">
      <c r="A342" t="s">
        <v>482</v>
      </c>
      <c r="B342" t="s">
        <v>189</v>
      </c>
      <c r="C342" t="e">
        <f>VLOOKUP(B342,[1]dictTech!$A$2:$B$32,2,FALSE)</f>
        <v>#N/A</v>
      </c>
      <c r="D342" t="s">
        <v>133</v>
      </c>
      <c r="E342">
        <v>4</v>
      </c>
      <c r="F342" t="s">
        <v>134</v>
      </c>
      <c r="G342">
        <v>1961</v>
      </c>
      <c r="H342">
        <v>1</v>
      </c>
    </row>
    <row r="343" spans="1:8">
      <c r="A343" t="s">
        <v>483</v>
      </c>
      <c r="B343" t="s">
        <v>189</v>
      </c>
      <c r="C343" t="e">
        <f>VLOOKUP(B343,[1]dictTech!$A$2:$B$32,2,FALSE)</f>
        <v>#N/A</v>
      </c>
      <c r="D343" t="s">
        <v>133</v>
      </c>
      <c r="E343">
        <v>5</v>
      </c>
      <c r="F343" t="s">
        <v>134</v>
      </c>
      <c r="G343">
        <v>1961</v>
      </c>
      <c r="H343">
        <v>1</v>
      </c>
    </row>
    <row r="344" spans="1:8">
      <c r="A344" t="s">
        <v>484</v>
      </c>
      <c r="B344" t="s">
        <v>189</v>
      </c>
      <c r="C344" t="e">
        <f>VLOOKUP(B344,[1]dictTech!$A$2:$B$32,2,FALSE)</f>
        <v>#N/A</v>
      </c>
      <c r="D344" t="s">
        <v>133</v>
      </c>
      <c r="E344">
        <v>5</v>
      </c>
      <c r="F344" t="s">
        <v>134</v>
      </c>
      <c r="G344">
        <v>1961</v>
      </c>
      <c r="H344">
        <v>1</v>
      </c>
    </row>
    <row r="345" spans="1:8">
      <c r="A345" t="s">
        <v>485</v>
      </c>
      <c r="B345" t="s">
        <v>189</v>
      </c>
      <c r="C345" t="e">
        <f>VLOOKUP(B345,[1]dictTech!$A$2:$B$32,2,FALSE)</f>
        <v>#N/A</v>
      </c>
      <c r="D345" t="s">
        <v>133</v>
      </c>
      <c r="E345">
        <v>9</v>
      </c>
      <c r="F345" t="s">
        <v>134</v>
      </c>
      <c r="G345">
        <v>1961</v>
      </c>
      <c r="H345">
        <v>1</v>
      </c>
    </row>
    <row r="346" spans="1:8">
      <c r="A346" t="s">
        <v>486</v>
      </c>
      <c r="B346" t="s">
        <v>189</v>
      </c>
      <c r="C346" t="e">
        <f>VLOOKUP(B346,[1]dictTech!$A$2:$B$32,2,FALSE)</f>
        <v>#N/A</v>
      </c>
      <c r="D346" t="s">
        <v>133</v>
      </c>
      <c r="E346">
        <v>9</v>
      </c>
      <c r="F346" t="s">
        <v>134</v>
      </c>
      <c r="G346">
        <v>1961</v>
      </c>
      <c r="H346">
        <v>1</v>
      </c>
    </row>
    <row r="347" spans="1:8">
      <c r="A347" t="s">
        <v>487</v>
      </c>
      <c r="B347" t="s">
        <v>189</v>
      </c>
      <c r="C347" t="e">
        <f>VLOOKUP(B347,[1]dictTech!$A$2:$B$32,2,FALSE)</f>
        <v>#N/A</v>
      </c>
      <c r="D347" t="s">
        <v>133</v>
      </c>
      <c r="E347">
        <v>2</v>
      </c>
      <c r="F347" t="s">
        <v>134</v>
      </c>
      <c r="G347">
        <v>1961</v>
      </c>
      <c r="H347">
        <v>1</v>
      </c>
    </row>
    <row r="348" spans="1:8">
      <c r="A348" t="s">
        <v>488</v>
      </c>
      <c r="B348" t="s">
        <v>189</v>
      </c>
      <c r="C348" t="e">
        <f>VLOOKUP(B348,[1]dictTech!$A$2:$B$32,2,FALSE)</f>
        <v>#N/A</v>
      </c>
      <c r="D348" t="s">
        <v>133</v>
      </c>
      <c r="E348">
        <v>2</v>
      </c>
      <c r="F348" t="s">
        <v>134</v>
      </c>
      <c r="G348">
        <v>1961</v>
      </c>
      <c r="H348">
        <v>1</v>
      </c>
    </row>
    <row r="349" spans="1:8">
      <c r="A349" t="s">
        <v>489</v>
      </c>
      <c r="B349" t="s">
        <v>189</v>
      </c>
      <c r="C349" t="e">
        <f>VLOOKUP(B349,[1]dictTech!$A$2:$B$32,2,FALSE)</f>
        <v>#N/A</v>
      </c>
      <c r="D349" t="s">
        <v>133</v>
      </c>
      <c r="E349">
        <v>14</v>
      </c>
      <c r="F349" t="s">
        <v>134</v>
      </c>
      <c r="G349">
        <v>1961</v>
      </c>
      <c r="H349">
        <v>1</v>
      </c>
    </row>
    <row r="350" spans="1:8">
      <c r="A350" t="s">
        <v>490</v>
      </c>
      <c r="B350" t="s">
        <v>117</v>
      </c>
      <c r="C350" t="e">
        <f>VLOOKUP(B350,[1]dictTech!$A$2:$B$32,2,FALSE)</f>
        <v>#N/A</v>
      </c>
      <c r="D350" t="s">
        <v>133</v>
      </c>
      <c r="E350">
        <v>17</v>
      </c>
      <c r="F350" t="s">
        <v>134</v>
      </c>
      <c r="G350">
        <v>120</v>
      </c>
      <c r="H350">
        <v>0.36399999999999999</v>
      </c>
    </row>
    <row r="351" spans="1:8">
      <c r="A351" t="s">
        <v>491</v>
      </c>
      <c r="B351" t="s">
        <v>23</v>
      </c>
      <c r="C351" t="e">
        <f>VLOOKUP(B351,[1]dictTech!$A$2:$B$32,2,FALSE)</f>
        <v>#N/A</v>
      </c>
      <c r="D351" t="s">
        <v>133</v>
      </c>
      <c r="E351">
        <v>12</v>
      </c>
      <c r="F351" t="s">
        <v>134</v>
      </c>
      <c r="G351">
        <v>510</v>
      </c>
      <c r="H351">
        <v>0.40500000000000003</v>
      </c>
    </row>
    <row r="352" spans="1:8">
      <c r="A352" t="s">
        <v>492</v>
      </c>
      <c r="B352" t="s">
        <v>11</v>
      </c>
      <c r="C352" t="str">
        <f>VLOOKUP(B352,[1]dictTech!$A$2:$B$32,2,FALSE)</f>
        <v>Undefined</v>
      </c>
      <c r="D352" t="s">
        <v>133</v>
      </c>
      <c r="E352">
        <v>27</v>
      </c>
      <c r="F352" t="s">
        <v>134</v>
      </c>
      <c r="G352">
        <v>622</v>
      </c>
      <c r="H352">
        <v>0.36</v>
      </c>
    </row>
    <row r="353" spans="1:8">
      <c r="A353" t="s">
        <v>493</v>
      </c>
      <c r="B353" t="s">
        <v>164</v>
      </c>
      <c r="C353" t="e">
        <f>VLOOKUP(B353,[1]dictTech!$A$2:$B$32,2,FALSE)</f>
        <v>#N/A</v>
      </c>
      <c r="D353" t="s">
        <v>133</v>
      </c>
      <c r="E353">
        <v>10</v>
      </c>
      <c r="F353" t="s">
        <v>134</v>
      </c>
      <c r="G353">
        <v>85.3</v>
      </c>
      <c r="H353">
        <v>0.8</v>
      </c>
    </row>
    <row r="354" spans="1:8">
      <c r="A354" t="s">
        <v>494</v>
      </c>
      <c r="B354" t="s">
        <v>23</v>
      </c>
      <c r="C354" t="e">
        <f>VLOOKUP(B354,[1]dictTech!$A$2:$B$32,2,FALSE)</f>
        <v>#N/A</v>
      </c>
      <c r="D354" t="s">
        <v>133</v>
      </c>
      <c r="E354">
        <v>8</v>
      </c>
      <c r="F354" t="s">
        <v>134</v>
      </c>
      <c r="G354">
        <v>194</v>
      </c>
      <c r="H354">
        <v>0.40799999999999997</v>
      </c>
    </row>
    <row r="355" spans="1:8">
      <c r="A355" t="s">
        <v>495</v>
      </c>
      <c r="B355" t="s">
        <v>26</v>
      </c>
      <c r="C355" t="str">
        <f>VLOOKUP(B355,[1]dictTech!$A$2:$B$32,2,FALSE)</f>
        <v>Undefined</v>
      </c>
      <c r="D355" t="s">
        <v>133</v>
      </c>
      <c r="E355">
        <v>19</v>
      </c>
      <c r="F355" t="s">
        <v>134</v>
      </c>
      <c r="G355">
        <v>420.9</v>
      </c>
      <c r="H355">
        <v>0.57599999999999996</v>
      </c>
    </row>
    <row r="356" spans="1:8">
      <c r="A356" t="s">
        <v>496</v>
      </c>
      <c r="B356" t="s">
        <v>26</v>
      </c>
      <c r="C356" t="str">
        <f>VLOOKUP(B356,[1]dictTech!$A$2:$B$32,2,FALSE)</f>
        <v>Undefined</v>
      </c>
      <c r="D356" t="s">
        <v>133</v>
      </c>
      <c r="E356">
        <v>29</v>
      </c>
      <c r="F356" t="s">
        <v>134</v>
      </c>
      <c r="G356">
        <v>417.1</v>
      </c>
      <c r="H356">
        <v>0.57599999999999996</v>
      </c>
    </row>
    <row r="357" spans="1:8">
      <c r="A357" t="s">
        <v>497</v>
      </c>
      <c r="B357" t="s">
        <v>23</v>
      </c>
      <c r="C357" t="e">
        <f>VLOOKUP(B357,[1]dictTech!$A$2:$B$32,2,FALSE)</f>
        <v>#N/A</v>
      </c>
      <c r="D357" t="s">
        <v>133</v>
      </c>
      <c r="E357">
        <v>30</v>
      </c>
      <c r="F357" t="s">
        <v>134</v>
      </c>
      <c r="G357">
        <v>746</v>
      </c>
      <c r="H357">
        <v>0.45800000000000002</v>
      </c>
    </row>
    <row r="358" spans="1:8">
      <c r="A358" t="s">
        <v>498</v>
      </c>
      <c r="B358" t="s">
        <v>26</v>
      </c>
      <c r="C358" t="str">
        <f>VLOOKUP(B358,[1]dictTech!$A$2:$B$32,2,FALSE)</f>
        <v>Undefined</v>
      </c>
      <c r="D358" t="s">
        <v>133</v>
      </c>
      <c r="E358">
        <v>27</v>
      </c>
      <c r="F358" t="s">
        <v>134</v>
      </c>
      <c r="G358">
        <v>545</v>
      </c>
      <c r="H358">
        <v>0.59</v>
      </c>
    </row>
    <row r="359" spans="1:8">
      <c r="A359" t="s">
        <v>499</v>
      </c>
      <c r="B359" t="s">
        <v>11</v>
      </c>
      <c r="C359" t="str">
        <f>VLOOKUP(B359,[1]dictTech!$A$2:$B$32,2,FALSE)</f>
        <v>Undefined</v>
      </c>
      <c r="D359" t="s">
        <v>133</v>
      </c>
      <c r="E359">
        <v>20</v>
      </c>
      <c r="F359" t="s">
        <v>134</v>
      </c>
      <c r="G359">
        <v>82</v>
      </c>
      <c r="H359">
        <v>0.35099999999999998</v>
      </c>
    </row>
    <row r="360" spans="1:8">
      <c r="A360" t="s">
        <v>500</v>
      </c>
      <c r="B360" t="s">
        <v>164</v>
      </c>
      <c r="C360" t="e">
        <f>VLOOKUP(B360,[1]dictTech!$A$2:$B$32,2,FALSE)</f>
        <v>#N/A</v>
      </c>
      <c r="D360" t="s">
        <v>133</v>
      </c>
      <c r="E360">
        <v>21</v>
      </c>
      <c r="F360" t="s">
        <v>134</v>
      </c>
      <c r="G360">
        <v>124</v>
      </c>
      <c r="H360">
        <v>0.8</v>
      </c>
    </row>
    <row r="361" spans="1:8">
      <c r="A361" t="s">
        <v>501</v>
      </c>
      <c r="B361" t="s">
        <v>164</v>
      </c>
      <c r="C361" t="e">
        <f>VLOOKUP(B361,[1]dictTech!$A$2:$B$32,2,FALSE)</f>
        <v>#N/A</v>
      </c>
      <c r="D361" t="s">
        <v>133</v>
      </c>
      <c r="E361">
        <v>38</v>
      </c>
      <c r="F361" t="s">
        <v>134</v>
      </c>
      <c r="G361">
        <v>480</v>
      </c>
      <c r="H361">
        <v>0.75</v>
      </c>
    </row>
    <row r="362" spans="1:8">
      <c r="A362" t="s">
        <v>502</v>
      </c>
      <c r="B362" t="s">
        <v>164</v>
      </c>
      <c r="C362" t="e">
        <f>VLOOKUP(B362,[1]dictTech!$A$2:$B$32,2,FALSE)</f>
        <v>#N/A</v>
      </c>
      <c r="D362" t="s">
        <v>133</v>
      </c>
      <c r="E362">
        <v>18</v>
      </c>
      <c r="F362" t="s">
        <v>134</v>
      </c>
      <c r="G362">
        <v>143</v>
      </c>
      <c r="H362">
        <v>0.75</v>
      </c>
    </row>
    <row r="363" spans="1:8">
      <c r="A363" t="s">
        <v>503</v>
      </c>
      <c r="B363" t="s">
        <v>23</v>
      </c>
      <c r="C363" t="e">
        <f>VLOOKUP(B363,[1]dictTech!$A$2:$B$32,2,FALSE)</f>
        <v>#N/A</v>
      </c>
      <c r="D363" t="s">
        <v>133</v>
      </c>
      <c r="E363">
        <v>21</v>
      </c>
      <c r="F363" t="s">
        <v>134</v>
      </c>
      <c r="G363">
        <v>137</v>
      </c>
      <c r="H363">
        <v>0.40799999999999997</v>
      </c>
    </row>
    <row r="364" spans="1:8">
      <c r="A364" t="s">
        <v>504</v>
      </c>
      <c r="B364" t="s">
        <v>23</v>
      </c>
      <c r="C364" t="e">
        <f>VLOOKUP(B364,[1]dictTech!$A$2:$B$32,2,FALSE)</f>
        <v>#N/A</v>
      </c>
      <c r="D364" t="s">
        <v>133</v>
      </c>
      <c r="E364">
        <v>34</v>
      </c>
      <c r="F364" t="s">
        <v>134</v>
      </c>
      <c r="G364">
        <v>123</v>
      </c>
      <c r="H364">
        <v>0.40799999999999997</v>
      </c>
    </row>
    <row r="365" spans="1:8">
      <c r="A365" t="s">
        <v>505</v>
      </c>
      <c r="B365" t="s">
        <v>164</v>
      </c>
      <c r="C365" t="e">
        <f>VLOOKUP(B365,[1]dictTech!$A$2:$B$32,2,FALSE)</f>
        <v>#N/A</v>
      </c>
      <c r="D365" t="s">
        <v>133</v>
      </c>
      <c r="E365">
        <v>21</v>
      </c>
      <c r="F365" t="s">
        <v>134</v>
      </c>
      <c r="G365">
        <v>910</v>
      </c>
      <c r="H365">
        <v>0.75</v>
      </c>
    </row>
    <row r="366" spans="1:8">
      <c r="A366" t="s">
        <v>506</v>
      </c>
      <c r="B366" t="s">
        <v>23</v>
      </c>
      <c r="C366" t="e">
        <f>VLOOKUP(B366,[1]dictTech!$A$2:$B$32,2,FALSE)</f>
        <v>#N/A</v>
      </c>
      <c r="D366" t="s">
        <v>133</v>
      </c>
      <c r="E366">
        <v>3</v>
      </c>
      <c r="F366" t="s">
        <v>134</v>
      </c>
      <c r="G366">
        <v>655.6</v>
      </c>
      <c r="H366">
        <v>0.36499999999999999</v>
      </c>
    </row>
    <row r="367" spans="1:8">
      <c r="A367" t="s">
        <v>507</v>
      </c>
      <c r="B367" t="s">
        <v>118</v>
      </c>
      <c r="C367" t="e">
        <f>VLOOKUP(B367,[1]dictTech!$A$2:$B$32,2,FALSE)</f>
        <v>#N/A</v>
      </c>
      <c r="D367" t="s">
        <v>133</v>
      </c>
      <c r="E367">
        <v>19</v>
      </c>
      <c r="F367" t="s">
        <v>134</v>
      </c>
      <c r="G367">
        <v>592</v>
      </c>
      <c r="H367">
        <v>0.34</v>
      </c>
    </row>
    <row r="368" spans="1:8">
      <c r="A368" t="s">
        <v>508</v>
      </c>
      <c r="B368" t="s">
        <v>118</v>
      </c>
      <c r="C368" t="e">
        <f>VLOOKUP(B368,[1]dictTech!$A$2:$B$32,2,FALSE)</f>
        <v>#N/A</v>
      </c>
      <c r="D368" t="s">
        <v>133</v>
      </c>
      <c r="E368">
        <v>11</v>
      </c>
      <c r="F368" t="s">
        <v>134</v>
      </c>
      <c r="G368">
        <v>592</v>
      </c>
      <c r="H368">
        <v>0.33800000000000002</v>
      </c>
    </row>
    <row r="369" spans="1:9">
      <c r="A369" t="s">
        <v>509</v>
      </c>
      <c r="B369" t="s">
        <v>118</v>
      </c>
      <c r="C369" t="e">
        <f>VLOOKUP(B369,[1]dictTech!$A$2:$B$32,2,FALSE)</f>
        <v>#N/A</v>
      </c>
      <c r="D369" t="s">
        <v>133</v>
      </c>
      <c r="E369">
        <v>36</v>
      </c>
      <c r="F369" t="s">
        <v>134</v>
      </c>
      <c r="G369">
        <v>312</v>
      </c>
      <c r="H369">
        <v>0.316</v>
      </c>
    </row>
    <row r="370" spans="1:9">
      <c r="A370" t="s">
        <v>510</v>
      </c>
      <c r="B370" t="s">
        <v>118</v>
      </c>
      <c r="C370" t="e">
        <f>VLOOKUP(B370,[1]dictTech!$A$2:$B$32,2,FALSE)</f>
        <v>#N/A</v>
      </c>
      <c r="D370" t="s">
        <v>133</v>
      </c>
      <c r="E370">
        <v>19</v>
      </c>
      <c r="F370" t="s">
        <v>134</v>
      </c>
      <c r="G370">
        <v>304</v>
      </c>
      <c r="H370">
        <v>0.32100000000000001</v>
      </c>
    </row>
    <row r="371" spans="1:9">
      <c r="A371" t="s">
        <v>511</v>
      </c>
      <c r="B371" t="s">
        <v>11</v>
      </c>
      <c r="C371" t="str">
        <f>VLOOKUP(B371,[1]dictTech!$A$2:$B$32,2,FALSE)</f>
        <v>Undefined</v>
      </c>
      <c r="D371" t="s">
        <v>133</v>
      </c>
      <c r="E371">
        <v>25</v>
      </c>
      <c r="F371" t="s">
        <v>134</v>
      </c>
      <c r="G371">
        <v>272</v>
      </c>
      <c r="H371">
        <v>0.39600000000000002</v>
      </c>
    </row>
    <row r="372" spans="1:9">
      <c r="A372" t="s">
        <v>512</v>
      </c>
      <c r="B372" t="s">
        <v>11</v>
      </c>
      <c r="C372" t="str">
        <f>VLOOKUP(B372,[1]dictTech!$A$2:$B$32,2,FALSE)</f>
        <v>Undefined</v>
      </c>
      <c r="D372" t="s">
        <v>133</v>
      </c>
      <c r="E372">
        <v>2</v>
      </c>
      <c r="F372" t="s">
        <v>134</v>
      </c>
      <c r="G372">
        <v>272</v>
      </c>
      <c r="H372">
        <v>0.39600000000000002</v>
      </c>
    </row>
    <row r="373" spans="1:9">
      <c r="A373" t="s">
        <v>513</v>
      </c>
      <c r="B373" t="s">
        <v>164</v>
      </c>
      <c r="C373" t="e">
        <f>VLOOKUP(B373,[1]dictTech!$A$2:$B$32,2,FALSE)</f>
        <v>#N/A</v>
      </c>
      <c r="D373" t="s">
        <v>133</v>
      </c>
      <c r="E373">
        <v>20</v>
      </c>
      <c r="F373" t="s">
        <v>134</v>
      </c>
      <c r="G373">
        <v>79.7</v>
      </c>
      <c r="H373">
        <v>0.8</v>
      </c>
    </row>
    <row r="374" spans="1:9">
      <c r="A374" t="s">
        <v>514</v>
      </c>
      <c r="B374" t="s">
        <v>23</v>
      </c>
      <c r="C374" t="e">
        <f>VLOOKUP(B374,[1]dictTech!$A$2:$B$32,2,FALSE)</f>
        <v>#N/A</v>
      </c>
      <c r="D374" t="s">
        <v>133</v>
      </c>
      <c r="E374">
        <v>4</v>
      </c>
      <c r="F374" t="s">
        <v>134</v>
      </c>
      <c r="G374">
        <v>765</v>
      </c>
      <c r="H374">
        <v>0.46</v>
      </c>
    </row>
    <row r="375" spans="1:9">
      <c r="A375" t="s">
        <v>515</v>
      </c>
      <c r="B375" t="s">
        <v>23</v>
      </c>
      <c r="C375" t="e">
        <f>VLOOKUP(B375,[1]dictTech!$A$2:$B$32,2,FALSE)</f>
        <v>#N/A</v>
      </c>
      <c r="D375" t="s">
        <v>133</v>
      </c>
      <c r="E375">
        <v>17</v>
      </c>
      <c r="F375" t="s">
        <v>134</v>
      </c>
      <c r="G375">
        <v>765</v>
      </c>
      <c r="H375">
        <v>0.46</v>
      </c>
    </row>
    <row r="376" spans="1:9">
      <c r="A376" t="s">
        <v>516</v>
      </c>
      <c r="B376" t="s">
        <v>23</v>
      </c>
      <c r="C376" t="e">
        <f>VLOOKUP(B376,[1]dictTech!$A$2:$B$32,2,FALSE)</f>
        <v>#N/A</v>
      </c>
      <c r="D376" t="s">
        <v>133</v>
      </c>
      <c r="E376">
        <v>18</v>
      </c>
      <c r="F376" t="s">
        <v>134</v>
      </c>
      <c r="G376">
        <v>757</v>
      </c>
      <c r="H376">
        <v>0.36499999999999999</v>
      </c>
    </row>
    <row r="377" spans="1:9">
      <c r="A377" t="s">
        <v>517</v>
      </c>
      <c r="B377" t="s">
        <v>117</v>
      </c>
      <c r="C377" t="e">
        <f>VLOOKUP(B377,[1]dictTech!$A$2:$B$32,2,FALSE)</f>
        <v>#N/A</v>
      </c>
      <c r="D377" t="s">
        <v>133</v>
      </c>
      <c r="E377">
        <v>18</v>
      </c>
      <c r="F377" t="s">
        <v>134</v>
      </c>
      <c r="G377">
        <v>276</v>
      </c>
      <c r="H377">
        <v>0.36</v>
      </c>
    </row>
    <row r="378" spans="1:9">
      <c r="A378" t="s">
        <v>518</v>
      </c>
      <c r="B378" t="s">
        <v>11</v>
      </c>
      <c r="C378" t="str">
        <f>VLOOKUP(B378,[1]dictTech!$A$2:$B$32,2,FALSE)</f>
        <v>Undefined</v>
      </c>
      <c r="D378" t="s">
        <v>133</v>
      </c>
      <c r="E378">
        <v>27</v>
      </c>
      <c r="F378" t="s">
        <v>134</v>
      </c>
      <c r="G378">
        <v>109.5</v>
      </c>
      <c r="H378">
        <v>0.39200000000000002</v>
      </c>
    </row>
    <row r="379" spans="1:9">
      <c r="A379" t="s">
        <v>519</v>
      </c>
      <c r="B379" t="s">
        <v>164</v>
      </c>
      <c r="C379" t="e">
        <f>VLOOKUP(B379,[1]dictTech!$A$2:$B$32,2,FALSE)</f>
        <v>#N/A</v>
      </c>
      <c r="D379" t="s">
        <v>133</v>
      </c>
      <c r="E379">
        <v>31</v>
      </c>
      <c r="F379" t="s">
        <v>134</v>
      </c>
      <c r="G379">
        <v>220</v>
      </c>
      <c r="H379">
        <v>0.75</v>
      </c>
    </row>
    <row r="380" spans="1:9">
      <c r="A380" t="s">
        <v>520</v>
      </c>
      <c r="B380" t="s">
        <v>23</v>
      </c>
      <c r="C380" t="e">
        <f>VLOOKUP(B380,[1]dictTech!$A$2:$B$32,2,FALSE)</f>
        <v>#N/A</v>
      </c>
      <c r="D380" t="s">
        <v>133</v>
      </c>
      <c r="E380">
        <v>16</v>
      </c>
      <c r="F380" t="s">
        <v>134</v>
      </c>
      <c r="G380">
        <v>472</v>
      </c>
      <c r="H380">
        <v>0.45300000000000001</v>
      </c>
    </row>
    <row r="381" spans="1:9">
      <c r="A381" t="s">
        <v>521</v>
      </c>
      <c r="B381" t="s">
        <v>74</v>
      </c>
      <c r="C381" t="s">
        <v>74</v>
      </c>
      <c r="D381" t="s">
        <v>133</v>
      </c>
      <c r="E381">
        <v>3</v>
      </c>
      <c r="F381" t="s">
        <v>522</v>
      </c>
      <c r="G381">
        <v>1</v>
      </c>
      <c r="H381">
        <v>0.9</v>
      </c>
      <c r="I381">
        <v>0.9</v>
      </c>
    </row>
  </sheetData>
  <autoFilter ref="A1:H440" xr:uid="{1FE4DC13-919A-4B47-9E14-AE482769A3BB}">
    <sortState xmlns:xlrd2="http://schemas.microsoft.com/office/spreadsheetml/2017/richdata2" ref="A2:H440">
      <sortCondition ref="A1:A440"/>
    </sortState>
  </autoFilter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groupedNLGAS</vt:lpstr>
      <vt:lpstr>Readme</vt:lpstr>
      <vt:lpstr>extendedNL</vt:lpstr>
      <vt:lpstr>extendedNL (lowH2)</vt:lpstr>
      <vt:lpstr>Sheet2</vt:lpstr>
      <vt:lpstr>extendedNL (July2024)</vt:lpstr>
      <vt:lpstr>NL2030</vt:lpstr>
      <vt:lpstr>NL_withplanneddecommissions</vt:lpstr>
      <vt:lpstr>AnalysisforNiPlants</vt:lpstr>
      <vt:lpstr>groupedDecarbonizedNLwithGas</vt:lpstr>
      <vt:lpstr>groupedDecarbonizedNL_notechlim</vt:lpstr>
      <vt:lpstr>groupedDecarbNL_equilib2009</vt:lpstr>
      <vt:lpstr>S2_2015_50retro</vt:lpstr>
      <vt:lpstr>S1_2015_50retro</vt:lpstr>
      <vt:lpstr>groupedDecarbonizedNLCRMs</vt:lpstr>
      <vt:lpstr>superGroupedNL (2)</vt:lpstr>
      <vt:lpstr>groupedDecarbonizedNLCRMs ( (3)</vt:lpstr>
      <vt:lpstr>groupedDecarbonizedNLCRMs (2)</vt:lpstr>
      <vt:lpstr>superGroupedNL(distH2)</vt:lpstr>
      <vt:lpstr>groupedDecarbonizedNL_S1</vt:lpstr>
      <vt:lpstr>groupedDecarbonizedNL2</vt:lpstr>
      <vt:lpstr>groupedDecarbonizedNL</vt:lpstr>
      <vt:lpstr>futureDecarbonizedNL</vt:lpstr>
      <vt:lpstr>DecarbonizedNL</vt:lpstr>
      <vt:lpstr>groupedNLRES</vt:lpstr>
      <vt:lpstr>NL2010RES</vt:lpstr>
      <vt:lpstr>Sheet1</vt:lpstr>
      <vt:lpstr>groupedDecarbonizedFLEXNET</vt:lpstr>
      <vt:lpstr>groupedNL</vt:lpstr>
      <vt:lpstr>extendedDEmoreoptimal</vt:lpstr>
      <vt:lpstr>extendedDE</vt:lpstr>
      <vt:lpstr>powerplants_grouped_DE</vt:lpstr>
      <vt:lpstr>germany2019</vt:lpstr>
      <vt:lpstr>dutchGermanPlants2015_from_emla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Ingrid Sanchez Jimenez</cp:lastModifiedBy>
  <cp:revision/>
  <dcterms:created xsi:type="dcterms:W3CDTF">2022-06-21T15:24:54Z</dcterms:created>
  <dcterms:modified xsi:type="dcterms:W3CDTF">2024-11-26T14:47:04Z</dcterms:modified>
  <cp:category/>
  <cp:contentStatus/>
</cp:coreProperties>
</file>