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880" firstSheet="0" activeTab="3" autoFilterDateGrouping="1"/>
  </bookViews>
  <sheets>
    <sheet name="scenario_skeleton" sheetId="1" state="visible" r:id="rId1"/>
    <sheet name="traderes_db_data" sheetId="2" state="visible" r:id="rId2"/>
    <sheet name="scenario_data_emlab" sheetId="3" state="visible" r:id="rId3"/>
    <sheet name="conventionals" sheetId="4" state="visible" r:id="rId4"/>
    <sheet name="total" sheetId="5" state="visible" r:id="rId5"/>
    <sheet name="renewables_full" sheetId="6" state="visible" r:id="rId6"/>
    <sheet name="renewables" sheetId="7" state="visible" r:id="rId7"/>
    <sheet name="electrolysers" sheetId="8" state="visible" r:id="rId8"/>
    <sheet name="storages" sheetId="9" state="visible" r:id="rId9"/>
    <sheet name="Tabelle4" sheetId="10" state="hidden" r:id="rId10"/>
    <sheet name="biogas" sheetId="11" state="visible" r:id="rId11"/>
    <sheet name="biogas_full" sheetId="12" state="visible" r:id="rId12"/>
    <sheet name="load_shedding(notactive)" sheetId="13" state="visible" r:id="rId13"/>
    <sheet name="load_shedding" sheetId="14" state="visible" r:id="rId14"/>
    <sheet name="times" sheetId="15" state="visible" r:id="rId15"/>
  </sheets>
  <definedNames>
    <definedName name="_xlnm._FilterDatabase" localSheetId="5" hidden="1">'renewables_full'!$A$1:$I$60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"/>
    <numFmt numFmtId="166" formatCode="YYYY-MM-DD HH:MM:SS"/>
    <numFmt numFmtId="167" formatCode="yyyy-mm-dd h:mm:ss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2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1"/>
    <xf numFmtId="0" fontId="3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11" fontId="0" fillId="0" borderId="0" pivotButton="0" quotePrefix="0" xfId="0"/>
    <xf numFmtId="164" fontId="0" fillId="0" borderId="0" pivotButton="0" quotePrefix="0" xfId="0"/>
    <xf numFmtId="0" fontId="6" fillId="0" borderId="5" applyAlignment="1" pivotButton="0" quotePrefix="0" xfId="0">
      <alignment horizontal="center" vertical="top"/>
    </xf>
    <xf numFmtId="165" fontId="0" fillId="0" borderId="0" pivotButton="0" quotePrefix="0" xfId="0"/>
    <xf numFmtId="0" fontId="7" fillId="0" borderId="6" applyAlignment="1" pivotButton="0" quotePrefix="0" xfId="0">
      <alignment horizontal="center" vertical="top"/>
    </xf>
    <xf numFmtId="166" fontId="0" fillId="0" borderId="0" pivotButton="0" quotePrefix="0" xfId="0"/>
    <xf numFmtId="166" fontId="0" fillId="0" borderId="0" pivotButton="0" quotePrefix="0" xfId="0"/>
  </cellXfs>
  <cellStyles count="2">
    <cellStyle name="Normal" xfId="0" builtinId="0"/>
    <cellStyle name="Neutral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E18" sqref="E18"/>
    </sheetView>
  </sheetViews>
  <sheetFormatPr baseColWidth="8" defaultColWidth="10.85546875" defaultRowHeight="15"/>
  <cols>
    <col width="22.28515625" bestFit="1" customWidth="1" min="2" max="2"/>
    <col width="31.140625" bestFit="1" customWidth="1" min="3" max="3"/>
  </cols>
  <sheetData>
    <row r="1">
      <c r="A1" s="1" t="inlineStr">
        <is>
          <t>group</t>
        </is>
      </c>
      <c r="B1" s="1" t="inlineStr">
        <is>
          <t>agent</t>
        </is>
      </c>
      <c r="C1" s="1" t="inlineStr">
        <is>
          <t>parameter</t>
        </is>
      </c>
    </row>
    <row r="2">
      <c r="A2" t="inlineStr">
        <is>
          <t>globals</t>
        </is>
      </c>
      <c r="B2" t="inlineStr">
        <is>
          <t>GeneralProperties</t>
        </is>
      </c>
      <c r="C2" t="inlineStr">
        <is>
          <t>RunId</t>
        </is>
      </c>
    </row>
    <row r="3">
      <c r="A3" t="inlineStr">
        <is>
          <t>globals</t>
        </is>
      </c>
      <c r="B3" t="inlineStr">
        <is>
          <t>GeneralProperties</t>
        </is>
      </c>
      <c r="C3" t="inlineStr">
        <is>
          <t>RandomSeed</t>
        </is>
      </c>
    </row>
    <row r="4">
      <c r="A4" t="inlineStr">
        <is>
          <t>globals</t>
        </is>
      </c>
      <c r="B4" t="inlineStr">
        <is>
          <t>GeneralProperties</t>
        </is>
      </c>
      <c r="C4" t="inlineStr">
        <is>
          <t>Interval</t>
        </is>
      </c>
    </row>
    <row r="5">
      <c r="A5" t="inlineStr">
        <is>
          <t>globals</t>
        </is>
      </c>
      <c r="B5" t="inlineStr">
        <is>
          <t>GeneralProperties</t>
        </is>
      </c>
      <c r="C5" t="inlineStr">
        <is>
          <t>Process</t>
        </is>
      </c>
    </row>
    <row r="6">
      <c r="A6" t="inlineStr">
        <is>
          <t>globals</t>
        </is>
      </c>
      <c r="C6" t="inlineStr">
        <is>
          <t>&amp;portfolioBuildingOffset</t>
        </is>
      </c>
    </row>
    <row r="7">
      <c r="A7" t="inlineStr">
        <is>
          <t>markets</t>
        </is>
      </c>
      <c r="B7" t="inlineStr">
        <is>
          <t>EnergyExchange</t>
        </is>
      </c>
      <c r="C7" t="inlineStr">
        <is>
          <t>DistributionMethod</t>
        </is>
      </c>
    </row>
    <row r="8">
      <c r="A8" t="inlineStr">
        <is>
          <t>markets</t>
        </is>
      </c>
      <c r="B8" t="inlineStr">
        <is>
          <t>EnergyExchange</t>
        </is>
      </c>
      <c r="C8" t="inlineStr">
        <is>
          <t>GateClosureInfoOffsetInSeconds</t>
        </is>
      </c>
    </row>
    <row r="9">
      <c r="A9" t="inlineStr">
        <is>
          <t>markets</t>
        </is>
      </c>
      <c r="B9" t="inlineStr">
        <is>
          <t>CarbonMarket</t>
        </is>
      </c>
      <c r="C9" t="inlineStr">
        <is>
          <t>OperationMode</t>
        </is>
      </c>
    </row>
    <row r="10">
      <c r="A10" t="inlineStr">
        <is>
          <t>demand</t>
        </is>
      </c>
      <c r="B10" t="inlineStr">
        <is>
          <t>DemandTrader</t>
        </is>
      </c>
      <c r="C10" t="inlineStr">
        <is>
          <t>ValueOfLostLoad</t>
        </is>
      </c>
    </row>
    <row r="11">
      <c r="A11" t="inlineStr">
        <is>
          <t>forecast</t>
        </is>
      </c>
      <c r="B11" t="inlineStr">
        <is>
          <t>MeritOrderForecaster</t>
        </is>
      </c>
      <c r="C11" t="inlineStr">
        <is>
          <t>DistributionMethod</t>
        </is>
      </c>
    </row>
    <row r="12">
      <c r="A12" t="inlineStr">
        <is>
          <t>forecast</t>
        </is>
      </c>
      <c r="B12" t="inlineStr">
        <is>
          <t>MeritOrderForecaster</t>
        </is>
      </c>
      <c r="C12" t="inlineStr">
        <is>
          <t>ForecastPeriodInHours</t>
        </is>
      </c>
    </row>
    <row r="13">
      <c r="A13" t="inlineStr">
        <is>
          <t>forecast</t>
        </is>
      </c>
      <c r="B13" t="inlineStr">
        <is>
          <t>MeritOrderForecaster</t>
        </is>
      </c>
      <c r="C13" t="inlineStr">
        <is>
          <t>ForecastRequestOffsetInSeconds</t>
        </is>
      </c>
    </row>
    <row r="14">
      <c r="A14" t="inlineStr">
        <is>
          <t>conventionals</t>
        </is>
      </c>
      <c r="B14" t="inlineStr">
        <is>
          <t>PredefinedPlantBuilder</t>
        </is>
      </c>
      <c r="C14" t="inlineStr">
        <is>
          <t>PortfolioBuildingOffsetInSeconds</t>
        </is>
      </c>
    </row>
    <row r="15">
      <c r="A15" t="inlineStr">
        <is>
          <t>conventionals</t>
        </is>
      </c>
      <c r="B15" t="inlineStr">
        <is>
          <t>PredefinedPlantBuilder</t>
        </is>
      </c>
      <c r="C15" s="2" t="inlineStr">
        <is>
          <t>CyclingCostInEURperMW</t>
        </is>
      </c>
    </row>
    <row r="16">
      <c r="A16" t="inlineStr">
        <is>
          <t>conventionals</t>
        </is>
      </c>
      <c r="B16" t="inlineStr">
        <is>
          <t>ConventionalTrader</t>
        </is>
      </c>
      <c r="C16" t="inlineStr">
        <is>
          <t>minMarkup</t>
        </is>
      </c>
    </row>
    <row r="17">
      <c r="A17" t="inlineStr">
        <is>
          <t>conventionals</t>
        </is>
      </c>
      <c r="B17" t="inlineStr">
        <is>
          <t>ConventionalTrader</t>
        </is>
      </c>
      <c r="C17" t="inlineStr">
        <is>
          <t>maxMarkup</t>
        </is>
      </c>
    </row>
    <row r="18">
      <c r="A18" t="inlineStr">
        <is>
          <t>storages</t>
        </is>
      </c>
      <c r="B18" t="inlineStr">
        <is>
          <t>StorageTrader</t>
        </is>
      </c>
      <c r="C18" t="inlineStr">
        <is>
          <t>ForecastRequestOffsetInSeconds</t>
        </is>
      </c>
    </row>
    <row r="19">
      <c r="A19" t="inlineStr">
        <is>
          <t>storages</t>
        </is>
      </c>
      <c r="B19" t="inlineStr">
        <is>
          <t>StorageTrader</t>
        </is>
      </c>
      <c r="C19" t="inlineStr">
        <is>
          <t>StrategistType</t>
        </is>
      </c>
    </row>
    <row r="20">
      <c r="A20" t="inlineStr">
        <is>
          <t>storages</t>
        </is>
      </c>
      <c r="B20" t="inlineStr">
        <is>
          <t>StorageTrader</t>
        </is>
      </c>
      <c r="C20" t="inlineStr">
        <is>
          <t>ForecastPeriodInHours</t>
        </is>
      </c>
    </row>
    <row r="21">
      <c r="A21" t="inlineStr">
        <is>
          <t>storages</t>
        </is>
      </c>
      <c r="B21" t="inlineStr">
        <is>
          <t>StorageTrader</t>
        </is>
      </c>
      <c r="C21" t="inlineStr">
        <is>
          <t>ScheduleDurationInHours</t>
        </is>
      </c>
    </row>
    <row r="22">
      <c r="A22" t="inlineStr">
        <is>
          <t>storages</t>
        </is>
      </c>
      <c r="B22" t="inlineStr">
        <is>
          <t>StorageTrader</t>
        </is>
      </c>
      <c r="C22" t="inlineStr">
        <is>
          <t>PurchaseLeviesAndTaxesInEURperMWH</t>
        </is>
      </c>
    </row>
    <row r="23">
      <c r="A23" t="inlineStr">
        <is>
          <t>storages</t>
        </is>
      </c>
      <c r="B23" t="inlineStr">
        <is>
          <t>StorageTrader</t>
        </is>
      </c>
      <c r="C23" t="inlineStr">
        <is>
          <t>ModelledChargingSteps</t>
        </is>
      </c>
    </row>
    <row r="24">
      <c r="A24" t="inlineStr">
        <is>
          <t>storages</t>
        </is>
      </c>
      <c r="B24" t="inlineStr">
        <is>
          <t>StorageTrader</t>
        </is>
      </c>
      <c r="C24" t="inlineStr">
        <is>
          <t>AssessmentFunctionPrefactors</t>
        </is>
      </c>
    </row>
    <row r="25">
      <c r="A25" t="inlineStr">
        <is>
          <t>storages</t>
        </is>
      </c>
      <c r="B25" t="inlineStr">
        <is>
          <t>StorageTrader</t>
        </is>
      </c>
      <c r="C25" t="inlineStr">
        <is>
          <t>SelfDischargeRatePerHour</t>
        </is>
      </c>
    </row>
    <row r="26">
      <c r="A26" t="inlineStr">
        <is>
          <t>renewables</t>
        </is>
      </c>
      <c r="B26" t="inlineStr">
        <is>
          <t>RenewableTrader</t>
        </is>
      </c>
      <c r="C26" t="inlineStr">
        <is>
          <t>ShareOfRevenues</t>
        </is>
      </c>
    </row>
    <row r="27">
      <c r="A27" t="inlineStr">
        <is>
          <t>renewables</t>
        </is>
      </c>
      <c r="B27" t="inlineStr">
        <is>
          <t>RenewableTrader</t>
        </is>
      </c>
      <c r="C27" t="inlineStr">
        <is>
          <t>Mean</t>
        </is>
      </c>
    </row>
    <row r="28">
      <c r="A28" t="inlineStr">
        <is>
          <t>renewables</t>
        </is>
      </c>
      <c r="B28" t="inlineStr">
        <is>
          <t>RenewableTrader</t>
        </is>
      </c>
      <c r="C28" t="inlineStr">
        <is>
          <t>Variance</t>
        </is>
      </c>
    </row>
  </sheetData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C26" sqref="C26"/>
    </sheetView>
  </sheetViews>
  <sheetFormatPr baseColWidth="8" defaultColWidth="10.85546875" defaultRowHeight="15"/>
  <cols>
    <col width="13.42578125" bestFit="1" customWidth="1" min="1" max="1"/>
    <col width="22.28515625" bestFit="1" customWidth="1" min="2" max="2"/>
    <col width="31.140625" bestFit="1" customWidth="1" min="3" max="3"/>
  </cols>
  <sheetData>
    <row r="1">
      <c r="A1" s="1" t="inlineStr">
        <is>
          <t>group</t>
        </is>
      </c>
      <c r="B1" s="1" t="inlineStr">
        <is>
          <t>agent</t>
        </is>
      </c>
      <c r="C1" s="1" t="inlineStr">
        <is>
          <t>parameter</t>
        </is>
      </c>
    </row>
    <row r="2">
      <c r="A2" t="inlineStr">
        <is>
          <t>conventionals</t>
        </is>
      </c>
      <c r="B2" t="inlineStr">
        <is>
          <t>PredefinedPlantBuilder</t>
        </is>
      </c>
      <c r="C2" t="inlineStr">
        <is>
          <t>SpecificCo2EmissionsInTperMWH</t>
        </is>
      </c>
    </row>
    <row r="3">
      <c r="A3" t="inlineStr">
        <is>
          <t>conventionals</t>
        </is>
      </c>
      <c r="B3" t="inlineStr">
        <is>
          <t>PredefinedPlantBuilder</t>
        </is>
      </c>
      <c r="C3" t="inlineStr">
        <is>
          <t>PlannedAvailability</t>
        </is>
      </c>
    </row>
    <row r="4">
      <c r="A4" t="inlineStr">
        <is>
          <t>conventionals</t>
        </is>
      </c>
      <c r="B4" t="inlineStr">
        <is>
          <t>PredefinedPlantBuilder</t>
        </is>
      </c>
      <c r="C4" t="inlineStr">
        <is>
          <t>UnplannedAvailabilityFactor</t>
        </is>
      </c>
    </row>
    <row r="5">
      <c r="A5" t="inlineStr">
        <is>
          <t>renewables</t>
        </is>
      </c>
      <c r="B5" t="inlineStr">
        <is>
          <t>VariableRenewableOperator</t>
        </is>
      </c>
      <c r="C5" t="inlineStr">
        <is>
          <t>YieldProfile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1" t="inlineStr">
        <is>
          <t>AgentType</t>
        </is>
      </c>
      <c r="C1" s="11" t="inlineStr">
        <is>
          <t>CO2</t>
        </is>
      </c>
      <c r="D1" s="11" t="inlineStr">
        <is>
          <t>OTHER</t>
        </is>
      </c>
      <c r="E1" s="11" t="inlineStr">
        <is>
          <t>BIOMASS</t>
        </is>
      </c>
      <c r="F1" s="11" t="inlineStr">
        <is>
          <t>HARD_COAL</t>
        </is>
      </c>
      <c r="G1" s="11" t="inlineStr">
        <is>
          <t>HYDROGEN</t>
        </is>
      </c>
      <c r="H1" s="11" t="inlineStr">
        <is>
          <t>LIGNITE</t>
        </is>
      </c>
      <c r="I1" s="11" t="inlineStr">
        <is>
          <t>NATURAL_GAS</t>
        </is>
      </c>
      <c r="J1" s="11" t="inlineStr">
        <is>
          <t>NUCLEAR</t>
        </is>
      </c>
      <c r="K1" s="11" t="inlineStr">
        <is>
          <t>OIL</t>
        </is>
      </c>
      <c r="L1" s="11" t="inlineStr">
        <is>
          <t>WASTE</t>
        </is>
      </c>
    </row>
    <row r="2">
      <c r="A2" s="11" t="n">
        <v>0</v>
      </c>
      <c r="B2" t="inlineStr">
        <is>
          <t>CarbonMarket</t>
        </is>
      </c>
      <c r="C2" t="n">
        <v>514.7142857142717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1" t="n">
        <v>1</v>
      </c>
      <c r="B3" t="inlineStr">
        <is>
          <t>FuelsMarket</t>
        </is>
      </c>
      <c r="C3" t="inlineStr"/>
      <c r="D3" t="n">
        <v>48.57925285119999</v>
      </c>
      <c r="E3" t="n">
        <v>50.29000000000042</v>
      </c>
      <c r="F3" t="n">
        <v>8.929999999999998</v>
      </c>
      <c r="G3" t="n">
        <v>32.6871088435455</v>
      </c>
      <c r="H3" t="n">
        <v>6.480000000000001</v>
      </c>
      <c r="I3" t="n">
        <v>26.80999999999999</v>
      </c>
      <c r="J3" t="n">
        <v>1.690000000000001</v>
      </c>
      <c r="K3" t="n">
        <v>40.68000000000001</v>
      </c>
      <c r="L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1" t="inlineStr">
        <is>
          <t>identifier</t>
        </is>
      </c>
      <c r="C1" s="11" t="inlineStr">
        <is>
          <t>FuelType</t>
        </is>
      </c>
      <c r="D1" s="11" t="inlineStr">
        <is>
          <t>OpexVarInEURperMWH</t>
        </is>
      </c>
      <c r="E1" s="11" t="inlineStr">
        <is>
          <t>Efficiency</t>
        </is>
      </c>
      <c r="F1" s="11" t="inlineStr">
        <is>
          <t>BlockSizeInMW</t>
        </is>
      </c>
      <c r="G1" s="11" t="inlineStr">
        <is>
          <t>InstalledPowerInMW</t>
        </is>
      </c>
      <c r="H1" s="11" t="inlineStr">
        <is>
          <t>strike_price</t>
        </is>
      </c>
    </row>
    <row r="2">
      <c r="A2" s="11" t="n">
        <v>0</v>
      </c>
      <c r="B2" t="n">
        <v>20490700274</v>
      </c>
      <c r="C2" t="inlineStr">
        <is>
          <t>HYDROGEN</t>
        </is>
      </c>
      <c r="D2" t="n">
        <v>4.79479</v>
      </c>
      <c r="E2" t="n">
        <v>0.43</v>
      </c>
      <c r="F2" t="n">
        <v>1000</v>
      </c>
      <c r="G2" t="n">
        <v>1000</v>
      </c>
      <c r="H2" t="inlineStr"/>
    </row>
    <row r="3">
      <c r="A3" s="11" t="n">
        <v>22</v>
      </c>
      <c r="B3" t="n">
        <v>20221300101</v>
      </c>
      <c r="C3" t="inlineStr">
        <is>
          <t>NATURAL_GAS</t>
        </is>
      </c>
      <c r="D3" t="n">
        <v>4.627715834581446</v>
      </c>
      <c r="E3" t="n">
        <v>0.43</v>
      </c>
      <c r="F3" t="n">
        <v>1000</v>
      </c>
      <c r="G3" t="n">
        <v>1000</v>
      </c>
      <c r="H3" t="inlineStr"/>
    </row>
    <row r="4">
      <c r="A4" s="11" t="n">
        <v>20</v>
      </c>
      <c r="B4" t="n">
        <v>20251200110</v>
      </c>
      <c r="C4" t="inlineStr">
        <is>
          <t>NUCLEAR</t>
        </is>
      </c>
      <c r="D4" t="n">
        <v>3.588558094461566</v>
      </c>
      <c r="E4" t="n">
        <v>0.35</v>
      </c>
      <c r="F4" t="n">
        <v>1000</v>
      </c>
      <c r="G4" t="n">
        <v>1000</v>
      </c>
      <c r="H4" t="inlineStr"/>
    </row>
    <row r="5">
      <c r="A5" s="11" t="n">
        <v>19</v>
      </c>
      <c r="B5" t="n">
        <v>20261200111</v>
      </c>
      <c r="C5" t="inlineStr">
        <is>
          <t>NUCLEAR</t>
        </is>
      </c>
      <c r="D5" t="n">
        <v>3.584973121340226</v>
      </c>
      <c r="E5" t="n">
        <v>0.35</v>
      </c>
      <c r="F5" t="n">
        <v>1000</v>
      </c>
      <c r="G5" t="n">
        <v>1000</v>
      </c>
      <c r="H5" t="inlineStr"/>
    </row>
    <row r="6">
      <c r="A6" s="11" t="n">
        <v>18</v>
      </c>
      <c r="B6" t="n">
        <v>20271200112</v>
      </c>
      <c r="C6" t="inlineStr">
        <is>
          <t>NUCLEAR</t>
        </is>
      </c>
      <c r="D6" t="n">
        <v>3.581391729610617</v>
      </c>
      <c r="E6" t="n">
        <v>0.35</v>
      </c>
      <c r="F6" t="n">
        <v>1000</v>
      </c>
      <c r="G6" t="n">
        <v>1000</v>
      </c>
      <c r="H6" t="inlineStr"/>
    </row>
    <row r="7">
      <c r="A7" s="11" t="n">
        <v>17</v>
      </c>
      <c r="B7" t="n">
        <v>20291200114</v>
      </c>
      <c r="C7" t="inlineStr">
        <is>
          <t>NUCLEAR</t>
        </is>
      </c>
      <c r="D7" t="n">
        <v>3.574239676018903</v>
      </c>
      <c r="E7" t="n">
        <v>0.35</v>
      </c>
      <c r="F7" t="n">
        <v>1000</v>
      </c>
      <c r="G7" t="n">
        <v>1000</v>
      </c>
      <c r="H7" t="inlineStr"/>
    </row>
    <row r="8">
      <c r="A8" s="11" t="n">
        <v>16</v>
      </c>
      <c r="B8" t="n">
        <v>20301300115</v>
      </c>
      <c r="C8" t="inlineStr">
        <is>
          <t>NATURAL_GAS</t>
        </is>
      </c>
      <c r="D8" t="n">
        <v>4.590860151872432</v>
      </c>
      <c r="E8" t="n">
        <v>0.43</v>
      </c>
      <c r="F8" t="n">
        <v>1000</v>
      </c>
      <c r="G8" t="n">
        <v>1000</v>
      </c>
      <c r="H8" t="inlineStr"/>
    </row>
    <row r="9">
      <c r="A9" s="11" t="n">
        <v>15</v>
      </c>
      <c r="B9" t="n">
        <v>20301200116</v>
      </c>
      <c r="C9" t="inlineStr">
        <is>
          <t>NUCLEAR</t>
        </is>
      </c>
      <c r="D9" t="n">
        <v>3.570669007011892</v>
      </c>
      <c r="E9" t="n">
        <v>0.35</v>
      </c>
      <c r="F9" t="n">
        <v>1000</v>
      </c>
      <c r="G9" t="n">
        <v>1000</v>
      </c>
      <c r="H9" t="inlineStr"/>
    </row>
    <row r="10">
      <c r="A10" s="11" t="n">
        <v>14</v>
      </c>
      <c r="B10" t="n">
        <v>20321300132</v>
      </c>
      <c r="C10" t="inlineStr">
        <is>
          <t>NATURAL_GAS</t>
        </is>
      </c>
      <c r="D10" t="n">
        <v>4.581692185808631</v>
      </c>
      <c r="E10" t="n">
        <v>0.43</v>
      </c>
      <c r="F10" t="n">
        <v>1000</v>
      </c>
      <c r="G10" t="n">
        <v>1000</v>
      </c>
      <c r="H10" t="inlineStr"/>
    </row>
    <row r="11">
      <c r="A11" s="11" t="n">
        <v>13</v>
      </c>
      <c r="B11" t="n">
        <v>20321200131</v>
      </c>
      <c r="C11" t="inlineStr">
        <is>
          <t>NUCLEAR</t>
        </is>
      </c>
      <c r="D11" t="n">
        <v>3.563538366740046</v>
      </c>
      <c r="E11" t="n">
        <v>0.35</v>
      </c>
      <c r="F11" t="n">
        <v>1000</v>
      </c>
      <c r="G11" t="n">
        <v>1000</v>
      </c>
      <c r="H11" t="inlineStr"/>
    </row>
    <row r="12">
      <c r="A12" s="11" t="n">
        <v>23</v>
      </c>
      <c r="B12" t="n">
        <v>20201200082</v>
      </c>
      <c r="C12" t="inlineStr">
        <is>
          <t>NUCLEAR</t>
        </is>
      </c>
      <c r="D12" t="n">
        <v>3.606536806418345</v>
      </c>
      <c r="E12" t="n">
        <v>0.35</v>
      </c>
      <c r="F12" t="n">
        <v>1000</v>
      </c>
      <c r="G12" t="n">
        <v>1000</v>
      </c>
      <c r="H12" t="inlineStr"/>
    </row>
    <row r="13">
      <c r="A13" s="11" t="n">
        <v>12</v>
      </c>
      <c r="B13" t="n">
        <v>20330800143</v>
      </c>
      <c r="C13" t="inlineStr">
        <is>
          <t>HYDROGEN</t>
        </is>
      </c>
      <c r="D13" t="n">
        <v>4.312659533317482</v>
      </c>
      <c r="E13" t="n">
        <v>0.6</v>
      </c>
      <c r="F13" t="n">
        <v>1000</v>
      </c>
      <c r="G13" t="n">
        <v>1000</v>
      </c>
      <c r="H13" t="inlineStr"/>
    </row>
    <row r="14">
      <c r="A14" s="11" t="n">
        <v>10</v>
      </c>
      <c r="B14" t="n">
        <v>20350800167</v>
      </c>
      <c r="C14" t="inlineStr">
        <is>
          <t>HYDROGEN</t>
        </is>
      </c>
      <c r="D14" t="n">
        <v>4.304047135000348</v>
      </c>
      <c r="E14" t="n">
        <v>0.6</v>
      </c>
      <c r="F14" t="n">
        <v>1000</v>
      </c>
      <c r="G14" t="n">
        <v>1000</v>
      </c>
      <c r="H14" t="inlineStr"/>
    </row>
    <row r="15">
      <c r="A15" s="11" t="n">
        <v>9</v>
      </c>
      <c r="B15" t="n">
        <v>20360800175</v>
      </c>
      <c r="C15" t="inlineStr">
        <is>
          <t>HYDROGEN</t>
        </is>
      </c>
      <c r="D15" t="n">
        <v>4.299747387612735</v>
      </c>
      <c r="E15" t="n">
        <v>0.6</v>
      </c>
      <c r="F15" t="n">
        <v>1000</v>
      </c>
      <c r="G15" t="n">
        <v>1000</v>
      </c>
      <c r="H15" t="inlineStr"/>
    </row>
    <row r="16">
      <c r="A16" s="11" t="n">
        <v>8</v>
      </c>
      <c r="B16" t="n">
        <v>20370700182</v>
      </c>
      <c r="C16" t="inlineStr">
        <is>
          <t>HYDROGEN</t>
        </is>
      </c>
      <c r="D16" t="n">
        <v>4.852644993371016</v>
      </c>
      <c r="E16" t="n">
        <v>0.43</v>
      </c>
      <c r="F16" t="n">
        <v>1000</v>
      </c>
      <c r="G16" t="n">
        <v>1000</v>
      </c>
      <c r="H16" t="inlineStr"/>
    </row>
    <row r="17">
      <c r="A17" s="11" t="n">
        <v>7</v>
      </c>
      <c r="B17" t="n">
        <v>20380700188</v>
      </c>
      <c r="C17" t="inlineStr">
        <is>
          <t>HYDROGEN</t>
        </is>
      </c>
      <c r="D17" t="n">
        <v>4.847797196174842</v>
      </c>
      <c r="E17" t="n">
        <v>0.43</v>
      </c>
      <c r="F17" t="n">
        <v>1000</v>
      </c>
      <c r="G17" t="n">
        <v>1000</v>
      </c>
      <c r="H17" t="inlineStr"/>
    </row>
    <row r="18">
      <c r="A18" s="11" t="n">
        <v>5</v>
      </c>
      <c r="B18" t="n">
        <v>20410700214</v>
      </c>
      <c r="C18" t="inlineStr">
        <is>
          <t>HYDROGEN</t>
        </is>
      </c>
      <c r="D18" t="n">
        <v>4.833282842964139</v>
      </c>
      <c r="E18" t="n">
        <v>0.43</v>
      </c>
      <c r="F18" t="n">
        <v>1000</v>
      </c>
      <c r="G18" t="n">
        <v>1000</v>
      </c>
      <c r="H18" t="inlineStr"/>
    </row>
    <row r="19">
      <c r="A19" s="11" t="n">
        <v>4</v>
      </c>
      <c r="B19" t="n">
        <v>20420700223</v>
      </c>
      <c r="C19" t="inlineStr">
        <is>
          <t>HYDROGEN</t>
        </is>
      </c>
      <c r="D19" t="n">
        <v>4.828454388575564</v>
      </c>
      <c r="E19" t="n">
        <v>0.43</v>
      </c>
      <c r="F19" t="n">
        <v>1000</v>
      </c>
      <c r="G19" t="n">
        <v>1000</v>
      </c>
      <c r="H19" t="inlineStr"/>
    </row>
    <row r="20">
      <c r="A20" s="11" t="n">
        <v>3</v>
      </c>
      <c r="B20" t="n">
        <v>20430700232</v>
      </c>
      <c r="C20" t="inlineStr">
        <is>
          <t>HYDROGEN</t>
        </is>
      </c>
      <c r="D20" t="n">
        <v>4.823630757817747</v>
      </c>
      <c r="E20" t="n">
        <v>0.43</v>
      </c>
      <c r="F20" t="n">
        <v>1000</v>
      </c>
      <c r="G20" t="n">
        <v>1000</v>
      </c>
      <c r="H20" t="inlineStr"/>
    </row>
    <row r="21">
      <c r="A21" s="11" t="n">
        <v>2</v>
      </c>
      <c r="B21" t="n">
        <v>20440700246</v>
      </c>
      <c r="C21" t="inlineStr">
        <is>
          <t>HYDROGEN</t>
        </is>
      </c>
      <c r="D21" t="n">
        <v>4.818811945871875</v>
      </c>
      <c r="E21" t="n">
        <v>0.43</v>
      </c>
      <c r="F21" t="n">
        <v>1000</v>
      </c>
      <c r="G21" t="n">
        <v>1000</v>
      </c>
      <c r="H21" t="inlineStr"/>
    </row>
    <row r="22">
      <c r="A22" s="11" t="n">
        <v>1</v>
      </c>
      <c r="B22" t="n">
        <v>20460700267</v>
      </c>
      <c r="C22" t="inlineStr">
        <is>
          <t>HYDROGEN</t>
        </is>
      </c>
      <c r="D22" t="n">
        <v>4.809188759164788</v>
      </c>
      <c r="E22" t="n">
        <v>0.43</v>
      </c>
      <c r="F22" t="n">
        <v>1000</v>
      </c>
      <c r="G22" t="n">
        <v>1000</v>
      </c>
      <c r="H22" t="inlineStr"/>
    </row>
    <row r="23">
      <c r="A23" s="11" t="n">
        <v>11</v>
      </c>
      <c r="B23" t="n">
        <v>20340800158</v>
      </c>
      <c r="C23" t="inlineStr">
        <is>
          <t>HYDROGEN</t>
        </is>
      </c>
      <c r="D23" t="n">
        <v>4.308351182135347</v>
      </c>
      <c r="E23" t="n">
        <v>0.6</v>
      </c>
      <c r="F23" t="n">
        <v>1000</v>
      </c>
      <c r="G23" t="n">
        <v>1000</v>
      </c>
      <c r="H23" t="inlineStr"/>
    </row>
    <row r="24">
      <c r="A24" s="11" t="n">
        <v>24</v>
      </c>
      <c r="B24" t="n">
        <v>20201300089</v>
      </c>
      <c r="C24" t="inlineStr">
        <is>
          <t>NATURAL_GAS</t>
        </is>
      </c>
      <c r="D24" t="n">
        <v>4.636975893966443</v>
      </c>
      <c r="E24" t="n">
        <v>0.43</v>
      </c>
      <c r="F24" t="n">
        <v>1000</v>
      </c>
      <c r="G24" t="n">
        <v>1000</v>
      </c>
      <c r="H24" t="inlineStr"/>
    </row>
    <row r="25">
      <c r="A25" s="11" t="n">
        <v>6</v>
      </c>
      <c r="B25" t="n">
        <v>20390700205</v>
      </c>
      <c r="C25" t="inlineStr">
        <is>
          <t>HYDROGEN</t>
        </is>
      </c>
      <c r="D25" t="n">
        <v>4.842954241932909</v>
      </c>
      <c r="E25" t="n">
        <v>0.43</v>
      </c>
      <c r="F25" t="n">
        <v>2000</v>
      </c>
      <c r="G25" t="n">
        <v>2000</v>
      </c>
      <c r="H25" t="inlineStr"/>
    </row>
    <row r="26">
      <c r="A26" s="11" t="n">
        <v>21</v>
      </c>
      <c r="B26" t="n">
        <v>20231300106</v>
      </c>
      <c r="C26" t="inlineStr">
        <is>
          <t>NATURAL_GAS</t>
        </is>
      </c>
      <c r="D26" t="n">
        <v>4.623092741839607</v>
      </c>
      <c r="E26" t="n">
        <v>0.43</v>
      </c>
      <c r="F26" t="n">
        <v>2000</v>
      </c>
      <c r="G26" t="n">
        <v>2000</v>
      </c>
      <c r="H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3"/>
  <sheetViews>
    <sheetView zoomScale="130" zoomScaleNormal="130" workbookViewId="0">
      <selection activeCell="E5" sqref="E5"/>
    </sheetView>
  </sheetViews>
  <sheetFormatPr baseColWidth="8" defaultColWidth="9.140625" defaultRowHeight="15"/>
  <cols>
    <col width="20.42578125" customWidth="1" min="1" max="1"/>
  </cols>
  <sheetData>
    <row r="1">
      <c r="B1" t="inlineStr">
        <is>
          <t>conventionals</t>
        </is>
      </c>
      <c r="C1">
        <f>SUM(conventionals!G:G,)</f>
        <v/>
      </c>
      <c r="D1">
        <f>C1/1000</f>
        <v/>
      </c>
      <c r="E1" t="inlineStr">
        <is>
          <t>GW</t>
        </is>
      </c>
    </row>
    <row r="2">
      <c r="B2" t="inlineStr">
        <is>
          <t>renewables</t>
        </is>
      </c>
      <c r="C2">
        <f>SUM(renewables!C:C)</f>
        <v/>
      </c>
      <c r="D2">
        <f>C2/1000</f>
        <v/>
      </c>
      <c r="E2" t="inlineStr">
        <is>
          <t>GW</t>
        </is>
      </c>
    </row>
    <row r="3">
      <c r="B3" t="inlineStr">
        <is>
          <t>storage</t>
        </is>
      </c>
      <c r="C3">
        <f>SUM(storages!H:H)</f>
        <v/>
      </c>
      <c r="D3">
        <f>C3/1000</f>
        <v/>
      </c>
      <c r="E3" t="inlineStr">
        <is>
          <t>GW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J28" sqref="J28"/>
    </sheetView>
  </sheetViews>
  <sheetFormatPr baseColWidth="8" defaultColWidth="9.140625" defaultRowHeight="15"/>
  <cols>
    <col width="14" bestFit="1" customWidth="1" min="2" max="2"/>
  </cols>
  <sheetData>
    <row r="1">
      <c r="B1" s="3" t="inlineStr">
        <is>
          <t>identifier</t>
        </is>
      </c>
      <c r="C1" s="3" t="inlineStr">
        <is>
          <t>InstalledPowerInMW</t>
        </is>
      </c>
      <c r="D1" s="3" t="inlineStr">
        <is>
          <t>OpexVarInEURperMWH</t>
        </is>
      </c>
      <c r="E1" s="3" t="inlineStr">
        <is>
          <t>Set</t>
        </is>
      </c>
      <c r="F1" s="3" t="inlineStr">
        <is>
          <t>SupportInstrument</t>
        </is>
      </c>
      <c r="G1" s="3" t="inlineStr">
        <is>
          <t>FIT</t>
        </is>
      </c>
      <c r="H1" s="3" t="inlineStr">
        <is>
          <t>Premium</t>
        </is>
      </c>
      <c r="I1" s="3" t="inlineStr">
        <is>
          <t>Lcoe</t>
        </is>
      </c>
      <c r="K1" s="4" t="n"/>
    </row>
    <row r="2">
      <c r="A2" s="3" t="n">
        <v>0</v>
      </c>
      <c r="K2" s="1" t="n"/>
    </row>
    <row r="3">
      <c r="A3" s="3" t="n">
        <v>1</v>
      </c>
      <c r="K3" s="1" t="n"/>
    </row>
    <row r="4">
      <c r="A4" s="3" t="n">
        <v>2</v>
      </c>
      <c r="K4" s="1" t="n"/>
    </row>
    <row r="5">
      <c r="A5" s="3" t="n">
        <v>3</v>
      </c>
    </row>
    <row r="6">
      <c r="A6" s="3" t="n">
        <v>4</v>
      </c>
    </row>
    <row r="7">
      <c r="A7" s="3" t="n">
        <v>5</v>
      </c>
    </row>
    <row r="8">
      <c r="A8" s="3" t="n">
        <v>6</v>
      </c>
    </row>
    <row r="9">
      <c r="A9" s="3" t="n">
        <v>7</v>
      </c>
    </row>
    <row r="10">
      <c r="A10" s="3" t="n">
        <v>8</v>
      </c>
    </row>
    <row r="11">
      <c r="A11" s="3" t="n">
        <v>9</v>
      </c>
    </row>
    <row r="12">
      <c r="A12" s="3" t="n">
        <v>10</v>
      </c>
    </row>
    <row r="13">
      <c r="A13" s="3" t="n">
        <v>11</v>
      </c>
    </row>
    <row r="14">
      <c r="A14" s="3" t="n">
        <v>12</v>
      </c>
    </row>
    <row r="15">
      <c r="A15" s="3" t="n">
        <v>13</v>
      </c>
    </row>
    <row r="16">
      <c r="A16" s="3" t="n">
        <v>14</v>
      </c>
    </row>
    <row r="17">
      <c r="A17" s="3" t="n">
        <v>15</v>
      </c>
    </row>
    <row r="18">
      <c r="A18" s="3" t="n">
        <v>16</v>
      </c>
    </row>
    <row r="19">
      <c r="A19" s="3" t="n">
        <v>17</v>
      </c>
    </row>
    <row r="20">
      <c r="A20" s="3" t="n">
        <v>18</v>
      </c>
    </row>
    <row r="21">
      <c r="A21" s="3" t="n">
        <v>19</v>
      </c>
    </row>
    <row r="22">
      <c r="A22" s="3" t="n">
        <v>20</v>
      </c>
    </row>
    <row r="23">
      <c r="A23" s="3" t="n">
        <v>21</v>
      </c>
    </row>
    <row r="24">
      <c r="A24" s="3" t="n">
        <v>22</v>
      </c>
    </row>
    <row r="25">
      <c r="A25" s="3" t="n">
        <v>23</v>
      </c>
    </row>
    <row r="26">
      <c r="A26" s="3" t="n">
        <v>24</v>
      </c>
    </row>
    <row r="27">
      <c r="A27" s="3" t="n">
        <v>25</v>
      </c>
    </row>
    <row r="28">
      <c r="A28" s="3" t="n">
        <v>26</v>
      </c>
    </row>
    <row r="29">
      <c r="A29" s="3" t="n">
        <v>27</v>
      </c>
    </row>
    <row r="30">
      <c r="A30" s="3" t="n">
        <v>28</v>
      </c>
    </row>
    <row r="31">
      <c r="A31" s="3" t="n">
        <v>29</v>
      </c>
    </row>
    <row r="32">
      <c r="A32" s="3" t="n">
        <v>30</v>
      </c>
    </row>
    <row r="33">
      <c r="A33" s="3" t="n">
        <v>31</v>
      </c>
    </row>
    <row r="34">
      <c r="A34" s="3" t="n">
        <v>32</v>
      </c>
    </row>
    <row r="35">
      <c r="A35" s="3" t="n">
        <v>33</v>
      </c>
    </row>
    <row r="36">
      <c r="A36" s="3" t="n">
        <v>34</v>
      </c>
    </row>
    <row r="37">
      <c r="A37" s="3" t="n">
        <v>35</v>
      </c>
    </row>
    <row r="38">
      <c r="A38" s="3" t="n">
        <v>36</v>
      </c>
    </row>
    <row r="39">
      <c r="A39" s="3" t="n">
        <v>37</v>
      </c>
    </row>
    <row r="40">
      <c r="A40" s="3" t="n">
        <v>38</v>
      </c>
    </row>
    <row r="41">
      <c r="A41" s="3" t="n">
        <v>39</v>
      </c>
    </row>
    <row r="42">
      <c r="A42" s="3" t="n">
        <v>40</v>
      </c>
    </row>
    <row r="43">
      <c r="A43" s="3" t="n">
        <v>41</v>
      </c>
    </row>
    <row r="44">
      <c r="A44" s="3" t="n">
        <v>42</v>
      </c>
    </row>
    <row r="45">
      <c r="A45" s="3" t="n">
        <v>43</v>
      </c>
    </row>
    <row r="46">
      <c r="A46" s="3" t="n">
        <v>44</v>
      </c>
    </row>
    <row r="47">
      <c r="A47" s="3" t="n">
        <v>45</v>
      </c>
    </row>
    <row r="48">
      <c r="A48" s="3" t="n">
        <v>46</v>
      </c>
    </row>
    <row r="49">
      <c r="A49" s="3" t="n">
        <v>47</v>
      </c>
    </row>
    <row r="50">
      <c r="A50" s="3" t="n">
        <v>48</v>
      </c>
    </row>
    <row r="51">
      <c r="A51" s="3" t="n">
        <v>49</v>
      </c>
    </row>
    <row r="52">
      <c r="A52" s="3" t="n">
        <v>50</v>
      </c>
    </row>
    <row r="53">
      <c r="A53" s="3" t="n">
        <v>51</v>
      </c>
    </row>
    <row r="54">
      <c r="A54" s="3" t="n">
        <v>52</v>
      </c>
    </row>
    <row r="55">
      <c r="A55" s="3" t="n">
        <v>53</v>
      </c>
    </row>
    <row r="56">
      <c r="A56" s="3" t="n">
        <v>54</v>
      </c>
    </row>
    <row r="57">
      <c r="A57" s="3" t="n">
        <v>55</v>
      </c>
    </row>
    <row r="58">
      <c r="A58" s="3" t="n">
        <v>56</v>
      </c>
    </row>
    <row r="59">
      <c r="A59" s="3" t="n">
        <v>57</v>
      </c>
    </row>
    <row r="60">
      <c r="A60" s="3" t="n">
        <v>58</v>
      </c>
    </row>
  </sheetData>
  <autoFilter ref="A1:I6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B1" s="11" t="inlineStr">
        <is>
          <t>identifier</t>
        </is>
      </c>
      <c r="C1" s="11" t="inlineStr">
        <is>
          <t>InstalledPowerInMW</t>
        </is>
      </c>
      <c r="D1" s="11" t="inlineStr">
        <is>
          <t>OpexVarInEURperMWH</t>
        </is>
      </c>
      <c r="E1" s="11" t="inlineStr">
        <is>
          <t>Set</t>
        </is>
      </c>
      <c r="F1" s="11" t="inlineStr">
        <is>
          <t>SupportInstrument</t>
        </is>
      </c>
      <c r="G1" s="11" t="inlineStr">
        <is>
          <t>FIT</t>
        </is>
      </c>
      <c r="H1" s="11" t="inlineStr">
        <is>
          <t>Premium</t>
        </is>
      </c>
      <c r="I1" s="11" t="inlineStr">
        <is>
          <t>Lcoe</t>
        </is>
      </c>
      <c r="J1" s="11" t="inlineStr">
        <is>
          <t>strike_price</t>
        </is>
      </c>
    </row>
    <row r="2">
      <c r="A2" s="11" t="n">
        <v>0</v>
      </c>
      <c r="B2" t="n">
        <v>20461600273</v>
      </c>
      <c r="C2" t="n">
        <v>2900</v>
      </c>
      <c r="D2" t="n">
        <v>0.5020030020004997</v>
      </c>
      <c r="E2" t="inlineStr">
        <is>
          <t>OtherPV</t>
        </is>
      </c>
      <c r="F2" t="inlineStr">
        <is>
          <t>NONE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/>
    </row>
    <row r="3">
      <c r="A3" s="11" t="n">
        <v>1</v>
      </c>
      <c r="B3" t="n">
        <v>20451600266</v>
      </c>
      <c r="C3" t="n">
        <v>10300</v>
      </c>
      <c r="D3" t="n">
        <v>0.5025050050025002</v>
      </c>
      <c r="E3" t="inlineStr">
        <is>
          <t>OtherPV</t>
        </is>
      </c>
      <c r="F3" t="inlineStr">
        <is>
          <t>NONE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/>
    </row>
    <row r="4">
      <c r="A4" s="11" t="n">
        <v>2</v>
      </c>
      <c r="B4" t="n">
        <v>20451800265</v>
      </c>
      <c r="C4" t="n">
        <v>2000</v>
      </c>
      <c r="D4" t="n">
        <v>3.266282532516251</v>
      </c>
      <c r="E4" t="inlineStr">
        <is>
          <t>WindOff</t>
        </is>
      </c>
      <c r="F4" t="inlineStr">
        <is>
          <t>NONE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/>
    </row>
    <row r="5">
      <c r="A5" s="11" t="n">
        <v>3</v>
      </c>
      <c r="B5" t="n">
        <v>20441600251</v>
      </c>
      <c r="C5" t="n">
        <v>1300</v>
      </c>
      <c r="D5" t="n">
        <v>0.5030075100075027</v>
      </c>
      <c r="E5" t="inlineStr">
        <is>
          <t>OtherPV</t>
        </is>
      </c>
      <c r="F5" t="inlineStr">
        <is>
          <t>NONE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/>
    </row>
    <row r="6">
      <c r="A6" s="11" t="n">
        <v>4</v>
      </c>
      <c r="B6" t="n">
        <v>20441800250</v>
      </c>
      <c r="C6" t="n">
        <v>3000</v>
      </c>
      <c r="D6" t="n">
        <v>3.269548815048767</v>
      </c>
      <c r="E6" t="inlineStr">
        <is>
          <t>WindOff</t>
        </is>
      </c>
      <c r="F6" t="inlineStr">
        <is>
          <t>NONE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/>
    </row>
    <row r="7">
      <c r="A7" s="11" t="n">
        <v>5</v>
      </c>
      <c r="B7" t="n">
        <v>20441900243</v>
      </c>
      <c r="C7" t="n">
        <v>1000</v>
      </c>
      <c r="D7" t="n">
        <v>1.307819526019507</v>
      </c>
      <c r="E7" t="inlineStr">
        <is>
          <t>WindOn</t>
        </is>
      </c>
      <c r="F7" t="inlineStr">
        <is>
          <t>NONE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/>
    </row>
    <row r="8">
      <c r="A8" s="11" t="n">
        <v>6</v>
      </c>
      <c r="B8" t="n">
        <v>20431600242</v>
      </c>
      <c r="C8" t="n">
        <v>4600</v>
      </c>
      <c r="D8" t="n">
        <v>0.5035105175175101</v>
      </c>
      <c r="E8" t="inlineStr">
        <is>
          <t>OtherPV</t>
        </is>
      </c>
      <c r="F8" t="inlineStr">
        <is>
          <t>NONE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/>
    </row>
    <row r="9">
      <c r="A9" s="11" t="n">
        <v>7</v>
      </c>
      <c r="B9" t="n">
        <v>20431800241</v>
      </c>
      <c r="C9" t="n">
        <v>3000</v>
      </c>
      <c r="D9" t="n">
        <v>3.272818363863816</v>
      </c>
      <c r="E9" t="inlineStr">
        <is>
          <t>WindOff</t>
        </is>
      </c>
      <c r="F9" t="inlineStr">
        <is>
          <t>NONE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/>
    </row>
    <row r="10">
      <c r="A10" s="11" t="n">
        <v>8</v>
      </c>
      <c r="B10" t="n">
        <v>20421600230</v>
      </c>
      <c r="C10" t="n">
        <v>4300</v>
      </c>
      <c r="D10" t="n">
        <v>0.5040140280350276</v>
      </c>
      <c r="E10" t="inlineStr">
        <is>
          <t>OtherPV</t>
        </is>
      </c>
      <c r="F10" t="inlineStr">
        <is>
          <t>NONE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/>
    </row>
    <row r="11">
      <c r="A11" s="11" t="n">
        <v>9</v>
      </c>
      <c r="B11" t="n">
        <v>20421900224</v>
      </c>
      <c r="C11" t="n">
        <v>1000</v>
      </c>
      <c r="D11" t="n">
        <v>1.310436472891072</v>
      </c>
      <c r="E11" t="inlineStr">
        <is>
          <t>WindOn</t>
        </is>
      </c>
      <c r="F11" t="inlineStr">
        <is>
          <t>NONE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/>
    </row>
    <row r="12">
      <c r="A12" s="11" t="n">
        <v>10</v>
      </c>
      <c r="B12" t="n">
        <v>20411600222</v>
      </c>
      <c r="C12" t="n">
        <v>5300</v>
      </c>
      <c r="D12" t="n">
        <v>0.5045180420630625</v>
      </c>
      <c r="E12" t="inlineStr">
        <is>
          <t>OtherPV</t>
        </is>
      </c>
      <c r="F12" t="inlineStr">
        <is>
          <t>NONE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/>
    </row>
    <row r="13">
      <c r="A13" s="11" t="n">
        <v>11</v>
      </c>
      <c r="B13" t="n">
        <v>20411800215</v>
      </c>
      <c r="C13" t="n">
        <v>1000</v>
      </c>
      <c r="D13" t="n">
        <v>3.279367273409906</v>
      </c>
      <c r="E13" t="inlineStr">
        <is>
          <t>WindOff</t>
        </is>
      </c>
      <c r="F13" t="inlineStr">
        <is>
          <t>NONE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/>
    </row>
    <row r="14">
      <c r="A14" s="11" t="n">
        <v>12</v>
      </c>
      <c r="B14" t="n">
        <v>20411900213</v>
      </c>
      <c r="C14" t="n">
        <v>1000</v>
      </c>
      <c r="D14" t="n">
        <v>1.311746909363963</v>
      </c>
      <c r="E14" t="inlineStr">
        <is>
          <t>WindOn</t>
        </is>
      </c>
      <c r="F14" t="inlineStr">
        <is>
          <t>NONE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/>
    </row>
    <row r="15">
      <c r="A15" s="11" t="n">
        <v>13</v>
      </c>
      <c r="B15" t="n">
        <v>20401600212</v>
      </c>
      <c r="C15" t="n">
        <v>4300</v>
      </c>
      <c r="D15" t="n">
        <v>0.5050225601051256</v>
      </c>
      <c r="E15" t="inlineStr">
        <is>
          <t>OtherPV</t>
        </is>
      </c>
      <c r="F15" t="inlineStr">
        <is>
          <t>NONE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/>
    </row>
    <row r="16">
      <c r="A16" s="11" t="n">
        <v>14</v>
      </c>
      <c r="B16" t="n">
        <v>20401800206</v>
      </c>
      <c r="C16" t="n">
        <v>1000</v>
      </c>
      <c r="D16" t="n">
        <v>3.282646640683316</v>
      </c>
      <c r="E16" t="inlineStr">
        <is>
          <t>WindOff</t>
        </is>
      </c>
      <c r="F16" t="inlineStr">
        <is>
          <t>NONE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/>
    </row>
    <row r="17">
      <c r="A17" s="11" t="n">
        <v>15</v>
      </c>
      <c r="B17" t="n">
        <v>20391600204</v>
      </c>
      <c r="C17" t="n">
        <v>5300</v>
      </c>
      <c r="D17" t="n">
        <v>0.5055275826652306</v>
      </c>
      <c r="E17" t="inlineStr">
        <is>
          <t>OtherPV</t>
        </is>
      </c>
      <c r="F17" t="inlineStr">
        <is>
          <t>NONE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/>
    </row>
    <row r="18">
      <c r="A18" s="11" t="n">
        <v>16</v>
      </c>
      <c r="B18" t="n">
        <v>20391800197</v>
      </c>
      <c r="C18" t="n">
        <v>1000</v>
      </c>
      <c r="D18" t="n">
        <v>3.285929287323999</v>
      </c>
      <c r="E18" t="inlineStr">
        <is>
          <t>WindOff</t>
        </is>
      </c>
      <c r="F18" t="inlineStr">
        <is>
          <t>NONE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/>
    </row>
    <row r="19">
      <c r="A19" s="11" t="n">
        <v>17</v>
      </c>
      <c r="B19" t="n">
        <v>20381600194</v>
      </c>
      <c r="C19" t="n">
        <v>1300</v>
      </c>
      <c r="D19" t="n">
        <v>0.5060331102478958</v>
      </c>
      <c r="E19" t="inlineStr">
        <is>
          <t>OtherPV</t>
        </is>
      </c>
      <c r="F19" t="inlineStr">
        <is>
          <t>NONE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/>
    </row>
    <row r="20">
      <c r="A20" s="11" t="n">
        <v>18</v>
      </c>
      <c r="B20" t="n">
        <v>20381800193</v>
      </c>
      <c r="C20" t="n">
        <v>2000</v>
      </c>
      <c r="D20" t="n">
        <v>3.289215216611323</v>
      </c>
      <c r="E20" t="inlineStr">
        <is>
          <t>WindOff</t>
        </is>
      </c>
      <c r="F20" t="inlineStr">
        <is>
          <t>NONE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/>
    </row>
    <row r="21">
      <c r="A21" s="11" t="n">
        <v>19</v>
      </c>
      <c r="B21" t="n">
        <v>20371600187</v>
      </c>
      <c r="C21" t="n">
        <v>2300</v>
      </c>
      <c r="D21" t="n">
        <v>0.5065391433581437</v>
      </c>
      <c r="E21" t="inlineStr">
        <is>
          <t>OtherPV</t>
        </is>
      </c>
      <c r="F21" t="inlineStr">
        <is>
          <t>NONE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/>
    </row>
    <row r="22">
      <c r="A22" s="11" t="n">
        <v>20</v>
      </c>
      <c r="B22" t="n">
        <v>20371800183</v>
      </c>
      <c r="C22" t="n">
        <v>1000</v>
      </c>
      <c r="D22" t="n">
        <v>3.292504431827934</v>
      </c>
      <c r="E22" t="inlineStr">
        <is>
          <t>WindOff</t>
        </is>
      </c>
      <c r="F22" t="inlineStr">
        <is>
          <t>NONE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/>
    </row>
    <row r="23">
      <c r="A23" s="11" t="n">
        <v>21</v>
      </c>
      <c r="B23" t="n">
        <v>20361600181</v>
      </c>
      <c r="C23" t="n">
        <v>3300</v>
      </c>
      <c r="D23" t="n">
        <v>0.5070456825015017</v>
      </c>
      <c r="E23" t="inlineStr">
        <is>
          <t>OtherPV</t>
        </is>
      </c>
      <c r="F23" t="inlineStr">
        <is>
          <t>NONE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/>
    </row>
    <row r="24">
      <c r="A24" s="11" t="n">
        <v>22</v>
      </c>
      <c r="B24" t="n">
        <v>20361800176</v>
      </c>
      <c r="C24" t="n">
        <v>1000</v>
      </c>
      <c r="D24" t="n">
        <v>3.295796936259761</v>
      </c>
      <c r="E24" t="inlineStr">
        <is>
          <t>WindOff</t>
        </is>
      </c>
      <c r="F24" t="inlineStr">
        <is>
          <t>NONE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/>
    </row>
    <row r="25">
      <c r="A25" s="11" t="n">
        <v>23</v>
      </c>
      <c r="B25" t="n">
        <v>20351600174</v>
      </c>
      <c r="C25" t="n">
        <v>2300</v>
      </c>
      <c r="D25" t="n">
        <v>0.5075527281840032</v>
      </c>
      <c r="E25" t="inlineStr">
        <is>
          <t>OtherPV</t>
        </is>
      </c>
      <c r="F25" t="inlineStr">
        <is>
          <t>NONE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/>
    </row>
    <row r="26">
      <c r="A26" s="11" t="n">
        <v>24</v>
      </c>
      <c r="B26" t="n">
        <v>20351800173</v>
      </c>
      <c r="C26" t="n">
        <v>2000</v>
      </c>
      <c r="D26" t="n">
        <v>3.299092733196021</v>
      </c>
      <c r="E26" t="inlineStr">
        <is>
          <t>WindOff</t>
        </is>
      </c>
      <c r="F26" t="inlineStr">
        <is>
          <t>NONE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/>
    </row>
    <row r="27">
      <c r="A27" s="11" t="n">
        <v>25</v>
      </c>
      <c r="B27" t="n">
        <v>20341600166</v>
      </c>
      <c r="C27" t="n">
        <v>4300</v>
      </c>
      <c r="D27" t="n">
        <v>0.5080602809121871</v>
      </c>
      <c r="E27" t="inlineStr">
        <is>
          <t>OtherPV</t>
        </is>
      </c>
      <c r="F27" t="inlineStr">
        <is>
          <t>NONE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/>
    </row>
    <row r="28">
      <c r="A28" s="11" t="n">
        <v>26</v>
      </c>
      <c r="B28" t="n">
        <v>20341800159</v>
      </c>
      <c r="C28" t="n">
        <v>1000</v>
      </c>
      <c r="D28" t="n">
        <v>3.302391825929216</v>
      </c>
      <c r="E28" t="inlineStr">
        <is>
          <t>WindOff</t>
        </is>
      </c>
      <c r="F28" t="inlineStr">
        <is>
          <t>NONE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/>
    </row>
    <row r="29">
      <c r="A29" s="11" t="n">
        <v>27</v>
      </c>
      <c r="B29" t="n">
        <v>20331600156</v>
      </c>
      <c r="C29" t="n">
        <v>6300</v>
      </c>
      <c r="D29" t="n">
        <v>0.5085683411930992</v>
      </c>
      <c r="E29" t="inlineStr">
        <is>
          <t>OtherPV</t>
        </is>
      </c>
      <c r="F29" t="inlineStr">
        <is>
          <t>NONE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/>
    </row>
    <row r="30">
      <c r="A30" s="11" t="n">
        <v>28</v>
      </c>
      <c r="B30" t="n">
        <v>20331800144</v>
      </c>
      <c r="C30" t="n">
        <v>1000</v>
      </c>
      <c r="D30" t="n">
        <v>3.305694217755145</v>
      </c>
      <c r="E30" t="inlineStr">
        <is>
          <t>WindOff</t>
        </is>
      </c>
      <c r="F30" t="inlineStr">
        <is>
          <t>NONE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/>
    </row>
    <row r="31">
      <c r="A31" s="11" t="n">
        <v>29</v>
      </c>
      <c r="B31" t="n">
        <v>20321600141</v>
      </c>
      <c r="C31" t="n">
        <v>5300</v>
      </c>
      <c r="D31" t="n">
        <v>0.5090769095342923</v>
      </c>
      <c r="E31" t="inlineStr">
        <is>
          <t>OtherPV</t>
        </is>
      </c>
      <c r="F31" t="inlineStr">
        <is>
          <t>NONE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/>
    </row>
    <row r="32">
      <c r="A32" s="11" t="n">
        <v>30</v>
      </c>
      <c r="B32" t="n">
        <v>20311600129</v>
      </c>
      <c r="C32" t="n">
        <v>6300</v>
      </c>
      <c r="D32" t="n">
        <v>0.5095859864438266</v>
      </c>
      <c r="E32" t="inlineStr">
        <is>
          <t>OtherPV</t>
        </is>
      </c>
      <c r="F32" t="inlineStr">
        <is>
          <t>NONE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/>
    </row>
    <row r="33">
      <c r="A33" s="11" t="n">
        <v>31</v>
      </c>
      <c r="B33" t="n">
        <v>20311800118</v>
      </c>
      <c r="C33" t="n">
        <v>1000</v>
      </c>
      <c r="D33" t="n">
        <v>3.312308911884873</v>
      </c>
      <c r="E33" t="inlineStr">
        <is>
          <t>WindOff</t>
        </is>
      </c>
      <c r="F33" t="inlineStr">
        <is>
          <t>NONE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/>
    </row>
    <row r="34">
      <c r="A34" s="11" t="n">
        <v>32</v>
      </c>
      <c r="B34" t="n">
        <v>20231800105</v>
      </c>
      <c r="C34" t="n">
        <v>1000</v>
      </c>
      <c r="D34" t="n">
        <v>3.338900313550828</v>
      </c>
      <c r="E34" t="inlineStr">
        <is>
          <t>WindOff</t>
        </is>
      </c>
      <c r="F34" t="inlineStr">
        <is>
          <t>NONE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/>
    </row>
    <row r="35">
      <c r="A35" s="11" t="n">
        <v>33</v>
      </c>
      <c r="B35" t="n">
        <v>20221800102</v>
      </c>
      <c r="C35" t="n">
        <v>1000</v>
      </c>
      <c r="D35" t="n">
        <v>3.342239213864378</v>
      </c>
      <c r="E35" t="inlineStr">
        <is>
          <t>WindOff</t>
        </is>
      </c>
      <c r="F35" t="inlineStr">
        <is>
          <t>NONE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/>
    </row>
    <row r="36">
      <c r="A36" s="11" t="n">
        <v>34</v>
      </c>
      <c r="B36" t="n">
        <v>20211800096</v>
      </c>
      <c r="C36" t="n">
        <v>1000</v>
      </c>
      <c r="D36" t="n">
        <v>3.345581453078242</v>
      </c>
      <c r="E36" t="inlineStr">
        <is>
          <t>WindOff</t>
        </is>
      </c>
      <c r="F36" t="inlineStr">
        <is>
          <t>NONE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/>
    </row>
    <row r="37">
      <c r="A37" s="11" t="n">
        <v>35</v>
      </c>
      <c r="B37" t="n">
        <v>20201900083</v>
      </c>
      <c r="C37" t="n">
        <v>1000</v>
      </c>
      <c r="D37" t="n">
        <v>1.339570813812528</v>
      </c>
      <c r="E37" t="inlineStr">
        <is>
          <t>WindOn</t>
        </is>
      </c>
      <c r="F37" t="inlineStr">
        <is>
          <t>NONE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/>
    </row>
    <row r="38">
      <c r="A38" s="11" t="n">
        <v>36</v>
      </c>
      <c r="B38" t="n">
        <v>20201900047</v>
      </c>
      <c r="C38" t="n">
        <v>341.774</v>
      </c>
      <c r="D38" t="n">
        <v>1.339570813812528</v>
      </c>
      <c r="E38" t="inlineStr">
        <is>
          <t>WindOn</t>
        </is>
      </c>
      <c r="F38" t="inlineStr">
        <is>
          <t>NONE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/>
    </row>
    <row r="39">
      <c r="A39" s="11" t="n">
        <v>37</v>
      </c>
      <c r="B39" t="n">
        <v>20201900071</v>
      </c>
      <c r="C39" t="n">
        <v>3000</v>
      </c>
      <c r="D39" t="n">
        <v>1.339570813812528</v>
      </c>
      <c r="E39" t="inlineStr">
        <is>
          <t>WindOn</t>
        </is>
      </c>
      <c r="F39" t="inlineStr">
        <is>
          <t>NONE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/>
    </row>
    <row r="40">
      <c r="A40" s="11" t="n">
        <v>38</v>
      </c>
      <c r="B40" t="n">
        <v>20191900048</v>
      </c>
      <c r="C40" t="n">
        <v>425.903</v>
      </c>
      <c r="D40" t="n">
        <v>1.34091038462634</v>
      </c>
      <c r="E40" t="inlineStr">
        <is>
          <t>WindOn</t>
        </is>
      </c>
      <c r="F40" t="inlineStr">
        <is>
          <t>NONE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/>
    </row>
    <row r="41">
      <c r="A41" s="11" t="n">
        <v>39</v>
      </c>
      <c r="B41" t="n">
        <v>20181900049</v>
      </c>
      <c r="C41" t="n">
        <v>551.907</v>
      </c>
      <c r="D41" t="n">
        <v>1.342251295010967</v>
      </c>
      <c r="E41" t="inlineStr">
        <is>
          <t>WindOn</t>
        </is>
      </c>
      <c r="F41" t="inlineStr">
        <is>
          <t>NONE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/>
    </row>
    <row r="42">
      <c r="A42" s="11" t="n">
        <v>40</v>
      </c>
      <c r="B42" t="n">
        <v>20171900050</v>
      </c>
      <c r="C42" t="n">
        <v>659.4730000000001</v>
      </c>
      <c r="D42" t="n">
        <v>1.343593546305977</v>
      </c>
      <c r="E42" t="inlineStr">
        <is>
          <t>WindOn</t>
        </is>
      </c>
      <c r="F42" t="inlineStr">
        <is>
          <t>NONE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/>
    </row>
    <row r="43">
      <c r="A43" s="11" t="n">
        <v>41</v>
      </c>
      <c r="B43" t="n">
        <v>20161900075</v>
      </c>
      <c r="C43" t="n">
        <v>3000</v>
      </c>
      <c r="D43" t="n">
        <v>1.344937139852283</v>
      </c>
      <c r="E43" t="inlineStr">
        <is>
          <t>WindOn</t>
        </is>
      </c>
      <c r="F43" t="inlineStr">
        <is>
          <t>NONE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1" t="inlineStr">
        <is>
          <t>identifier</t>
        </is>
      </c>
      <c r="C1" s="11" t="inlineStr">
        <is>
          <t>ElectrolyserType</t>
        </is>
      </c>
      <c r="D1" s="11" t="inlineStr">
        <is>
          <t>PeakConsumptionInMW</t>
        </is>
      </c>
      <c r="E1" s="11" t="inlineStr">
        <is>
          <t>ConversionFactor</t>
        </is>
      </c>
      <c r="F1" s="11" t="inlineStr">
        <is>
          <t>HydrogenProductionTargetInMWH</t>
        </is>
      </c>
      <c r="G1" s="11" t="inlineStr">
        <is>
          <t>PriceLimitOverrideInEURperMWH</t>
        </is>
      </c>
    </row>
    <row r="2">
      <c r="A2" s="11" t="n">
        <v>0</v>
      </c>
      <c r="B2" t="n">
        <v>99999999999</v>
      </c>
      <c r="C2" t="inlineStr">
        <is>
          <t>ELECTROLYSIS</t>
        </is>
      </c>
      <c r="D2" t="n">
        <v>6155</v>
      </c>
      <c r="E2" t="n">
        <v>1</v>
      </c>
      <c r="F2" t="n">
        <v>3063077</v>
      </c>
      <c r="G2" t="n">
        <v>127.7323211202171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1" t="inlineStr">
        <is>
          <t>identifier</t>
        </is>
      </c>
      <c r="C1" s="11" t="inlineStr">
        <is>
          <t>StorageType</t>
        </is>
      </c>
      <c r="D1" s="11" t="inlineStr">
        <is>
          <t>EnergyToPowerRatio</t>
        </is>
      </c>
      <c r="E1" s="11" t="inlineStr">
        <is>
          <t>ChargingEfficiency</t>
        </is>
      </c>
      <c r="F1" s="11" t="inlineStr">
        <is>
          <t>DischargingEfficiency</t>
        </is>
      </c>
      <c r="G1" s="11" t="inlineStr">
        <is>
          <t>InitialEnergyLevelInMWH</t>
        </is>
      </c>
      <c r="H1" s="11" t="inlineStr">
        <is>
          <t>InstalledPowerInMW</t>
        </is>
      </c>
      <c r="I1" s="11" t="inlineStr">
        <is>
          <t>Strategist</t>
        </is>
      </c>
      <c r="J1" s="11" t="inlineStr">
        <is>
          <t>strike_price</t>
        </is>
      </c>
    </row>
    <row r="2">
      <c r="A2" s="11" t="n">
        <v>0</v>
      </c>
      <c r="B2" t="n">
        <v>20341100162</v>
      </c>
      <c r="C2" t="inlineStr">
        <is>
          <t>STORAGE</t>
        </is>
      </c>
      <c r="D2" t="n">
        <v>4</v>
      </c>
      <c r="E2" t="n">
        <v>0.92</v>
      </c>
      <c r="F2" t="n">
        <v>0.92</v>
      </c>
      <c r="G2" t="n">
        <v>0</v>
      </c>
      <c r="H2" t="n">
        <v>1000</v>
      </c>
      <c r="I2" t="inlineStr">
        <is>
          <t>MULTI_AGENT_MEDIAN</t>
        </is>
      </c>
      <c r="J2" t="inlineStr"/>
    </row>
    <row r="3">
      <c r="A3" s="11" t="n">
        <v>1</v>
      </c>
      <c r="B3" t="n">
        <v>20331100157</v>
      </c>
      <c r="C3" t="inlineStr">
        <is>
          <t>STORAGE</t>
        </is>
      </c>
      <c r="D3" t="n">
        <v>4</v>
      </c>
      <c r="E3" t="n">
        <v>0.92</v>
      </c>
      <c r="F3" t="n">
        <v>0.92</v>
      </c>
      <c r="G3" t="n">
        <v>0</v>
      </c>
      <c r="H3" t="n">
        <v>4000</v>
      </c>
      <c r="I3" t="inlineStr">
        <is>
          <t>MULTI_AGENT_MEDIAN</t>
        </is>
      </c>
      <c r="J3" t="inlineStr"/>
    </row>
    <row r="4">
      <c r="A4" s="11" t="n">
        <v>2</v>
      </c>
      <c r="B4" t="n">
        <v>20321100142</v>
      </c>
      <c r="C4" t="inlineStr">
        <is>
          <t>STORAGE</t>
        </is>
      </c>
      <c r="D4" t="n">
        <v>4</v>
      </c>
      <c r="E4" t="n">
        <v>0.92</v>
      </c>
      <c r="F4" t="n">
        <v>0.92</v>
      </c>
      <c r="G4" t="n">
        <v>0</v>
      </c>
      <c r="H4" t="n">
        <v>2000</v>
      </c>
      <c r="I4" t="inlineStr">
        <is>
          <t>MULTI_AGENT_MEDIAN</t>
        </is>
      </c>
      <c r="J4" t="inlineStr"/>
    </row>
    <row r="5">
      <c r="A5" s="11" t="n">
        <v>3</v>
      </c>
      <c r="B5" t="n">
        <v>20311100130</v>
      </c>
      <c r="C5" t="inlineStr">
        <is>
          <t>STORAGE</t>
        </is>
      </c>
      <c r="D5" t="n">
        <v>4</v>
      </c>
      <c r="E5" t="n">
        <v>0.92</v>
      </c>
      <c r="F5" t="n">
        <v>0.92</v>
      </c>
      <c r="G5" t="n">
        <v>0</v>
      </c>
      <c r="H5" t="n">
        <v>3000</v>
      </c>
      <c r="I5" t="inlineStr">
        <is>
          <t>MULTI_AGENT_MEDIAN</t>
        </is>
      </c>
      <c r="J5" t="inlineStr"/>
    </row>
    <row r="6">
      <c r="A6" s="11" t="n">
        <v>4</v>
      </c>
      <c r="B6" t="n">
        <v>20301100117</v>
      </c>
      <c r="C6" t="inlineStr">
        <is>
          <t>STORAGE</t>
        </is>
      </c>
      <c r="D6" t="n">
        <v>4</v>
      </c>
      <c r="E6" t="n">
        <v>0.92</v>
      </c>
      <c r="F6" t="n">
        <v>0.92</v>
      </c>
      <c r="G6" t="n">
        <v>0</v>
      </c>
      <c r="H6" t="n">
        <v>1000</v>
      </c>
      <c r="I6" t="inlineStr">
        <is>
          <t>MULTI_AGENT_MEDIAN</t>
        </is>
      </c>
      <c r="J6" t="inlineStr"/>
    </row>
    <row r="7">
      <c r="A7" s="11" t="n">
        <v>5</v>
      </c>
      <c r="B7" t="n">
        <v>20281100113</v>
      </c>
      <c r="C7" t="inlineStr">
        <is>
          <t>STORAGE</t>
        </is>
      </c>
      <c r="D7" t="n">
        <v>4</v>
      </c>
      <c r="E7" t="n">
        <v>0.92</v>
      </c>
      <c r="F7" t="n">
        <v>0.92</v>
      </c>
      <c r="G7" t="n">
        <v>0</v>
      </c>
      <c r="H7" t="n">
        <v>1000</v>
      </c>
      <c r="I7" t="inlineStr">
        <is>
          <t>MULTI_AGENT_MEDIAN</t>
        </is>
      </c>
      <c r="J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0.85546875" defaultRowHeight="15"/>
  <sheetData/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1" t="inlineStr">
        <is>
          <t>identifier</t>
        </is>
      </c>
      <c r="C1" s="11" t="inlineStr">
        <is>
          <t>InstalledPowerInMW</t>
        </is>
      </c>
      <c r="D1" s="11" t="inlineStr">
        <is>
          <t>OpexVarInEURperMWH</t>
        </is>
      </c>
      <c r="E1" s="11" t="inlineStr">
        <is>
          <t>Set</t>
        </is>
      </c>
      <c r="F1" s="11" t="inlineStr">
        <is>
          <t>SupportInstrument</t>
        </is>
      </c>
      <c r="G1" s="11" t="inlineStr">
        <is>
          <t>FIT</t>
        </is>
      </c>
      <c r="H1" s="11" t="inlineStr">
        <is>
          <t>Premium</t>
        </is>
      </c>
      <c r="I1" s="11" t="inlineStr">
        <is>
          <t>Lcoe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I18" sqref="I18"/>
    </sheetView>
  </sheetViews>
  <sheetFormatPr baseColWidth="8" defaultColWidth="9.140625" defaultRowHeight="15"/>
  <sheetData>
    <row r="1">
      <c r="B1" s="3" t="inlineStr">
        <is>
          <t>identifier</t>
        </is>
      </c>
      <c r="C1" s="3" t="inlineStr">
        <is>
          <t>InstalledPowerInMW</t>
        </is>
      </c>
      <c r="D1" s="3" t="inlineStr">
        <is>
          <t>OpexVarInEURperMWH</t>
        </is>
      </c>
      <c r="E1" s="3" t="inlineStr">
        <is>
          <t>Set</t>
        </is>
      </c>
      <c r="F1" s="3" t="inlineStr">
        <is>
          <t>SupportInstrument</t>
        </is>
      </c>
      <c r="G1" s="3" t="inlineStr">
        <is>
          <t>FIT</t>
        </is>
      </c>
      <c r="H1" s="3" t="inlineStr">
        <is>
          <t>Premium</t>
        </is>
      </c>
      <c r="I1" s="3" t="inlineStr">
        <is>
          <t>Lcoe</t>
        </is>
      </c>
    </row>
    <row r="2">
      <c r="A2" s="3" t="n">
        <v>0</v>
      </c>
    </row>
    <row r="3">
      <c r="A3" s="3" t="n">
        <v>1</v>
      </c>
    </row>
    <row r="4">
      <c r="A4" s="3" t="n">
        <v>2</v>
      </c>
    </row>
    <row r="5">
      <c r="A5" s="3" t="n">
        <v>3</v>
      </c>
    </row>
    <row r="6">
      <c r="A6" s="3" t="n">
        <v>4</v>
      </c>
    </row>
    <row r="7">
      <c r="A7" s="3" t="n">
        <v>5</v>
      </c>
    </row>
    <row r="8">
      <c r="A8" s="3" t="n">
        <v>6</v>
      </c>
    </row>
    <row r="9">
      <c r="A9" s="3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C34" sqref="C34"/>
    </sheetView>
  </sheetViews>
  <sheetFormatPr baseColWidth="8" defaultColWidth="10.85546875" defaultRowHeight="15"/>
  <cols>
    <col width="22.7109375" bestFit="1" customWidth="1" min="1" max="1"/>
    <col width="20.140625" bestFit="1" customWidth="1" min="2" max="2"/>
    <col width="82.42578125" customWidth="1" min="3" max="3"/>
  </cols>
  <sheetData>
    <row r="1" ht="15.75" customHeight="1" thickBot="1">
      <c r="A1" s="5" t="inlineStr">
        <is>
          <t>Type</t>
        </is>
      </c>
      <c r="B1" s="5" t="inlineStr">
        <is>
          <t>VOLL</t>
        </is>
      </c>
      <c r="C1" s="5" t="inlineStr">
        <is>
          <t>TimeSeries</t>
        </is>
      </c>
    </row>
    <row r="2" ht="15.75" customHeight="1" thickBot="1">
      <c r="A2" s="6" t="inlineStr">
        <is>
          <t>SHEDDING</t>
        </is>
      </c>
      <c r="B2" s="6" t="n">
        <v>4000</v>
      </c>
      <c r="C2" s="6" t="inlineStr">
        <is>
          <t>amiris-config/data/demand_processed/load.csv</t>
        </is>
      </c>
    </row>
    <row r="3" ht="15.75" customHeight="1" thickBot="1">
      <c r="A3" s="6" t="inlineStr">
        <is>
          <t>SHEDDING</t>
        </is>
      </c>
      <c r="B3" s="6" t="n">
        <v>300</v>
      </c>
      <c r="C3" s="6" t="inlineStr">
        <is>
          <t>amiris-config/data/demand_processed/hoho_cluster_shedding_timeseries.csv</t>
        </is>
      </c>
    </row>
    <row r="4" ht="15.75" customHeight="1" thickBot="1">
      <c r="A4" s="6" t="inlineStr">
        <is>
          <t>SHEDDING</t>
        </is>
      </c>
      <c r="B4" s="6" t="n">
        <v>300.7</v>
      </c>
      <c r="C4" s="6" t="inlineStr">
        <is>
          <t>amiris-config/data/demand_processed/tcs_hoho_cluster_shedding_timeseries.csv</t>
        </is>
      </c>
    </row>
    <row r="5" ht="15.75" customHeight="1" thickBot="1">
      <c r="A5" s="6" t="inlineStr">
        <is>
          <t>SHEDDING</t>
        </is>
      </c>
      <c r="B5" s="6" t="n">
        <v>447.1</v>
      </c>
      <c r="C5" s="6" t="inlineStr">
        <is>
          <t>amiris-config/data/demand_processed/tcs_cluster_shedding_timeseries.csv</t>
        </is>
      </c>
    </row>
    <row r="6" ht="15.75" customHeight="1" thickBot="1">
      <c r="A6" s="6" t="inlineStr">
        <is>
          <t>SHEDDING</t>
        </is>
      </c>
      <c r="B6" s="6" t="n">
        <v>607.5</v>
      </c>
      <c r="C6" s="6" t="inlineStr">
        <is>
          <t>amiris-config/data/demand_processed/ind_cluster-1_shedding_timeseries.csv</t>
        </is>
      </c>
    </row>
    <row r="7" ht="15.75" customHeight="1" thickBot="1">
      <c r="A7" s="6" t="inlineStr">
        <is>
          <t>SHEDDING</t>
        </is>
      </c>
      <c r="B7" s="6" t="n">
        <v>1151.9</v>
      </c>
      <c r="C7" s="6" t="inlineStr">
        <is>
          <t>amiris-config/data/demand_processed/ind_cluster-2_shedding_timeseries.csv</t>
        </is>
      </c>
    </row>
    <row r="15">
      <c r="C15" s="7" t="n"/>
    </row>
  </sheetData>
  <pageMargins left="0.7" right="0.7" top="0.787401575" bottom="0.7874015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identifier</t>
        </is>
      </c>
      <c r="B1" s="11" t="inlineStr">
        <is>
          <t>Type</t>
        </is>
      </c>
      <c r="C1" s="11" t="inlineStr">
        <is>
          <t>VOLL</t>
        </is>
      </c>
      <c r="D1" s="11" t="inlineStr">
        <is>
          <t>TimeSeries</t>
        </is>
      </c>
    </row>
    <row r="2">
      <c r="A2" t="n">
        <v>200000</v>
      </c>
      <c r="B2" t="inlineStr">
        <is>
          <t>SHEDDING</t>
        </is>
      </c>
      <c r="C2" t="n">
        <v>1500</v>
      </c>
      <c r="D2" t="inlineStr">
        <is>
          <t>amiris-config/data/LS_2.csv</t>
        </is>
      </c>
    </row>
    <row r="3">
      <c r="A3" t="n">
        <v>100000</v>
      </c>
      <c r="B3" t="inlineStr">
        <is>
          <t>SHEDDING</t>
        </is>
      </c>
      <c r="C3" t="n">
        <v>4001</v>
      </c>
      <c r="D3" t="inlineStr">
        <is>
          <t>amiris-config/data/LS_1.csv</t>
        </is>
      </c>
    </row>
    <row r="4">
      <c r="A4" t="n">
        <v>8888888</v>
      </c>
      <c r="B4" t="inlineStr">
        <is>
          <t>SHEDDING</t>
        </is>
      </c>
      <c r="C4" t="n">
        <v>24.18846054422367</v>
      </c>
      <c r="D4" t="inlineStr">
        <is>
          <t>amiris-config/data/LS_hydrogen.csv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1" t="n">
        <v>0</v>
      </c>
    </row>
    <row r="2">
      <c r="A2" s="11" t="inlineStr">
        <is>
          <t>StartTime</t>
        </is>
      </c>
      <c r="B2" s="13" t="n">
        <v>54788.99861111111</v>
      </c>
    </row>
    <row r="3">
      <c r="A3" s="11" t="inlineStr">
        <is>
          <t>StopTime</t>
        </is>
      </c>
      <c r="B3" s="13" t="n">
        <v>55152.99861111111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Kochems, Johannes</dc:creator>
  <dcterms:created xsi:type="dcterms:W3CDTF">2022-05-11T12:26:15Z</dcterms:created>
  <dcterms:modified xsi:type="dcterms:W3CDTF">2024-12-14T00:01:24Z</dcterms:modified>
  <cp:lastModifiedBy>Ingrid Sanchez Jimenez</cp:lastModifiedBy>
</cp:coreProperties>
</file>